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1.xml" ContentType="application/vnd.openxmlformats-officedocument.spreadsheetml.table+xml"/>
  <Override PartName="/xl/worksheets/sheet10.xml" ContentType="application/vnd.openxmlformats-officedocument.spreadsheetml.worksheet+xml"/>
  <Override PartName="/xl/tables/table2.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8400" windowHeight="21100" tabRatio="600" firstSheet="0" activeTab="0" autoFilterDateGrouping="1"/>
  </bookViews>
  <sheets>
    <sheet xmlns:r="http://schemas.openxmlformats.org/officeDocument/2006/relationships" name="MethodMesh recipe" sheetId="1" state="visible" r:id="rId1"/>
    <sheet xmlns:r="http://schemas.openxmlformats.org/officeDocument/2006/relationships" name="survey" sheetId="2" state="visible" r:id="rId2"/>
    <sheet xmlns:r="http://schemas.openxmlformats.org/officeDocument/2006/relationships" name="choices" sheetId="3" state="visible" r:id="rId3"/>
    <sheet xmlns:r="http://schemas.openxmlformats.org/officeDocument/2006/relationships" name="settings" sheetId="4" state="visible" r:id="rId4"/>
    <sheet xmlns:r="http://schemas.openxmlformats.org/officeDocument/2006/relationships" name="entities" sheetId="5" state="visible" r:id="rId5"/>
    <sheet xmlns:r="http://schemas.openxmlformats.org/officeDocument/2006/relationships" name="👋 Start here" sheetId="6" state="visible" r:id="rId6"/>
    <sheet xmlns:r="http://schemas.openxmlformats.org/officeDocument/2006/relationships" name="⚙️ Types" sheetId="7" state="visible" r:id="rId7"/>
    <sheet xmlns:r="http://schemas.openxmlformats.org/officeDocument/2006/relationships" name="👀 Appearances" sheetId="8" state="visible" r:id="rId8"/>
    <sheet xmlns:r="http://schemas.openxmlformats.org/officeDocument/2006/relationships" name="🔀 Relevance" sheetId="9" state="visible" r:id="rId9"/>
    <sheet xmlns:r="http://schemas.openxmlformats.org/officeDocument/2006/relationships" name="🔒 Constraints" sheetId="10" state="visible" r:id="rId10"/>
    <sheet xmlns:r="http://schemas.openxmlformats.org/officeDocument/2006/relationships" name="🌐 Translations" sheetId="11" state="visible" r:id="rId11"/>
    <sheet xmlns:r="http://schemas.openxmlformats.org/officeDocument/2006/relationships" name="🔍 List lookups" sheetId="12" state="visible" r:id="rId12"/>
    <sheet xmlns:r="http://schemas.openxmlformats.org/officeDocument/2006/relationships" name="✅ Additional columns" sheetId="13" state="visible" r:id="rId13"/>
  </sheets>
  <definedNames>
    <definedName name="field_types" localSheetId="6">'⚙️ Types'!$B$7:$E$42</definedName>
    <definedName name="_xlnm._FilterDatabase" localSheetId="6" hidden="1">'⚙️ Types'!$D$7:$E$46</definedName>
    <definedName name="_xlnm._FilterDatabase" localSheetId="7" hidden="1">'👀 Appearances'!$D$6:$F$52</definedName>
    <definedName name="_xlnm._FilterDatabase" localSheetId="12" hidden="1">'✅ Additional columns'!$E$5:$G$13</definedName>
  </definedNames>
  <calcPr calcId="191029" fullCalcOnLoad="1"/>
</workbook>
</file>

<file path=xl/styles.xml><?xml version="1.0" encoding="utf-8"?>
<styleSheet xmlns="http://schemas.openxmlformats.org/spreadsheetml/2006/main">
  <numFmts count="1">
    <numFmt numFmtId="164" formatCode="m/d/yyyy"/>
  </numFmts>
  <fonts count="49">
    <font>
      <name val="Arial"/>
      <color rgb="FF000000"/>
      <sz val="10"/>
      <scheme val="minor"/>
    </font>
    <font>
      <name val="Roboto"/>
      <b val="1"/>
      <color theme="1"/>
      <sz val="10"/>
    </font>
    <font>
      <name val="Roboto"/>
      <color theme="1"/>
      <sz val="10"/>
    </font>
    <font>
      <name val="Courier New"/>
      <family val="3"/>
      <color theme="1"/>
      <sz val="10"/>
    </font>
    <font>
      <name val="Roboto"/>
      <b val="1"/>
      <color theme="1"/>
      <sz val="10"/>
    </font>
    <font>
      <name val="Roboto"/>
      <color theme="1"/>
      <sz val="10"/>
    </font>
    <font>
      <name val="Courier New"/>
      <family val="3"/>
      <color theme="1"/>
      <sz val="10"/>
    </font>
    <font>
      <name val="Roboto"/>
      <b val="1"/>
      <color rgb="FF000000"/>
      <sz val="16"/>
    </font>
    <font>
      <name val="Arial"/>
      <family val="2"/>
      <sz val="10"/>
    </font>
    <font>
      <name val="Roboto"/>
      <color rgb="FF1155CC"/>
      <sz val="10"/>
      <u val="single"/>
    </font>
    <font>
      <name val="Roboto"/>
      <b val="1"/>
      <color theme="1"/>
      <sz val="12"/>
    </font>
    <font>
      <name val="Roboto"/>
      <color theme="1"/>
      <sz val="17"/>
    </font>
    <font>
      <name val="Roboto"/>
      <color rgb="FF000000"/>
      <sz val="10"/>
    </font>
    <font>
      <name val="Roboto"/>
      <color rgb="FF1155CC"/>
      <sz val="10"/>
      <u val="single"/>
    </font>
    <font>
      <name val="&quot;docs-Roboto&quot;"/>
      <color rgb="FF000000"/>
      <sz val="10"/>
    </font>
    <font>
      <name val="Arial"/>
      <family val="2"/>
      <color theme="1"/>
      <sz val="10"/>
      <scheme val="minor"/>
    </font>
    <font>
      <name val="Roboto"/>
      <b val="1"/>
      <color rgb="FF0000FF"/>
      <sz val="10"/>
      <u val="single"/>
    </font>
    <font>
      <name val="Roboto"/>
      <color rgb="FF0000FF"/>
      <sz val="10"/>
      <u val="single"/>
    </font>
    <font>
      <name val="Roboto"/>
      <color rgb="FF1155CC"/>
      <sz val="10"/>
      <u val="single"/>
    </font>
    <font>
      <name val="Roboto"/>
      <b val="1"/>
      <color theme="1"/>
      <sz val="16"/>
    </font>
    <font>
      <name val="Roboto"/>
      <color rgb="FF0000FF"/>
      <sz val="10"/>
      <u val="single"/>
    </font>
    <font>
      <name val="Roboto"/>
      <b val="1"/>
      <color rgb="FFFFFFFF"/>
      <sz val="10"/>
    </font>
    <font>
      <name val="Poppins"/>
      <charset val="1"/>
      <color theme="1"/>
      <sz val="25"/>
    </font>
    <font>
      <name val="Arial"/>
      <family val="2"/>
      <color rgb="FF0000FF"/>
      <sz val="10"/>
      <u val="single"/>
    </font>
    <font>
      <name val="Arial"/>
      <family val="2"/>
      <b val="1"/>
      <color rgb="FFFFFFFF"/>
      <sz val="10"/>
      <scheme val="minor"/>
    </font>
    <font>
      <name val="Arial"/>
      <family val="2"/>
      <color rgb="FF0000FF"/>
      <sz val="10"/>
      <u val="single"/>
    </font>
    <font>
      <name val="Arial"/>
      <family val="2"/>
      <color theme="1"/>
      <sz val="10"/>
    </font>
    <font>
      <name val="Roboto"/>
      <b val="1"/>
      <color theme="1"/>
      <sz val="14"/>
    </font>
    <font>
      <name val="Roboto"/>
      <b val="1"/>
      <color rgb="FF1155CC"/>
      <sz val="10"/>
    </font>
    <font>
      <name val="Roboto"/>
      <b val="1"/>
      <color rgb="FFE69138"/>
      <sz val="10"/>
    </font>
    <font>
      <name val="Roboto"/>
      <b val="1"/>
      <color rgb="FF6AA84F"/>
      <sz val="10"/>
    </font>
    <font>
      <name val="Roboto"/>
      <b val="1"/>
      <color rgb="FF674EA7"/>
      <sz val="10"/>
    </font>
    <font>
      <name val="Roboto"/>
      <color rgb="FFFFFFFF"/>
      <sz val="10"/>
    </font>
    <font>
      <name val="Roboto"/>
      <color theme="1"/>
      <sz val="12"/>
    </font>
    <font>
      <name val="Roboto"/>
      <b val="1"/>
      <color rgb="FF000000"/>
      <sz val="10"/>
    </font>
    <font>
      <name val="Roboto"/>
      <b val="1"/>
      <sz val="10"/>
    </font>
    <font>
      <name val="Roboto"/>
      <sz val="10"/>
    </font>
    <font>
      <name val="Roboto"/>
      <b val="1"/>
      <color rgb="FF1155CC"/>
      <sz val="10"/>
      <u val="single"/>
    </font>
    <font>
      <name val="Arial"/>
      <family val="2"/>
      <color rgb="FF1155CC"/>
      <sz val="10"/>
      <u val="single"/>
    </font>
    <font>
      <name val="Arial"/>
      <family val="2"/>
      <color rgb="FF000000"/>
      <sz val="10"/>
    </font>
    <font>
      <name val="Roboto"/>
      <color rgb="FFE69138"/>
      <sz val="10"/>
    </font>
    <font>
      <name val="Roboto"/>
      <color rgb="FF4A86E8"/>
      <sz val="10"/>
    </font>
    <font>
      <name val="Roboto"/>
      <color rgb="FF6AA84F"/>
      <sz val="10"/>
    </font>
    <font>
      <name val="Roboto"/>
      <color rgb="FF674EA7"/>
      <sz val="10"/>
    </font>
    <font>
      <name val="Roboto"/>
      <color rgb="FF1155CC"/>
      <sz val="10"/>
    </font>
    <font>
      <name val="Arial"/>
      <family val="2"/>
      <color rgb="FF000000"/>
      <sz val="10"/>
      <scheme val="minor"/>
    </font>
    <font>
      <b val="1"/>
      <color rgb="00FFFFFF"/>
      <sz val="16"/>
    </font>
    <font>
      <b val="1"/>
    </font>
    <font>
      <b val="1"/>
      <color rgb="00FFFFFF"/>
    </font>
  </fonts>
  <fills count="12">
    <fill>
      <patternFill/>
    </fill>
    <fill>
      <patternFill patternType="gray125"/>
    </fill>
    <fill>
      <patternFill patternType="solid">
        <fgColor rgb="FFDFE8EF"/>
        <bgColor rgb="FFDFE8EF"/>
      </patternFill>
    </fill>
    <fill>
      <patternFill patternType="solid">
        <fgColor rgb="FFD9EAD3"/>
        <bgColor rgb="FFD9EAD3"/>
      </patternFill>
    </fill>
    <fill>
      <patternFill patternType="solid">
        <fgColor rgb="FFFFFFFF"/>
        <bgColor rgb="FFFFFFFF"/>
      </patternFill>
    </fill>
    <fill>
      <patternFill patternType="solid">
        <fgColor rgb="FF434343"/>
        <bgColor rgb="FF434343"/>
      </patternFill>
    </fill>
    <fill>
      <patternFill patternType="solid">
        <fgColor rgb="FF009ECC"/>
        <bgColor rgb="FF009ECC"/>
      </patternFill>
    </fill>
    <fill>
      <patternFill patternType="solid">
        <fgColor rgb="FFF3F3F3"/>
        <bgColor rgb="FFF3F3F3"/>
      </patternFill>
    </fill>
    <fill>
      <patternFill patternType="solid">
        <fgColor rgb="FFE2F5EC"/>
        <bgColor rgb="FFE2F5EC"/>
      </patternFill>
    </fill>
    <fill>
      <patternFill patternType="solid">
        <fgColor rgb="FFFFF2CC"/>
        <bgColor rgb="FFFFF2CC"/>
      </patternFill>
    </fill>
    <fill>
      <patternFill patternType="solid">
        <fgColor rgb="001F4E78"/>
      </patternFill>
    </fill>
    <fill>
      <patternFill patternType="solid">
        <fgColor rgb="005B9BD5"/>
      </patternFill>
    </fill>
  </fills>
  <borders count="83">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style="thin">
        <color rgb="FFFFFFFF"/>
      </right>
      <top style="thin">
        <color rgb="FFFFFFFF"/>
      </top>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style="thin">
        <color rgb="FFFFFFFF"/>
      </top>
      <bottom style="thin">
        <color rgb="FFFFFFFF"/>
      </bottom>
      <diagonal/>
    </border>
    <border>
      <left style="thin">
        <color rgb="FFFFFFFF"/>
      </left>
      <right style="thin">
        <color rgb="FFFFFFFF"/>
      </right>
      <top/>
      <bottom style="medium">
        <color rgb="FF000000"/>
      </bottom>
      <diagonal/>
    </border>
    <border>
      <left style="thin">
        <color rgb="FFFFFFFF"/>
      </left>
      <right/>
      <top/>
      <bottom style="medium">
        <color rgb="FF000000"/>
      </bottom>
      <diagonal/>
    </border>
    <border>
      <left/>
      <right style="thin">
        <color rgb="FFFFFFFF"/>
      </right>
      <top/>
      <bottom style="medium">
        <color rgb="FF000000"/>
      </bottom>
      <diagonal/>
    </border>
    <border>
      <left style="thin">
        <color rgb="FFFFFFFF"/>
      </left>
      <right style="thin">
        <color rgb="FFFFFFFF"/>
      </right>
      <top style="thin">
        <color rgb="FFFFFFFF"/>
      </top>
      <bottom style="medium">
        <color rgb="FF000000"/>
      </bottom>
      <diagonal/>
    </border>
    <border>
      <left/>
      <right style="thin">
        <color rgb="FFFFFFFF"/>
      </right>
      <top style="thin">
        <color rgb="FFFFFFFF"/>
      </top>
      <bottom style="thin">
        <color rgb="FFFFFFFF"/>
      </bottom>
      <diagonal/>
    </border>
    <border>
      <left style="medium">
        <color rgb="FFFFFFFF"/>
      </left>
      <right style="medium">
        <color rgb="FFFFFFFF"/>
      </right>
      <top style="medium">
        <color rgb="FFFFFFFF"/>
      </top>
      <bottom style="medium">
        <color rgb="FFFFFFFF"/>
      </bottom>
      <diagonal/>
    </border>
    <border>
      <left/>
      <right/>
      <top/>
      <bottom style="medium">
        <color rgb="FF000000"/>
      </bottom>
      <diagonal/>
    </border>
    <border>
      <left style="medium">
        <color rgb="FFFFFFFF"/>
      </left>
      <right/>
      <top/>
      <bottom style="medium">
        <color rgb="FFFFFFFF"/>
      </bottom>
      <diagonal/>
    </border>
    <border>
      <left/>
      <right/>
      <top/>
      <bottom style="medium">
        <color rgb="FFFFFFFF"/>
      </bottom>
      <diagonal/>
    </border>
    <border>
      <left/>
      <right style="medium">
        <color rgb="FFFFFFFF"/>
      </right>
      <top/>
      <bottom style="medium">
        <color rgb="FFFFFFFF"/>
      </bottom>
      <diagonal/>
    </border>
    <border>
      <left style="medium">
        <color rgb="FFFFFFFF"/>
      </left>
      <right style="medium">
        <color rgb="FFFFFFFF"/>
      </right>
      <top style="medium">
        <color rgb="FFFFFFFF"/>
      </top>
      <bottom/>
      <diagonal/>
    </border>
    <border>
      <left style="medium">
        <color rgb="FFFFFFFF"/>
      </left>
      <right/>
      <top style="medium">
        <color rgb="FFFFFFFF"/>
      </top>
      <bottom/>
      <diagonal/>
    </border>
    <border>
      <left style="medium">
        <color rgb="FFFFFFFF"/>
      </left>
      <right/>
      <top style="medium">
        <color rgb="FFFFFFFF"/>
      </top>
      <bottom style="medium">
        <color rgb="FFFFFFFF"/>
      </bottom>
      <diagonal/>
    </border>
    <border>
      <left/>
      <right/>
      <top style="thin">
        <color rgb="FFFFFFFF"/>
      </top>
      <bottom/>
      <diagonal/>
    </border>
    <border>
      <left/>
      <right style="medium">
        <color rgb="FFFFFFFF"/>
      </right>
      <top style="medium">
        <color rgb="FFFFFFFF"/>
      </top>
      <bottom style="medium">
        <color rgb="FFFFFFFF"/>
      </bottom>
      <diagonal/>
    </border>
    <border>
      <left style="thin">
        <color rgb="FFFFFFFF"/>
      </left>
      <right/>
      <top/>
      <bottom/>
      <diagonal/>
    </border>
    <border>
      <left/>
      <right style="thin">
        <color rgb="FFFFFFFF"/>
      </right>
      <top/>
      <bottom/>
      <diagonal/>
    </border>
    <border>
      <left style="thin">
        <color rgb="FFFFFFFF"/>
      </left>
      <right/>
      <top/>
      <bottom style="thin">
        <color rgb="FFFFFFFF"/>
      </bottom>
      <diagonal/>
    </border>
    <border>
      <left/>
      <right/>
      <top/>
      <bottom style="thin">
        <color rgb="FFFFFFFF"/>
      </bottom>
      <diagonal/>
    </border>
    <border>
      <left style="medium">
        <color rgb="FFFFFFFF"/>
      </left>
      <right style="medium">
        <color rgb="FFFFFFFF"/>
      </right>
      <top/>
      <bottom style="medium">
        <color rgb="FFFFFFFF"/>
      </bottom>
      <diagonal/>
    </border>
    <border>
      <left/>
      <right/>
      <top style="medium">
        <color rgb="FFFFFFFF"/>
      </top>
      <bottom style="medium">
        <color rgb="FFFFFFFF"/>
      </bottom>
      <diagonal/>
    </border>
    <border>
      <left style="thin">
        <color rgb="FF000000"/>
      </left>
      <right style="thin">
        <color rgb="FFFFFFFF"/>
      </right>
      <top style="thin">
        <color rgb="FFFFFFFF"/>
      </top>
      <bottom style="thin">
        <color rgb="FFFFFFFF"/>
      </bottom>
      <diagonal/>
    </border>
    <border>
      <left style="medium">
        <color rgb="FF6AA84F"/>
      </left>
      <right style="medium">
        <color rgb="FF6AA84F"/>
      </right>
      <top style="medium">
        <color rgb="FF6AA84F"/>
      </top>
      <bottom/>
      <diagonal/>
    </border>
    <border>
      <left style="medium">
        <color rgb="FF6AA84F"/>
      </left>
      <right style="medium">
        <color rgb="FF6AA84F"/>
      </right>
      <top/>
      <bottom/>
      <diagonal/>
    </border>
    <border>
      <left style="medium">
        <color rgb="FF6AA84F"/>
      </left>
      <right style="medium">
        <color rgb="FF6AA84F"/>
      </right>
      <top/>
      <bottom style="medium">
        <color rgb="FF6AA84F"/>
      </bottom>
      <diagonal/>
    </border>
    <border>
      <left/>
      <right style="medium">
        <color rgb="FFFFFFFF"/>
      </right>
      <top style="medium">
        <color rgb="FFFFFFFF"/>
      </top>
      <bottom/>
      <diagonal/>
    </border>
    <border>
      <left style="medium">
        <color rgb="FF6AA84F"/>
      </left>
      <right style="medium">
        <color rgb="FF6AA84F"/>
      </right>
      <top style="medium">
        <color rgb="FF6AA84F"/>
      </top>
      <bottom style="medium">
        <color rgb="FF6AA84F"/>
      </bottom>
      <diagonal/>
    </border>
    <border>
      <left style="medium">
        <color rgb="FFF3F3F3"/>
      </left>
      <right/>
      <top style="medium">
        <color rgb="FFF3F3F3"/>
      </top>
      <bottom/>
      <diagonal/>
    </border>
    <border>
      <left/>
      <right/>
      <top style="medium">
        <color rgb="FFF3F3F3"/>
      </top>
      <bottom/>
      <diagonal/>
    </border>
    <border>
      <left/>
      <right style="medium">
        <color rgb="FFF3F3F3"/>
      </right>
      <top style="medium">
        <color rgb="FFF3F3F3"/>
      </top>
      <bottom/>
      <diagonal/>
    </border>
    <border>
      <left style="medium">
        <color rgb="FFF3F3F3"/>
      </left>
      <right/>
      <top/>
      <bottom/>
      <diagonal/>
    </border>
    <border>
      <left/>
      <right style="medium">
        <color rgb="FFF3F3F3"/>
      </right>
      <top/>
      <bottom/>
      <diagonal/>
    </border>
    <border>
      <left style="medium">
        <color rgb="FFF3F3F3"/>
      </left>
      <right/>
      <top/>
      <bottom style="medium">
        <color rgb="FFF3F3F3"/>
      </bottom>
      <diagonal/>
    </border>
    <border>
      <left/>
      <right/>
      <top/>
      <bottom style="medium">
        <color rgb="FFF3F3F3"/>
      </bottom>
      <diagonal/>
    </border>
    <border>
      <left/>
      <right style="medium">
        <color rgb="FFF3F3F3"/>
      </right>
      <top/>
      <bottom style="medium">
        <color rgb="FFF3F3F3"/>
      </bottom>
      <diagonal/>
    </border>
    <border>
      <left style="thin">
        <color rgb="FFEFEFEF"/>
      </left>
      <right/>
      <top style="thin">
        <color rgb="FFEFEFEF"/>
      </top>
      <bottom style="thin">
        <color rgb="FF000000"/>
      </bottom>
      <diagonal/>
    </border>
    <border>
      <left style="thin">
        <color rgb="FFF3F3F3"/>
      </left>
      <right style="thin">
        <color rgb="FFF3F3F3"/>
      </right>
      <top style="thin">
        <color rgb="FFF3F3F3"/>
      </top>
      <bottom style="thin">
        <color rgb="FF000000"/>
      </bottom>
      <diagonal/>
    </border>
    <border>
      <left style="thin">
        <color rgb="FFEFEFEF"/>
      </left>
      <right/>
      <top/>
      <bottom style="thin">
        <color rgb="FFEFEFEF"/>
      </bottom>
      <diagonal/>
    </border>
    <border>
      <left style="thin">
        <color rgb="FFF3F3F3"/>
      </left>
      <right style="thin">
        <color rgb="FFF3F3F3"/>
      </right>
      <top/>
      <bottom style="thin">
        <color rgb="FFF3F3F3"/>
      </bottom>
      <diagonal/>
    </border>
    <border>
      <left style="thin">
        <color rgb="FFEFEFEF"/>
      </left>
      <right/>
      <top style="thin">
        <color rgb="FFEFEFEF"/>
      </top>
      <bottom style="thin">
        <color rgb="FFEFEFEF"/>
      </bottom>
      <diagonal/>
    </border>
    <border>
      <left style="thin">
        <color rgb="FFF3F3F3"/>
      </left>
      <right style="thin">
        <color rgb="FFF3F3F3"/>
      </right>
      <top style="thin">
        <color rgb="FFF3F3F3"/>
      </top>
      <bottom style="thin">
        <color rgb="FFF3F3F3"/>
      </bottom>
      <diagonal/>
    </border>
    <border>
      <left style="thin">
        <color rgb="FFFFFFFF"/>
      </left>
      <right/>
      <top style="thin">
        <color rgb="FFFFFFFF"/>
      </top>
      <bottom style="medium">
        <color rgb="FFFFFFFF"/>
      </bottom>
      <diagonal/>
    </border>
    <border>
      <left style="thin">
        <color rgb="FFF3F3F3"/>
      </left>
      <right/>
      <top style="thin">
        <color rgb="FFF3F3F3"/>
      </top>
      <bottom style="thin">
        <color rgb="FF000000"/>
      </bottom>
      <diagonal/>
    </border>
    <border>
      <left style="thin">
        <color rgb="FFFFFFFF"/>
      </left>
      <right/>
      <top style="medium">
        <color rgb="FFFFFFFF"/>
      </top>
      <bottom style="medium">
        <color rgb="FFFFFFFF"/>
      </bottom>
      <diagonal/>
    </border>
    <border>
      <left style="thin">
        <color rgb="FFF3F3F3"/>
      </left>
      <right/>
      <top/>
      <bottom style="thin">
        <color rgb="FFEFEFEF"/>
      </bottom>
      <diagonal/>
    </border>
    <border>
      <left style="thin">
        <color rgb="FFF3F3F3"/>
      </left>
      <right/>
      <top style="thin">
        <color rgb="FFEFEFEF"/>
      </top>
      <bottom style="thin">
        <color rgb="FFEFEFEF"/>
      </bottom>
      <diagonal/>
    </border>
    <border>
      <left style="thin">
        <color rgb="FFFFFFFF"/>
      </left>
      <right/>
      <top style="medium">
        <color rgb="FFFFFFFF"/>
      </top>
      <bottom style="thin">
        <color rgb="FFFFFFFF"/>
      </bottom>
      <diagonal/>
    </border>
    <border>
      <left style="thin">
        <color rgb="FFF3F3F3"/>
      </left>
      <right/>
      <top style="thin">
        <color rgb="FFEFEFEF"/>
      </top>
      <bottom style="thin">
        <color rgb="FFF3F3F3"/>
      </bottom>
      <diagonal/>
    </border>
    <border>
      <left style="medium">
        <color rgb="FFFFFFFF"/>
      </left>
      <right/>
      <top/>
      <bottom/>
      <diagonal/>
    </border>
    <border>
      <left style="thin">
        <color rgb="FFFFFFFF"/>
      </left>
      <right style="thin">
        <color rgb="FFFFFFFF"/>
      </right>
      <top/>
      <bottom/>
      <diagonal/>
    </border>
    <border>
      <left style="thin">
        <color rgb="FF434343"/>
      </left>
      <right/>
      <top style="thin">
        <color rgb="FF434343"/>
      </top>
      <bottom/>
      <diagonal/>
    </border>
    <border>
      <left/>
      <right/>
      <top style="thin">
        <color rgb="FF434343"/>
      </top>
      <bottom/>
      <diagonal/>
    </border>
    <border>
      <left style="thin">
        <color rgb="FF000000"/>
      </left>
      <right style="thin">
        <color rgb="FF434343"/>
      </right>
      <top style="thin">
        <color rgb="FF434343"/>
      </top>
      <bottom/>
      <diagonal/>
    </border>
    <border>
      <left style="thin">
        <color rgb="FF434343"/>
      </left>
      <right/>
      <top/>
      <bottom/>
      <diagonal/>
    </border>
    <border>
      <left style="thin">
        <color rgb="FF000000"/>
      </left>
      <right style="thin">
        <color rgb="FF434343"/>
      </right>
      <top/>
      <bottom/>
      <diagonal/>
    </border>
    <border>
      <left style="thin">
        <color rgb="FF434343"/>
      </left>
      <right/>
      <top/>
      <bottom style="thin">
        <color rgb="FF434343"/>
      </bottom>
      <diagonal/>
    </border>
    <border>
      <left/>
      <right/>
      <top/>
      <bottom style="thin">
        <color rgb="FF434343"/>
      </bottom>
      <diagonal/>
    </border>
    <border>
      <left style="thin">
        <color rgb="FF434343"/>
      </left>
      <right style="thin">
        <color rgb="FF000000"/>
      </right>
      <top/>
      <bottom style="thin">
        <color rgb="FF434343"/>
      </bottom>
      <diagonal/>
    </border>
    <border>
      <left style="thin">
        <color rgb="FFFFFFFF"/>
      </left>
      <right/>
      <top style="thin">
        <color rgb="FF434343"/>
      </top>
      <bottom/>
      <diagonal/>
    </border>
    <border>
      <left style="thin">
        <color rgb="FFFFFFFF"/>
      </left>
      <right style="thin">
        <color rgb="FFFFFFFF"/>
      </right>
      <top style="thin">
        <color rgb="FF434343"/>
      </top>
      <bottom/>
      <diagonal/>
    </border>
    <border>
      <left style="thin">
        <color rgb="FFFFFFFF"/>
      </left>
      <right style="thin">
        <color rgb="FF434343"/>
      </right>
      <top style="thin">
        <color rgb="FF434343"/>
      </top>
      <bottom/>
      <diagonal/>
    </border>
    <border>
      <left/>
      <right style="thin">
        <color rgb="FF434343"/>
      </right>
      <top/>
      <bottom/>
      <diagonal/>
    </border>
    <border>
      <left/>
      <right style="thin">
        <color rgb="FF434343"/>
      </right>
      <top/>
      <bottom style="thin">
        <color rgb="FF000000"/>
      </bottom>
      <diagonal/>
    </border>
    <border>
      <left style="thin">
        <color rgb="FF434343"/>
      </left>
      <right style="thin">
        <color rgb="FFFFFFFF"/>
      </right>
      <top style="thin">
        <color rgb="FF434343"/>
      </top>
      <bottom/>
      <diagonal/>
    </border>
    <border>
      <left/>
      <right style="thin">
        <color rgb="FFFFFFFF"/>
      </right>
      <top style="thin">
        <color rgb="FF434343"/>
      </top>
      <bottom/>
      <diagonal/>
    </border>
    <border>
      <left/>
      <right style="thin">
        <color rgb="FF000000"/>
      </right>
      <top style="thin">
        <color rgb="FF434343"/>
      </top>
      <bottom/>
      <diagonal/>
    </border>
    <border>
      <left style="thin">
        <color rgb="FF434343"/>
      </left>
      <right/>
      <top/>
      <bottom style="thin">
        <color rgb="FFD9D9D9"/>
      </bottom>
      <diagonal/>
    </border>
    <border>
      <left/>
      <right/>
      <top/>
      <bottom style="thin">
        <color rgb="FFD9D9D9"/>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medium">
        <color rgb="FFFFFFFF"/>
      </right>
      <top/>
      <bottom/>
      <diagonal/>
    </border>
    <border>
      <left/>
      <right/>
      <top style="medium">
        <color rgb="FFFFFFFF"/>
      </top>
      <bottom/>
      <diagonal/>
    </border>
  </borders>
  <cellStyleXfs count="1">
    <xf numFmtId="0" fontId="0" fillId="0" borderId="0"/>
  </cellStyleXfs>
  <cellXfs count="268">
    <xf numFmtId="0" fontId="0" fillId="0" borderId="0" pivotButton="0" quotePrefix="0" xfId="0"/>
    <xf numFmtId="0" fontId="1"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2" fillId="0" borderId="0" pivotButton="0" quotePrefix="0" xfId="0"/>
    <xf numFmtId="0" fontId="1" fillId="2" borderId="0" pivotButton="0" quotePrefix="0" xfId="0"/>
    <xf numFmtId="0" fontId="4" fillId="2" borderId="0" pivotButton="0" quotePrefix="0" xfId="0"/>
    <xf numFmtId="0" fontId="4" fillId="3" borderId="0" pivotButton="0" quotePrefix="0" xfId="0"/>
    <xf numFmtId="0" fontId="4" fillId="0" borderId="0" pivotButton="0" quotePrefix="0" xfId="0"/>
    <xf numFmtId="0" fontId="5" fillId="0" borderId="0" applyAlignment="1" pivotButton="0" quotePrefix="0" xfId="0">
      <alignment vertical="center" wrapText="1"/>
    </xf>
    <xf numFmtId="0" fontId="6" fillId="0" borderId="0" applyAlignment="1" pivotButton="0" quotePrefix="0" xfId="0">
      <alignment vertical="center" wrapText="1"/>
    </xf>
    <xf numFmtId="0" fontId="5" fillId="0" borderId="0" pivotButton="0" quotePrefix="0" xfId="0"/>
    <xf numFmtId="0" fontId="5" fillId="0" borderId="1" pivotButton="0" quotePrefix="0" xfId="0"/>
    <xf numFmtId="0" fontId="4" fillId="0" borderId="5" pivotButton="0" quotePrefix="0" xfId="0"/>
    <xf numFmtId="164" fontId="4" fillId="0" borderId="6" pivotButton="0" quotePrefix="0" xfId="0"/>
    <xf numFmtId="0" fontId="5" fillId="0" borderId="7" pivotButton="0" quotePrefix="0" xfId="0"/>
    <xf numFmtId="0" fontId="5" fillId="0" borderId="11" pivotButton="0" quotePrefix="0" xfId="0"/>
    <xf numFmtId="0" fontId="9" fillId="0" borderId="10" applyAlignment="1" pivotButton="0" quotePrefix="0" xfId="0">
      <alignment vertical="top"/>
    </xf>
    <xf numFmtId="164" fontId="2" fillId="0" borderId="8" applyAlignment="1" pivotButton="0" quotePrefix="0" xfId="0">
      <alignment horizontal="left" vertical="top"/>
    </xf>
    <xf numFmtId="0" fontId="10" fillId="0" borderId="6" pivotButton="0" quotePrefix="0" xfId="0"/>
    <xf numFmtId="0" fontId="5" fillId="0" borderId="6" pivotButton="0" quotePrefix="0" xfId="0"/>
    <xf numFmtId="0" fontId="11" fillId="0" borderId="6" applyAlignment="1" pivotButton="0" quotePrefix="0" xfId="0">
      <alignment horizontal="center"/>
    </xf>
    <xf numFmtId="0" fontId="1" fillId="0" borderId="6" pivotButton="0" quotePrefix="0" xfId="0"/>
    <xf numFmtId="0" fontId="12" fillId="4" borderId="0" applyAlignment="1" pivotButton="0" quotePrefix="0" xfId="0">
      <alignment horizontal="left"/>
    </xf>
    <xf numFmtId="0" fontId="13" fillId="0" borderId="1" pivotButton="0" quotePrefix="0" xfId="0"/>
    <xf numFmtId="164" fontId="5" fillId="0" borderId="1" applyAlignment="1" pivotButton="0" quotePrefix="0" xfId="0">
      <alignment horizontal="center"/>
    </xf>
    <xf numFmtId="0" fontId="5" fillId="0" borderId="2" pivotButton="0" quotePrefix="0" xfId="0"/>
    <xf numFmtId="0" fontId="14" fillId="0" borderId="1" pivotButton="0" quotePrefix="0" xfId="0"/>
    <xf numFmtId="0" fontId="15" fillId="0" borderId="1" pivotButton="0" quotePrefix="0" xfId="0"/>
    <xf numFmtId="0" fontId="5" fillId="0" borderId="12" pivotButton="0" quotePrefix="0" xfId="0"/>
    <xf numFmtId="0" fontId="4" fillId="0" borderId="13" pivotButton="0" quotePrefix="0" xfId="0"/>
    <xf numFmtId="0" fontId="16" fillId="0" borderId="1" pivotButton="0" quotePrefix="0" xfId="0"/>
    <xf numFmtId="0" fontId="17" fillId="0" borderId="1" pivotButton="0" quotePrefix="0" xfId="0"/>
    <xf numFmtId="0" fontId="4" fillId="0" borderId="1" pivotButton="0" quotePrefix="0" xfId="0"/>
    <xf numFmtId="0" fontId="18" fillId="0" borderId="1" pivotButton="0" quotePrefix="0" xfId="0"/>
    <xf numFmtId="164" fontId="5" fillId="0" borderId="1" applyAlignment="1" pivotButton="0" quotePrefix="0" xfId="0">
      <alignment horizontal="left"/>
    </xf>
    <xf numFmtId="0" fontId="19" fillId="0" borderId="13" pivotButton="0" quotePrefix="0" xfId="0"/>
    <xf numFmtId="0" fontId="5" fillId="0" borderId="13" pivotButton="0" quotePrefix="0" xfId="0"/>
    <xf numFmtId="0" fontId="5" fillId="0" borderId="15" pivotButton="0" quotePrefix="0" xfId="0"/>
    <xf numFmtId="0" fontId="20" fillId="0" borderId="13" pivotButton="0" quotePrefix="0" xfId="0"/>
    <xf numFmtId="0" fontId="5" fillId="0" borderId="18" pivotButton="0" quotePrefix="0" xfId="0"/>
    <xf numFmtId="0" fontId="5" fillId="0" borderId="19" applyAlignment="1" pivotButton="0" quotePrefix="0" xfId="0">
      <alignment horizontal="left"/>
    </xf>
    <xf numFmtId="0" fontId="19" fillId="4" borderId="20" pivotButton="0" quotePrefix="0" xfId="0"/>
    <xf numFmtId="0" fontId="21" fillId="5" borderId="3" pivotButton="0" quotePrefix="0" xfId="0"/>
    <xf numFmtId="0" fontId="21" fillId="5" borderId="21" pivotButton="0" quotePrefix="0" xfId="0"/>
    <xf numFmtId="0" fontId="21" fillId="5" borderId="4" applyAlignment="1" pivotButton="0" quotePrefix="0" xfId="0">
      <alignment horizontal="left"/>
    </xf>
    <xf numFmtId="0" fontId="5" fillId="0" borderId="22" pivotButton="0" quotePrefix="0" xfId="0"/>
    <xf numFmtId="0" fontId="5" fillId="4" borderId="23" applyAlignment="1" pivotButton="0" quotePrefix="0" xfId="0">
      <alignment vertical="center"/>
    </xf>
    <xf numFmtId="0" fontId="5" fillId="4" borderId="0" applyAlignment="1" pivotButton="0" quotePrefix="0" xfId="0">
      <alignment vertical="center" wrapText="1"/>
    </xf>
    <xf numFmtId="0" fontId="5" fillId="6" borderId="0" applyAlignment="1" pivotButton="0" quotePrefix="0" xfId="0">
      <alignment horizontal="center" vertical="center"/>
    </xf>
    <xf numFmtId="0" fontId="5" fillId="4" borderId="0" applyAlignment="1" pivotButton="0" quotePrefix="0" xfId="0">
      <alignment horizontal="center" vertical="center"/>
    </xf>
    <xf numFmtId="0" fontId="5" fillId="4" borderId="24" applyAlignment="1" pivotButton="0" quotePrefix="0" xfId="0">
      <alignment horizontal="left" vertical="center"/>
    </xf>
    <xf numFmtId="0" fontId="5" fillId="7" borderId="23" applyAlignment="1" pivotButton="0" quotePrefix="0" xfId="0">
      <alignment vertical="center"/>
    </xf>
    <xf numFmtId="0" fontId="5" fillId="7" borderId="0" applyAlignment="1" pivotButton="0" quotePrefix="0" xfId="0">
      <alignment vertical="center" wrapText="1"/>
    </xf>
    <xf numFmtId="0" fontId="5" fillId="7" borderId="0" applyAlignment="1" pivotButton="0" quotePrefix="0" xfId="0">
      <alignment horizontal="center" vertical="center"/>
    </xf>
    <xf numFmtId="0" fontId="5" fillId="7" borderId="24" applyAlignment="1" pivotButton="0" quotePrefix="0" xfId="0">
      <alignment horizontal="left" vertical="center"/>
    </xf>
    <xf numFmtId="0" fontId="5" fillId="7" borderId="24" applyAlignment="1" pivotButton="0" quotePrefix="0" xfId="0">
      <alignment horizontal="left" vertical="center" wrapText="1"/>
    </xf>
    <xf numFmtId="0" fontId="5" fillId="4" borderId="23" applyAlignment="1" pivotButton="0" quotePrefix="0" xfId="0">
      <alignment vertical="center" wrapText="1"/>
    </xf>
    <xf numFmtId="0" fontId="5" fillId="6" borderId="0" applyAlignment="1" pivotButton="0" quotePrefix="0" xfId="0">
      <alignment horizontal="center" vertical="center" wrapText="1"/>
    </xf>
    <xf numFmtId="0" fontId="5" fillId="4" borderId="0" applyAlignment="1" pivotButton="0" quotePrefix="0" xfId="0">
      <alignment horizontal="center" vertical="center" wrapText="1"/>
    </xf>
    <xf numFmtId="0" fontId="5" fillId="4" borderId="24" applyAlignment="1" pivotButton="0" quotePrefix="0" xfId="0">
      <alignment horizontal="left" vertical="center" wrapText="1"/>
    </xf>
    <xf numFmtId="0" fontId="5" fillId="0" borderId="22" applyAlignment="1" pivotButton="0" quotePrefix="0" xfId="0">
      <alignment wrapText="1"/>
    </xf>
    <xf numFmtId="0" fontId="5" fillId="0" borderId="22" applyAlignment="1" pivotButton="0" quotePrefix="0" xfId="0">
      <alignment vertical="center"/>
    </xf>
    <xf numFmtId="0" fontId="5" fillId="7" borderId="24" applyAlignment="1" pivotButton="0" quotePrefix="0" xfId="0">
      <alignment vertical="center"/>
    </xf>
    <xf numFmtId="0" fontId="5" fillId="4" borderId="24" applyAlignment="1" pivotButton="0" quotePrefix="0" xfId="0">
      <alignment vertical="center"/>
    </xf>
    <xf numFmtId="0" fontId="19" fillId="7" borderId="20" pivotButton="0" quotePrefix="0" xfId="0"/>
    <xf numFmtId="0" fontId="5" fillId="4" borderId="25" applyAlignment="1" pivotButton="0" quotePrefix="0" xfId="0">
      <alignment vertical="center"/>
    </xf>
    <xf numFmtId="0" fontId="5" fillId="4" borderId="26" applyAlignment="1" pivotButton="0" quotePrefix="0" xfId="0">
      <alignment vertical="center" wrapText="1"/>
    </xf>
    <xf numFmtId="0" fontId="5" fillId="6" borderId="26" applyAlignment="1" pivotButton="0" quotePrefix="0" xfId="0">
      <alignment horizontal="center" vertical="center"/>
    </xf>
    <xf numFmtId="0" fontId="5" fillId="4" borderId="26" applyAlignment="1" pivotButton="0" quotePrefix="0" xfId="0">
      <alignment horizontal="center" vertical="center"/>
    </xf>
    <xf numFmtId="0" fontId="5" fillId="4" borderId="5" applyAlignment="1" pivotButton="0" quotePrefix="0" xfId="0">
      <alignment horizontal="left" vertical="center" wrapText="1"/>
    </xf>
    <xf numFmtId="0" fontId="19" fillId="4" borderId="13" pivotButton="0" quotePrefix="0" xfId="0"/>
    <xf numFmtId="0" fontId="5" fillId="4" borderId="27" pivotButton="0" quotePrefix="0" xfId="0"/>
    <xf numFmtId="0" fontId="5" fillId="4" borderId="27" applyAlignment="1" pivotButton="0" quotePrefix="0" xfId="0">
      <alignment horizontal="left"/>
    </xf>
    <xf numFmtId="0" fontId="22" fillId="0" borderId="13" pivotButton="0" quotePrefix="0" xfId="0"/>
    <xf numFmtId="0" fontId="15" fillId="0" borderId="13" pivotButton="0" quotePrefix="0" xfId="0"/>
    <xf numFmtId="0" fontId="15" fillId="0" borderId="20" pivotButton="0" quotePrefix="0" xfId="0"/>
    <xf numFmtId="0" fontId="15" fillId="0" borderId="18" pivotButton="0" quotePrefix="0" xfId="0"/>
    <xf numFmtId="0" fontId="21" fillId="4" borderId="0" pivotButton="0" quotePrefix="0" xfId="0"/>
    <xf numFmtId="0" fontId="21" fillId="5" borderId="4" pivotButton="0" quotePrefix="0" xfId="0"/>
    <xf numFmtId="0" fontId="15" fillId="0" borderId="22" pivotButton="0" quotePrefix="0" xfId="0"/>
    <xf numFmtId="0" fontId="15" fillId="4" borderId="20" pivotButton="0" quotePrefix="0" xfId="0"/>
    <xf numFmtId="0" fontId="5" fillId="4" borderId="0" applyAlignment="1" pivotButton="0" quotePrefix="0" xfId="0">
      <alignment vertical="center"/>
    </xf>
    <xf numFmtId="0" fontId="5" fillId="4" borderId="24" applyAlignment="1" pivotButton="0" quotePrefix="0" xfId="0">
      <alignment horizontal="center" vertical="center"/>
    </xf>
    <xf numFmtId="0" fontId="5" fillId="7" borderId="0" applyAlignment="1" pivotButton="0" quotePrefix="0" xfId="0">
      <alignment vertical="center"/>
    </xf>
    <xf numFmtId="0" fontId="5" fillId="7" borderId="0" applyAlignment="1" pivotButton="0" quotePrefix="0" xfId="0">
      <alignment horizontal="center" vertical="center" wrapText="1"/>
    </xf>
    <xf numFmtId="0" fontId="5" fillId="7" borderId="24" applyAlignment="1" pivotButton="0" quotePrefix="0" xfId="0">
      <alignment horizontal="center" vertical="center"/>
    </xf>
    <xf numFmtId="0" fontId="15" fillId="0" borderId="22" applyAlignment="1" pivotButton="0" quotePrefix="0" xfId="0">
      <alignment vertical="center"/>
    </xf>
    <xf numFmtId="0" fontId="15" fillId="4" borderId="20" applyAlignment="1" pivotButton="0" quotePrefix="0" xfId="0">
      <alignment wrapText="1"/>
    </xf>
    <xf numFmtId="0" fontId="5" fillId="4" borderId="24" applyAlignment="1" pivotButton="0" quotePrefix="0" xfId="0">
      <alignment horizontal="center" vertical="center" wrapText="1"/>
    </xf>
    <xf numFmtId="0" fontId="15" fillId="0" borderId="22" applyAlignment="1" pivotButton="0" quotePrefix="0" xfId="0">
      <alignment wrapText="1"/>
    </xf>
    <xf numFmtId="0" fontId="5" fillId="7" borderId="24" applyAlignment="1" pivotButton="0" quotePrefix="0" xfId="0">
      <alignment horizontal="center" vertical="center" wrapText="1"/>
    </xf>
    <xf numFmtId="0" fontId="5" fillId="4" borderId="26" applyAlignment="1" pivotButton="0" quotePrefix="0" xfId="0">
      <alignment vertical="center"/>
    </xf>
    <xf numFmtId="0" fontId="5" fillId="4" borderId="5" applyAlignment="1" pivotButton="0" quotePrefix="0" xfId="0">
      <alignment horizontal="center" vertical="center"/>
    </xf>
    <xf numFmtId="0" fontId="15" fillId="7" borderId="20" pivotButton="0" quotePrefix="0" xfId="0"/>
    <xf numFmtId="0" fontId="5" fillId="8" borderId="0" applyAlignment="1" pivotButton="0" quotePrefix="0" xfId="0">
      <alignment horizontal="center"/>
    </xf>
    <xf numFmtId="0" fontId="5" fillId="9" borderId="0" applyAlignment="1" pivotButton="0" quotePrefix="0" xfId="0">
      <alignment horizontal="center"/>
    </xf>
    <xf numFmtId="0" fontId="15" fillId="0" borderId="27" pivotButton="0" quotePrefix="0" xfId="0"/>
    <xf numFmtId="0" fontId="19" fillId="0" borderId="13" applyAlignment="1" pivotButton="0" quotePrefix="0" xfId="0">
      <alignment vertical="center"/>
    </xf>
    <xf numFmtId="0" fontId="15" fillId="0" borderId="13" applyAlignment="1" pivotButton="0" quotePrefix="0" xfId="0">
      <alignment vertical="center"/>
    </xf>
    <xf numFmtId="0" fontId="15" fillId="0" borderId="0" applyAlignment="1" pivotButton="0" quotePrefix="0" xfId="0">
      <alignment vertical="center"/>
    </xf>
    <xf numFmtId="0" fontId="21" fillId="5" borderId="3" applyAlignment="1" pivotButton="0" quotePrefix="0" xfId="0">
      <alignment wrapText="1"/>
    </xf>
    <xf numFmtId="0" fontId="21" fillId="5" borderId="4" applyAlignment="1" pivotButton="0" quotePrefix="0" xfId="0">
      <alignment wrapText="1"/>
    </xf>
    <xf numFmtId="0" fontId="15" fillId="0" borderId="20" applyAlignment="1" pivotButton="0" quotePrefix="0" xfId="0">
      <alignment wrapText="1"/>
    </xf>
    <xf numFmtId="0" fontId="5" fillId="0" borderId="23" applyAlignment="1" pivotButton="0" quotePrefix="0" xfId="0">
      <alignment vertical="center" wrapText="1"/>
    </xf>
    <xf numFmtId="0" fontId="5" fillId="0" borderId="24" applyAlignment="1" pivotButton="0" quotePrefix="0" xfId="0">
      <alignment vertical="center" wrapText="1"/>
    </xf>
    <xf numFmtId="0" fontId="5" fillId="0" borderId="25" applyAlignment="1" pivotButton="0" quotePrefix="0" xfId="0">
      <alignment vertical="center" wrapText="1"/>
    </xf>
    <xf numFmtId="0" fontId="5" fillId="0" borderId="5" applyAlignment="1" pivotButton="0" quotePrefix="0" xfId="0">
      <alignment vertical="center" wrapText="1"/>
    </xf>
    <xf numFmtId="0" fontId="23" fillId="0" borderId="13" pivotButton="0" quotePrefix="0" xfId="0"/>
    <xf numFmtId="0" fontId="15" fillId="4" borderId="0" pivotButton="0" quotePrefix="0" xfId="0"/>
    <xf numFmtId="0" fontId="24" fillId="5" borderId="7" pivotButton="0" quotePrefix="0" xfId="0"/>
    <xf numFmtId="0" fontId="24" fillId="5" borderId="29" pivotButton="0" quotePrefix="0" xfId="0"/>
    <xf numFmtId="0" fontId="15" fillId="0" borderId="23" applyAlignment="1" pivotButton="0" quotePrefix="0" xfId="0">
      <alignment vertical="center"/>
    </xf>
    <xf numFmtId="0" fontId="15" fillId="0" borderId="24" applyAlignment="1" pivotButton="0" quotePrefix="0" xfId="0">
      <alignment vertical="center" wrapText="1"/>
    </xf>
    <xf numFmtId="0" fontId="25" fillId="0" borderId="24" applyAlignment="1" pivotButton="0" quotePrefix="0" xfId="0">
      <alignment vertical="center" wrapText="1"/>
    </xf>
    <xf numFmtId="0" fontId="15" fillId="0" borderId="25" applyAlignment="1" pivotButton="0" quotePrefix="0" xfId="0">
      <alignment vertical="center"/>
    </xf>
    <xf numFmtId="0" fontId="15" fillId="0" borderId="5" applyAlignment="1" pivotButton="0" quotePrefix="0" xfId="0">
      <alignment vertical="center" wrapText="1"/>
    </xf>
    <xf numFmtId="0" fontId="7" fillId="4" borderId="13" applyAlignment="1" pivotButton="0" quotePrefix="0" xfId="0">
      <alignment horizontal="left"/>
    </xf>
    <xf numFmtId="0" fontId="5" fillId="0" borderId="20" pivotButton="0" quotePrefix="0" xfId="0"/>
    <xf numFmtId="0" fontId="5" fillId="0" borderId="27" pivotButton="0" quotePrefix="0" xfId="0"/>
    <xf numFmtId="0" fontId="5" fillId="4" borderId="13" pivotButton="0" quotePrefix="0" xfId="0"/>
    <xf numFmtId="0" fontId="5" fillId="4" borderId="18" pivotButton="0" quotePrefix="0" xfId="0"/>
    <xf numFmtId="0" fontId="5" fillId="3" borderId="30" pivotButton="0" quotePrefix="0" xfId="0"/>
    <xf numFmtId="0" fontId="5" fillId="4" borderId="22" pivotButton="0" quotePrefix="0" xfId="0"/>
    <xf numFmtId="0" fontId="5" fillId="3" borderId="31" pivotButton="0" quotePrefix="0" xfId="0"/>
    <xf numFmtId="0" fontId="5" fillId="3" borderId="32" pivotButton="0" quotePrefix="0" xfId="0"/>
    <xf numFmtId="0" fontId="5" fillId="0" borderId="33" pivotButton="0" quotePrefix="0" xfId="0"/>
    <xf numFmtId="0" fontId="5" fillId="3" borderId="34" pivotButton="0" quotePrefix="0" xfId="0"/>
    <xf numFmtId="0" fontId="5" fillId="0" borderId="19" pivotButton="0" quotePrefix="0" xfId="0"/>
    <xf numFmtId="0" fontId="5" fillId="0" borderId="35" pivotButton="0" quotePrefix="0" xfId="0"/>
    <xf numFmtId="0" fontId="26" fillId="0" borderId="36" pivotButton="0" quotePrefix="0" xfId="0"/>
    <xf numFmtId="0" fontId="26" fillId="0" borderId="37" pivotButton="0" quotePrefix="0" xfId="0"/>
    <xf numFmtId="0" fontId="26" fillId="0" borderId="38" pivotButton="0" quotePrefix="0" xfId="0"/>
    <xf numFmtId="0" fontId="4" fillId="0" borderId="39" pivotButton="0" quotePrefix="0" xfId="0"/>
    <xf numFmtId="0" fontId="4" fillId="4" borderId="22" pivotButton="0" quotePrefix="0" xfId="0"/>
    <xf numFmtId="0" fontId="26" fillId="0" borderId="0" pivotButton="0" quotePrefix="0" xfId="0"/>
    <xf numFmtId="0" fontId="26" fillId="0" borderId="39" pivotButton="0" quotePrefix="0" xfId="0"/>
    <xf numFmtId="0" fontId="5" fillId="0" borderId="38" pivotButton="0" quotePrefix="0" xfId="0"/>
    <xf numFmtId="0" fontId="26" fillId="0" borderId="40" pivotButton="0" quotePrefix="0" xfId="0"/>
    <xf numFmtId="0" fontId="4" fillId="0" borderId="41" pivotButton="0" quotePrefix="0" xfId="0"/>
    <xf numFmtId="0" fontId="4" fillId="3" borderId="41" pivotButton="0" quotePrefix="0" xfId="0"/>
    <xf numFmtId="0" fontId="26" fillId="0" borderId="41" pivotButton="0" quotePrefix="0" xfId="0"/>
    <xf numFmtId="0" fontId="26" fillId="0" borderId="42" pivotButton="0" quotePrefix="0" xfId="0"/>
    <xf numFmtId="0" fontId="26" fillId="0" borderId="27" pivotButton="0" quotePrefix="0" xfId="0"/>
    <xf numFmtId="0" fontId="26" fillId="0" borderId="15" pivotButton="0" quotePrefix="0" xfId="0"/>
    <xf numFmtId="0" fontId="27" fillId="0" borderId="20" pivotButton="0" quotePrefix="0" xfId="0"/>
    <xf numFmtId="0" fontId="2" fillId="7" borderId="43" pivotButton="0" quotePrefix="0" xfId="0"/>
    <xf numFmtId="0" fontId="2" fillId="7" borderId="44" pivotButton="0" quotePrefix="0" xfId="0"/>
    <xf numFmtId="0" fontId="5" fillId="7" borderId="44" pivotButton="0" quotePrefix="0" xfId="0"/>
    <xf numFmtId="0" fontId="28" fillId="7" borderId="45" pivotButton="0" quotePrefix="0" xfId="0"/>
    <xf numFmtId="0" fontId="5" fillId="7" borderId="46" pivotButton="0" quotePrefix="0" xfId="0"/>
    <xf numFmtId="0" fontId="29" fillId="7" borderId="47" pivotButton="0" quotePrefix="0" xfId="0"/>
    <xf numFmtId="0" fontId="5" fillId="7" borderId="48" pivotButton="0" quotePrefix="0" xfId="0"/>
    <xf numFmtId="0" fontId="30" fillId="7" borderId="47" pivotButton="0" quotePrefix="0" xfId="0"/>
    <xf numFmtId="0" fontId="5" fillId="0" borderId="18" applyAlignment="1" pivotButton="0" quotePrefix="0" xfId="0">
      <alignment vertical="top"/>
    </xf>
    <xf numFmtId="0" fontId="27" fillId="0" borderId="49" pivotButton="0" quotePrefix="0" xfId="0"/>
    <xf numFmtId="0" fontId="2" fillId="7" borderId="50" pivotButton="0" quotePrefix="0" xfId="0"/>
    <xf numFmtId="0" fontId="5" fillId="0" borderId="51" pivotButton="0" quotePrefix="0" xfId="0"/>
    <xf numFmtId="0" fontId="28" fillId="7" borderId="52" pivotButton="0" quotePrefix="0" xfId="0"/>
    <xf numFmtId="0" fontId="29" fillId="7" borderId="53" pivotButton="0" quotePrefix="0" xfId="0"/>
    <xf numFmtId="0" fontId="31" fillId="7" borderId="53" pivotButton="0" quotePrefix="0" xfId="0"/>
    <xf numFmtId="0" fontId="5" fillId="0" borderId="54" pivotButton="0" quotePrefix="0" xfId="0"/>
    <xf numFmtId="0" fontId="30" fillId="7" borderId="55" pivotButton="0" quotePrefix="0" xfId="0"/>
    <xf numFmtId="0" fontId="5" fillId="0" borderId="56" pivotButton="0" quotePrefix="0" xfId="0"/>
    <xf numFmtId="0" fontId="5" fillId="0" borderId="57" pivotButton="0" quotePrefix="0" xfId="0"/>
    <xf numFmtId="0" fontId="5" fillId="4" borderId="7" pivotButton="0" quotePrefix="0" xfId="0"/>
    <xf numFmtId="0" fontId="21" fillId="5" borderId="58" pivotButton="0" quotePrefix="0" xfId="0"/>
    <xf numFmtId="0" fontId="21" fillId="5" borderId="59" pivotButton="0" quotePrefix="0" xfId="0"/>
    <xf numFmtId="0" fontId="21" fillId="5" borderId="60" applyAlignment="1" pivotButton="0" quotePrefix="0" xfId="0">
      <alignment wrapText="1"/>
    </xf>
    <xf numFmtId="0" fontId="5" fillId="4" borderId="62" applyAlignment="1" pivotButton="0" quotePrefix="0" xfId="0">
      <alignment vertical="center" wrapText="1"/>
    </xf>
    <xf numFmtId="0" fontId="5" fillId="7" borderId="62" applyAlignment="1" pivotButton="0" quotePrefix="0" xfId="0">
      <alignment vertical="center" wrapText="1"/>
    </xf>
    <xf numFmtId="0" fontId="32" fillId="4" borderId="7" pivotButton="0" quotePrefix="0" xfId="0"/>
    <xf numFmtId="0" fontId="5" fillId="4" borderId="63" applyAlignment="1" pivotButton="0" quotePrefix="0" xfId="0">
      <alignment vertical="center"/>
    </xf>
    <xf numFmtId="0" fontId="5" fillId="4" borderId="64" applyAlignment="1" pivotButton="0" quotePrefix="0" xfId="0">
      <alignment vertical="center"/>
    </xf>
    <xf numFmtId="0" fontId="5" fillId="4" borderId="65" applyAlignment="1" pivotButton="0" quotePrefix="0" xfId="0">
      <alignment vertical="center" wrapText="1"/>
    </xf>
    <xf numFmtId="0" fontId="5" fillId="7" borderId="1" pivotButton="0" quotePrefix="0" xfId="0"/>
    <xf numFmtId="0" fontId="27" fillId="0" borderId="1" pivotButton="0" quotePrefix="0" xfId="0"/>
    <xf numFmtId="0" fontId="33" fillId="0" borderId="1" pivotButton="0" quotePrefix="0" xfId="0"/>
    <xf numFmtId="0" fontId="7" fillId="4" borderId="1" applyAlignment="1" pivotButton="0" quotePrefix="0" xfId="0">
      <alignment horizontal="left" vertical="center"/>
    </xf>
    <xf numFmtId="0" fontId="15" fillId="0" borderId="2" pivotButton="0" quotePrefix="0" xfId="0"/>
    <xf numFmtId="0" fontId="15" fillId="4" borderId="7" pivotButton="0" quotePrefix="0" xfId="0"/>
    <xf numFmtId="0" fontId="21" fillId="5" borderId="58" applyAlignment="1" pivotButton="0" quotePrefix="0" xfId="0">
      <alignment wrapText="1"/>
    </xf>
    <xf numFmtId="0" fontId="21" fillId="5" borderId="66" applyAlignment="1" pivotButton="0" quotePrefix="0" xfId="0">
      <alignment wrapText="1"/>
    </xf>
    <xf numFmtId="0" fontId="21" fillId="5" borderId="67" applyAlignment="1" pivotButton="0" quotePrefix="0" xfId="0">
      <alignment wrapText="1"/>
    </xf>
    <xf numFmtId="0" fontId="21" fillId="5" borderId="68" applyAlignment="1" pivotButton="0" quotePrefix="0" xfId="0">
      <alignment wrapText="1"/>
    </xf>
    <xf numFmtId="0" fontId="15" fillId="0" borderId="12" pivotButton="0" quotePrefix="0" xfId="0"/>
    <xf numFmtId="0" fontId="15" fillId="4" borderId="61" pivotButton="0" quotePrefix="0" xfId="0"/>
    <xf numFmtId="0" fontId="15" fillId="4" borderId="0" applyAlignment="1" pivotButton="0" quotePrefix="0" xfId="0">
      <alignment vertical="center"/>
    </xf>
    <xf numFmtId="0" fontId="15" fillId="4" borderId="0" applyAlignment="1" pivotButton="0" quotePrefix="0" xfId="0">
      <alignment vertical="center" wrapText="1"/>
    </xf>
    <xf numFmtId="0" fontId="15" fillId="4" borderId="0" applyAlignment="1" pivotButton="0" quotePrefix="0" xfId="0">
      <alignment horizontal="center" vertical="center"/>
    </xf>
    <xf numFmtId="0" fontId="15" fillId="9" borderId="69" applyAlignment="1" pivotButton="0" quotePrefix="0" xfId="0">
      <alignment horizontal="center" vertical="center"/>
    </xf>
    <xf numFmtId="0" fontId="15" fillId="7" borderId="61" pivotButton="0" quotePrefix="0" xfId="0"/>
    <xf numFmtId="0" fontId="15" fillId="7" borderId="0" applyAlignment="1" pivotButton="0" quotePrefix="0" xfId="0">
      <alignment vertical="center"/>
    </xf>
    <xf numFmtId="0" fontId="15" fillId="7" borderId="0" applyAlignment="1" pivotButton="0" quotePrefix="0" xfId="0">
      <alignment vertical="center" wrapText="1"/>
    </xf>
    <xf numFmtId="0" fontId="15" fillId="8" borderId="0" applyAlignment="1" pivotButton="0" quotePrefix="0" xfId="0">
      <alignment horizontal="center" vertical="center"/>
    </xf>
    <xf numFmtId="0" fontId="15" fillId="7" borderId="0" applyAlignment="1" pivotButton="0" quotePrefix="0" xfId="0">
      <alignment horizontal="center" vertical="center"/>
    </xf>
    <xf numFmtId="0" fontId="15" fillId="7" borderId="69" applyAlignment="1" pivotButton="0" quotePrefix="0" xfId="0">
      <alignment horizontal="center" vertical="center"/>
    </xf>
    <xf numFmtId="0" fontId="15" fillId="4" borderId="69" applyAlignment="1" pivotButton="0" quotePrefix="0" xfId="0">
      <alignment horizontal="center" vertical="center"/>
    </xf>
    <xf numFmtId="0" fontId="15" fillId="9" borderId="0" applyAlignment="1" pivotButton="0" quotePrefix="0" xfId="0">
      <alignment horizontal="center" vertical="center" wrapText="1"/>
    </xf>
    <xf numFmtId="0" fontId="15" fillId="7" borderId="7" pivotButton="0" quotePrefix="0" xfId="0"/>
    <xf numFmtId="0" fontId="15" fillId="7" borderId="63" pivotButton="0" quotePrefix="0" xfId="0"/>
    <xf numFmtId="0" fontId="15" fillId="7" borderId="64" applyAlignment="1" pivotButton="0" quotePrefix="0" xfId="0">
      <alignment vertical="center"/>
    </xf>
    <xf numFmtId="0" fontId="15" fillId="7" borderId="64" applyAlignment="1" pivotButton="0" quotePrefix="0" xfId="0">
      <alignment horizontal="center" vertical="center"/>
    </xf>
    <xf numFmtId="0" fontId="15" fillId="9" borderId="70" applyAlignment="1" pivotButton="0" quotePrefix="0" xfId="0">
      <alignment horizontal="center" vertical="center"/>
    </xf>
    <xf numFmtId="0" fontId="15" fillId="0" borderId="57" pivotButton="0" quotePrefix="0" xfId="0"/>
    <xf numFmtId="0" fontId="15" fillId="0" borderId="57" applyAlignment="1" pivotButton="0" quotePrefix="0" xfId="0">
      <alignment vertical="center"/>
    </xf>
    <xf numFmtId="0" fontId="21" fillId="5" borderId="66" applyAlignment="1" pivotButton="0" quotePrefix="0" xfId="0">
      <alignment vertical="center" wrapText="1"/>
    </xf>
    <xf numFmtId="0" fontId="21" fillId="5" borderId="68" applyAlignment="1" pivotButton="0" quotePrefix="0" xfId="0">
      <alignment vertical="center" wrapText="1"/>
    </xf>
    <xf numFmtId="0" fontId="15" fillId="0" borderId="7" pivotButton="0" quotePrefix="0" xfId="0"/>
    <xf numFmtId="0" fontId="15" fillId="0" borderId="61" pivotButton="0" quotePrefix="0" xfId="0"/>
    <xf numFmtId="0" fontId="15" fillId="0" borderId="0" applyAlignment="1" pivotButton="0" quotePrefix="0" xfId="0">
      <alignment horizontal="center" vertical="center"/>
    </xf>
    <xf numFmtId="0" fontId="15" fillId="0" borderId="69" applyAlignment="1" pivotButton="0" quotePrefix="0" xfId="0">
      <alignment horizontal="center" vertical="center"/>
    </xf>
    <xf numFmtId="0" fontId="15" fillId="0" borderId="63" pivotButton="0" quotePrefix="0" xfId="0"/>
    <xf numFmtId="0" fontId="15" fillId="0" borderId="64" applyAlignment="1" pivotButton="0" quotePrefix="0" xfId="0">
      <alignment vertical="center"/>
    </xf>
    <xf numFmtId="0" fontId="15" fillId="0" borderId="64" applyAlignment="1" pivotButton="0" quotePrefix="0" xfId="0">
      <alignment vertical="center" wrapText="1"/>
    </xf>
    <xf numFmtId="0" fontId="15" fillId="0" borderId="64" applyAlignment="1" pivotButton="0" quotePrefix="0" xfId="0">
      <alignment horizontal="center" vertical="center"/>
    </xf>
    <xf numFmtId="0" fontId="21" fillId="5" borderId="71" applyAlignment="1" pivotButton="0" quotePrefix="0" xfId="0">
      <alignment wrapText="1"/>
    </xf>
    <xf numFmtId="0" fontId="21" fillId="5" borderId="72" applyAlignment="1" pivotButton="0" quotePrefix="0" xfId="0">
      <alignment vertical="center" wrapText="1"/>
    </xf>
    <xf numFmtId="0" fontId="21" fillId="5" borderId="73" applyAlignment="1" pivotButton="0" quotePrefix="0" xfId="0">
      <alignment vertical="center" wrapText="1"/>
    </xf>
    <xf numFmtId="0" fontId="15" fillId="4" borderId="12" pivotButton="0" quotePrefix="0" xfId="0"/>
    <xf numFmtId="0" fontId="15" fillId="0" borderId="74" pivotButton="0" quotePrefix="0" xfId="0"/>
    <xf numFmtId="0" fontId="15" fillId="0" borderId="75" applyAlignment="1" pivotButton="0" quotePrefix="0" xfId="0">
      <alignment vertical="center"/>
    </xf>
    <xf numFmtId="0" fontId="15" fillId="0" borderId="75" applyAlignment="1" pivotButton="0" quotePrefix="0" xfId="0">
      <alignment horizontal="center" vertical="center"/>
    </xf>
    <xf numFmtId="0" fontId="15" fillId="9" borderId="76" applyAlignment="1" pivotButton="0" quotePrefix="0" xfId="0">
      <alignment horizontal="center" vertical="center"/>
    </xf>
    <xf numFmtId="0" fontId="15" fillId="9" borderId="77" applyAlignment="1" pivotButton="0" quotePrefix="0" xfId="0">
      <alignment horizontal="center" vertical="center"/>
    </xf>
    <xf numFmtId="0" fontId="15" fillId="4" borderId="12" applyAlignment="1" pivotButton="0" quotePrefix="0" xfId="0">
      <alignment horizontal="center"/>
    </xf>
    <xf numFmtId="0" fontId="15" fillId="0" borderId="6" pivotButton="0" quotePrefix="0" xfId="0"/>
    <xf numFmtId="0" fontId="21" fillId="5" borderId="59" applyAlignment="1" pivotButton="0" quotePrefix="0" xfId="0">
      <alignment vertical="center" wrapText="1"/>
    </xf>
    <xf numFmtId="0" fontId="15" fillId="0" borderId="78" pivotButton="0" quotePrefix="0" xfId="0"/>
    <xf numFmtId="0" fontId="15" fillId="0" borderId="79" pivotButton="0" quotePrefix="0" xfId="0"/>
    <xf numFmtId="0" fontId="15" fillId="0" borderId="80" applyAlignment="1" pivotButton="0" quotePrefix="0" xfId="0">
      <alignment vertical="center"/>
    </xf>
    <xf numFmtId="0" fontId="15" fillId="0" borderId="80" applyAlignment="1" pivotButton="0" quotePrefix="0" xfId="0">
      <alignment horizontal="center" vertical="center"/>
    </xf>
    <xf numFmtId="0" fontId="5" fillId="0" borderId="2" applyAlignment="1" pivotButton="0" quotePrefix="0" xfId="0">
      <alignment vertical="center"/>
    </xf>
    <xf numFmtId="0" fontId="8" fillId="0" borderId="8" pivotButton="0" quotePrefix="0" xfId="0"/>
    <xf numFmtId="0" fontId="7" fillId="4" borderId="3" applyAlignment="1" pivotButton="0" quotePrefix="0" xfId="0">
      <alignment horizontal="left" vertical="center"/>
    </xf>
    <xf numFmtId="0" fontId="8" fillId="0" borderId="4" pivotButton="0" quotePrefix="0" xfId="0"/>
    <xf numFmtId="0" fontId="8" fillId="0" borderId="9" pivotButton="0" quotePrefix="0" xfId="0"/>
    <xf numFmtId="0" fontId="8" fillId="0" borderId="10" pivotButton="0" quotePrefix="0" xfId="0"/>
    <xf numFmtId="0" fontId="19" fillId="0" borderId="14" applyAlignment="1" pivotButton="0" quotePrefix="0" xfId="0">
      <alignment vertical="center"/>
    </xf>
    <xf numFmtId="0" fontId="8" fillId="0" borderId="14" pivotButton="0" quotePrefix="0" xfId="0"/>
    <xf numFmtId="0" fontId="5" fillId="0" borderId="15" pivotButton="0" quotePrefix="0" xfId="0"/>
    <xf numFmtId="0" fontId="8" fillId="0" borderId="16" pivotButton="0" quotePrefix="0" xfId="0"/>
    <xf numFmtId="0" fontId="8" fillId="0" borderId="17" pivotButton="0" quotePrefix="0" xfId="0"/>
    <xf numFmtId="0" fontId="15" fillId="0" borderId="20" pivotButton="0" quotePrefix="0" xfId="0"/>
    <xf numFmtId="0" fontId="8" fillId="0" borderId="28" pivotButton="0" quotePrefix="0" xfId="0"/>
    <xf numFmtId="0" fontId="8" fillId="0" borderId="22" pivotButton="0" quotePrefix="0" xfId="0"/>
    <xf numFmtId="0" fontId="7" fillId="4" borderId="14" applyAlignment="1" pivotButton="0" quotePrefix="0" xfId="0">
      <alignment horizontal="left" vertical="center"/>
    </xf>
    <xf numFmtId="0" fontId="5" fillId="0" borderId="0" pivotButton="0" quotePrefix="0" xfId="0"/>
    <xf numFmtId="0" fontId="0" fillId="0" borderId="0" pivotButton="0" quotePrefix="0" xfId="0"/>
    <xf numFmtId="0" fontId="5" fillId="4" borderId="61" applyAlignment="1" pivotButton="0" quotePrefix="0" xfId="0">
      <alignment vertical="center"/>
    </xf>
    <xf numFmtId="0" fontId="5" fillId="7" borderId="61" applyAlignment="1" pivotButton="0" quotePrefix="0" xfId="0">
      <alignment vertical="center"/>
    </xf>
    <xf numFmtId="0" fontId="46" fillId="10" borderId="0" pivotButton="0" quotePrefix="0" xfId="0"/>
    <xf numFmtId="0" fontId="47" fillId="0" borderId="0" pivotButton="0" quotePrefix="0" xfId="0"/>
    <xf numFmtId="0" fontId="0" fillId="0" borderId="0" applyAlignment="1" pivotButton="0" quotePrefix="0" xfId="0">
      <alignment vertical="top" wrapText="1"/>
    </xf>
    <xf numFmtId="0" fontId="48" fillId="11" borderId="0" pivotButton="0" quotePrefix="0" xfId="0"/>
    <xf numFmtId="0" fontId="5" fillId="0" borderId="11" applyAlignment="1" pivotButton="0" quotePrefix="0" xfId="0">
      <alignment vertical="center"/>
    </xf>
    <xf numFmtId="0" fontId="7" fillId="4" borderId="11" applyAlignment="1" pivotButton="0" quotePrefix="0" xfId="0">
      <alignment horizontal="left" vertical="center"/>
    </xf>
    <xf numFmtId="0" fontId="0" fillId="0" borderId="4"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4" pivotButton="0" quotePrefix="0" xfId="0"/>
    <xf numFmtId="0" fontId="0" fillId="0" borderId="16" pivotButton="0" quotePrefix="0" xfId="0"/>
    <xf numFmtId="0" fontId="0" fillId="0" borderId="17" pivotButton="0" quotePrefix="0" xfId="0"/>
    <xf numFmtId="0" fontId="0" fillId="0" borderId="28" pivotButton="0" quotePrefix="0" xfId="0"/>
    <xf numFmtId="0" fontId="0" fillId="0" borderId="22" pivotButton="0" quotePrefix="0" xfId="0"/>
  </cellXfs>
  <cellStyles count="1">
    <cellStyle name="Normal" xfId="0" builtinId="0"/>
  </cellStyles>
  <dxfs count="37">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bgColor rgb="FFF3F3F3"/>
        </patternFill>
      </fill>
    </dxf>
    <dxf>
      <fill>
        <patternFill patternType="solid">
          <fgColor rgb="FFB7E1CD"/>
          <bgColor rgb="FFB7E1CD"/>
        </patternFill>
      </fill>
    </dxf>
    <dxf>
      <fill>
        <patternFill patternType="solid">
          <fgColor rgb="FFB7E1CD"/>
          <bgColor rgb="FFB7E1CD"/>
        </patternFill>
      </fill>
    </dxf>
    <dxf>
      <font>
        <color rgb="FFFFFFFF"/>
      </font>
      <fill>
        <patternFill patternType="solid">
          <fgColor rgb="FF4A86E8"/>
          <bgColor rgb="FF4A86E8"/>
        </patternFill>
      </fill>
    </dxf>
    <dxf>
      <fill>
        <patternFill>
          <bgColor rgb="FFF3F3F3"/>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00E2F0D9"/>
        </patternFill>
      </fill>
    </dxf>
  </dxfs>
  <tableStyles count="7" defaultTableStyle="TableStyleMedium9" defaultPivotStyle="PivotStyleLight16">
    <tableStyle name="survey-style" pivot="0" count="2">
      <tableStyleElement type="firstRowStripe" dxfId="35"/>
      <tableStyleElement type="secondRowStripe" dxfId="34"/>
    </tableStyle>
    <tableStyle name="choices-style" pivot="0" count="2">
      <tableStyleElement type="firstRowStripe" dxfId="33"/>
      <tableStyleElement type="secondRowStripe" dxfId="32"/>
    </tableStyle>
    <tableStyle name="🔀 Relevance-style" pivot="0" count="3">
      <tableStyleElement type="headerRow" dxfId="31"/>
      <tableStyleElement type="firstRowStripe" dxfId="30"/>
      <tableStyleElement type="secondRowStripe" dxfId="29"/>
    </tableStyle>
    <tableStyle name="🔒 Constraints-style" pivot="0" count="3">
      <tableStyleElement type="headerRow" dxfId="28"/>
      <tableStyleElement type="firstRowStripe" dxfId="27"/>
      <tableStyleElement type="secondRowStripe" dxfId="26"/>
    </tableStyle>
    <tableStyle name="✅ Additional columns-style" pivot="0" count="3">
      <tableStyleElement type="headerRow" dxfId="25"/>
      <tableStyleElement type="firstRowStripe" dxfId="24"/>
      <tableStyleElement type="secondRowStripe" dxfId="23"/>
    </tableStyle>
    <tableStyle name="✅ Additional columns-style 2" pivot="0" count="3">
      <tableStyleElement type="headerRow" dxfId="22"/>
      <tableStyleElement type="firstRowStripe" dxfId="21"/>
      <tableStyleElement type="secondRowStripe" dxfId="20"/>
    </tableStyle>
    <tableStyle name="✅ Additional columns-style 3" pivot="0" count="3">
      <tableStyleElement type="headerRow" dxfId="19"/>
      <tableStyleElement type="firstRowStripe" dxfId="18"/>
      <tableStyleElement type="secondRowStripe" dxfId="17"/>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None</author>
  </authors>
  <commentList>
    <comment ref="A1" authorId="0" shapeId="0">
      <text>
        <t>Determines what kinds of values are allowed and how the field is displayed. For certain types, further customization is possible using the appearance and parameters columns.
https://docs.getodk.org/form-question-types/</t>
      </text>
    </comment>
    <comment ref="B1" authorId="0" shapeId="0">
      <text>
        <t>Variable name. It may not contain spaces and must start with a letter or underscore. You should use a short, descriptive name and can use underscores to separate words. For example: date_of_birth.</t>
      </text>
    </comment>
    <comment ref="C1" authorId="0" shapeId="0">
      <text>
        <t>The user-visible question text for the field. For example: "When was ${first_name} born?" This text can optionally reference other fields or be styled using subsets of Markdown and HTML.
Can be translated.</t>
      </text>
    </comment>
    <comment ref="D1" authorId="0" shapeId="0">
      <text>
        <t>A hint that will be shown to the user below the question's label in smaller text.
Can be translated.</t>
      </text>
    </comment>
    <comment ref="E1" authorId="0" shapeId="0">
      <text>
        <t>Leave blank for questions that aren't required. Write yes for questions that are required. You can also use an expression to make a question conditionally required.
https://docs.getodk.org/form-logic/#requiring-responses</t>
      </text>
    </comment>
    <comment ref="F1" authorId="0" shapeId="0">
      <text>
        <t>An expression that determines whether a question will be displayed to a user or not. Lets you define branching or skip logic. 
See the Relevance tab for examples.</t>
      </text>
    </comment>
    <comment ref="G1" authorId="0" shapeId="0">
      <text>
        <t>One or more modifiers that determine how the question will be displayed.
See the Appearances tab for details.</t>
      </text>
    </comment>
    <comment ref="H1" authorId="0" shapeId="0">
      <text>
        <t>A fixed value or an expression that will be evaluated once on form load. The value can then be modified by the user.
https://docs.getodk.org/form-logic/#setting-default-responses</t>
      </text>
    </comment>
    <comment ref="I1" authorId="0" shapeId="0">
      <text>
        <t>An expression that determines whether a user-provided answer will be allowed or not. Constraint expressions use . to mean the value of the current field.
See the Constraints tab for examples.</t>
      </text>
    </comment>
    <comment ref="J1" authorId="0" shapeId="0">
      <text>
        <t>A message shown when the constraint expression evaluates to false.
Can be translated.</t>
      </text>
    </comment>
    <comment ref="K1" authorId="0" shapeId="0">
      <text>
        <t>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ref="L1" authorId="0" shapeId="0">
      <text>
        <t xml:space="preserve">Reference to a question that triggers the specified calculation when its value changes only. Useful for dynamic defaults.
https://docs.getodk.org/form-logic/#dynamic-defaults-from-form-data
</t>
      </text>
    </comment>
    <comment ref="M1" authorId="0" shapeId="0">
      <text>
        <t>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ref="N1" authorId="0" shapeId="0">
      <text>
        <t>One or more pairs of keys and values that configure aspects of a question type that are not appearance-related.
For example, an image question might have: max-pixels=1024</t>
      </text>
    </comment>
    <comment ref="O1" authorId="0" shapeId="0">
      <text>
        <t>The number of instances of a repeat to create. Can be a fixed value or a 
dynamic expression.
https://docs.getodk.org/form-logic/#fixed-repeat-count</t>
      </text>
    </comment>
    <comment ref="P1" authorId="0" shapeId="0">
      <text>
        <t>Can include a human-friendly note to describe the row. This will be ignored by all ODK tools.</t>
      </text>
    </comment>
    <comment ref="Q1" authorId="0" shapeId="0">
      <text>
        <t>Specify the filename of an image to display in addition to or instead of a text label.
Can be translated.</t>
      </text>
    </comment>
    <comment ref="R1" authorId="0" shapeId="0">
      <text>
        <t>Specify the filename of an audio file. This will display a button to play the audio next to the question label.
Can be translated.</t>
      </text>
    </comment>
    <comment ref="S1" authorId="0" shapeId="0">
      <text>
        <t>Specify the filename of a video file. This will display a button to play the video next to the question label.
Can be translated.</t>
      </text>
    </comment>
  </commentList>
</comments>
</file>

<file path=xl/comments/comment2.xml><?xml version="1.0" encoding="utf-8"?>
<comments xmlns="http://schemas.openxmlformats.org/spreadsheetml/2006/main">
  <authors>
    <author>None</author>
  </authors>
  <commentList>
    <comment ref="A1" authorId="0" shapeId="0">
      <text>
        <t>The name of a list. To group choices in a list, give them all the same list_name.
You can use the list_name with select types and as part of instance statements for looking values in lists.</t>
      </text>
    </comment>
    <comment ref="B1" authorId="0" shapeId="0">
      <text>
        <t>The value that will be saved when this choice is selected. This is the value you will use in analysis.
Like field names, choice names should be short and descriptive (e.g., y for Yes and n for No).</t>
      </text>
    </comment>
    <comment ref="C1" authorId="0" shapeId="0">
      <text>
        <t>The user-visible text for the choice. This text can have translations or be styled using subsets of Markdown and HTML.</t>
      </text>
    </comment>
    <comment ref="D1" authorId="0" shapeId="0">
      <text>
        <t>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comment3.xml><?xml version="1.0" encoding="utf-8"?>
<comments xmlns="http://schemas.openxmlformats.org/spreadsheetml/2006/main">
  <authors>
    <author>None</author>
  </authors>
  <commentList>
    <comment ref="A1" authorId="0" shapeId="0">
      <text>
        <t>The title that will be displayed to anyone who uses this form.
https://docs.getodk.org/xlsform/#the-settings-sheet</t>
      </text>
    </comment>
    <comment ref="B1" authorId="0" shapeId="0">
      <text>
        <t>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ref="C1" authorId="0" shapeId="0">
      <text>
        <t>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ref="D1" authorId="0" shapeId="0">
      <text>
        <t>An expression that will be used to represent a specific filled form created from this form definition. This will be used in lists of filled forms and on the server.
For example, concat(${first_name}, "-", ${age})
https://docs.getodk.org/xlsform/#naming-filled-forms</t>
      </text>
    </comment>
    <comment ref="E1" authorId="0" shapeId="0">
      <text>
        <t>If a form has multiple languages, the language that will be selected by default. For example: English (en)</t>
      </text>
    </comment>
    <comment ref="F1" authorId="0" shapeId="0">
      <text>
        <t>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comment4.xml><?xml version="1.0" encoding="utf-8"?>
<comments xmlns="http://schemas.openxmlformats.org/spreadsheetml/2006/main">
  <authors>
    <author>None</author>
  </authors>
  <commentList>
    <comment ref="A1" authorId="0" shapeId="0">
      <text>
        <t>The name of the entity list that Entities will be created in.
https://docs.getodk.org/central-entities/</t>
      </text>
    </comment>
    <comment ref="B1" authorId="0" shapeId="0">
      <text>
        <t>An expression used to create a label for each new Entity.</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0</row>
      <rowOff>107459</rowOff>
    </from>
    <ext cx="638175" cy="352425"/>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05154" y="107459"/>
          <a:ext cx="638175" cy="3524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ables/table1.xml><?xml version="1.0" encoding="utf-8"?>
<table xmlns="http://schemas.openxmlformats.org/spreadsheetml/2006/main" id="1" name="Table_3" displayName="Table_3" ref="A8:C18" headerRowCount="0">
  <tableColumns count="3">
    <tableColumn id="1" name="Column1"/>
    <tableColumn id="2" name="Column2"/>
    <tableColumn id="3" name="Column3"/>
  </tableColumns>
  <tableStyleInfo name="🔀 Relevance-style" showFirstColumn="1" showLastColumn="1" showRowStripes="1" showColumnStripes="0"/>
</table>
</file>

<file path=xl/tables/table2.xml><?xml version="1.0" encoding="utf-8"?>
<table xmlns="http://schemas.openxmlformats.org/spreadsheetml/2006/main" id="2" name="Table_4" displayName="Table_4" ref="A7:C21" headerRowCount="0">
  <tableColumns count="3">
    <tableColumn id="1" name="Column1"/>
    <tableColumn id="2" name="Column2"/>
    <tableColumn id="3" name="Column3"/>
  </tableColumns>
  <tableStyleInfo name="🔒 Constraints-style" showFirstColumn="1" showLastColumn="1" showRowStripes="1" showColumnStripes="0"/>
</table>
</file>

<file path=xl/tables/table3.xml><?xml version="1.0" encoding="utf-8"?>
<table xmlns="http://schemas.openxmlformats.org/spreadsheetml/2006/main" id="3" name="Table_5" displayName="Table_5" ref="A15:G19" headerRowCount="0">
  <tableColumns count="7">
    <tableColumn id="1" name="Column1"/>
    <tableColumn id="2" name="Column2"/>
    <tableColumn id="3" name="Column3"/>
    <tableColumn id="4" name="Column4"/>
    <tableColumn id="5" name="Column5"/>
    <tableColumn id="6" name="Column6"/>
    <tableColumn id="7" name="Column7"/>
  </tableColumns>
  <tableStyleInfo name="✅ Additional columns-style" showFirstColumn="1" showLastColumn="1" showRowStripes="1" showColumnStripes="0"/>
</table>
</file>

<file path=xl/tables/table4.xml><?xml version="1.0" encoding="utf-8"?>
<table xmlns="http://schemas.openxmlformats.org/spreadsheetml/2006/main" id="4" name="Table_6" displayName="Table_6" ref="A21:G24" headerRowCount="0">
  <tableColumns count="7">
    <tableColumn id="1" name="Column1"/>
    <tableColumn id="2" name="Column2"/>
    <tableColumn id="3" name="Column3"/>
    <tableColumn id="4" name="Column4"/>
    <tableColumn id="5" name="Column5"/>
    <tableColumn id="6" name="Column6"/>
    <tableColumn id="7" name="Column7"/>
  </tableColumns>
  <tableStyleInfo name="✅ Additional columns-style 2" showFirstColumn="1" showLastColumn="1" showRowStripes="1" showColumnStripes="0"/>
</table>
</file>

<file path=xl/tables/table5.xml><?xml version="1.0" encoding="utf-8"?>
<table xmlns="http://schemas.openxmlformats.org/spreadsheetml/2006/main" id="5" name="Table_7" displayName="Table_7" ref="A26:G29" headerRowCount="0">
  <tableColumns count="7">
    <tableColumn id="1" name="Column1"/>
    <tableColumn id="2" name="Column2"/>
    <tableColumn id="3" name="Column3"/>
    <tableColumn id="4" name="Column4"/>
    <tableColumn id="5" name="Column5"/>
    <tableColumn id="6" name="Column6"/>
    <tableColumn id="7" name="Column7"/>
  </tableColumns>
  <tableStyleInfo name="✅ Additional columns-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https://creativecommons.org/licenses/by-sa/4.0/deed.en" TargetMode="External" Id="rId1"/><Relationship Type="http://schemas.openxmlformats.org/officeDocument/2006/relationships/hyperlink" Target="https://docs.getodk.org/form-design-intro/" TargetMode="External" Id="rId2"/><Relationship Type="http://schemas.openxmlformats.org/officeDocument/2006/relationships/hyperlink" Target="https://xlsform.org/" TargetMode="External" Id="rId3"/><Relationship Type="http://schemas.openxmlformats.org/officeDocument/2006/relationships/hyperlink" Target="https://forum.getodk.org/c/support/6" TargetMode="External" Id="rId4"/><Relationship Type="http://schemas.openxmlformats.org/officeDocument/2006/relationships/hyperlink" Target="https://forum.getodk.org/c/ideas/9" TargetMode="External" Id="rId5"/><Relationship Type="http://schemas.openxmlformats.org/officeDocument/2006/relationships/hyperlink" Target="https://github.com/Sjlver/yxf" TargetMode="External" Id="rId6"/><Relationship Type="http://schemas.openxmlformats.org/officeDocument/2006/relationships/hyperlink" Target="https://docs.google.com/spreadsheets/d/1AB2BNb2dsAOMJuRDjC-ii2-AeljDZ8TeGqAK6tLmZvk/edit" TargetMode="External" Id="rId7"/><Relationship Type="http://schemas.openxmlformats.org/officeDocument/2006/relationships/hyperlink" Target="https://forum.getodk.org/t/xlsform-template-some-missing-appearances/43671" TargetMode="External" Id="rId8"/><Relationship Type="http://schemas.openxmlformats.org/officeDocument/2006/relationships/drawing" Target="/xl/drawings/drawing1.xml" Id="rId9"/></Relationships>
</file>

<file path=xl/worksheets/_rels/sheet7.xml.rels><Relationships xmlns="http://schemas.openxmlformats.org/package/2006/relationships"><Relationship Type="http://schemas.openxmlformats.org/officeDocument/2006/relationships/hyperlink" Target="https://docs.google.com/spreadsheets/d/1af_Sl8A_L8_EULbhRLHVl8OclCfco09Hq2tqb9CslwQ/edit" TargetMode="External" Id="rId1"/></Relationships>
</file>

<file path=xl/worksheets/_rels/sheet9.xml.rels><Relationships xmlns="http://schemas.openxmlformats.org/package/2006/relationships"><Relationship Type="http://schemas.openxmlformats.org/officeDocument/2006/relationships/hyperlink" Target="https://docs.getodk.org/form-operators-functions/" TargetMode="External" Id="rId1"/><Relationship Type="http://schemas.openxmlformats.org/officeDocument/2006/relationships/table" Target="/xl/tables/table1.xml" Id="rId2"/></Relationships>
</file>

<file path=xl/worksheets/_rels/sheet10.xml.rels><Relationships xmlns="http://schemas.openxmlformats.org/package/2006/relationships"><Relationship Type="http://schemas.openxmlformats.org/officeDocument/2006/relationships/hyperlink" Target="https://docs.getodk.org/form-operators-functions/" TargetMode="External" Id="rId1"/><Relationship Type="http://schemas.openxmlformats.org/officeDocument/2006/relationships/hyperlink" Target="https://www.oreilly.com/library/view/regular-expressions-cookbook/9781449327453/ch04s01.html" TargetMode="External" Id="rId2"/><Relationship Type="http://schemas.openxmlformats.org/officeDocument/2006/relationships/table" Target="/xl/tables/table2.xml" Id="rId3"/></Relationships>
</file>

<file path=xl/worksheets/_rels/sheet11.xml.rels><Relationships xmlns="http://schemas.openxmlformats.org/package/2006/relationships"><Relationship Type="http://schemas.openxmlformats.org/officeDocument/2006/relationships/hyperlink" Target="http://www.iana.org/assignments/language-subtag-registry/language-subtag-registry" TargetMode="External" Id="rId1"/></Relationships>
</file>

<file path=xl/worksheets/_rels/sheet13.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 Type="http://schemas.openxmlformats.org/officeDocument/2006/relationships/table" Target="/xl/tables/table5.xml" Id="rId3"/></Relationships>
</file>

<file path=xl/worksheets/sheet1.xml><?xml version="1.0" encoding="utf-8"?>
<worksheet xmlns="http://schemas.openxmlformats.org/spreadsheetml/2006/main">
  <sheetPr>
    <outlinePr summaryBelow="1" summaryRight="1"/>
    <pageSetUpPr/>
  </sheetPr>
  <dimension ref="A1:L451"/>
  <sheetViews>
    <sheetView showGridLines="0" workbookViewId="0">
      <pane ySplit="12" topLeftCell="A13" activePane="bottomLeft" state="frozen"/>
      <selection pane="bottomLeft" activeCell="A1" sqref="A1"/>
    </sheetView>
  </sheetViews>
  <sheetFormatPr baseColWidth="8" defaultRowHeight="15"/>
  <cols>
    <col width="12" customWidth="1" style="250" min="1" max="1"/>
    <col width="28" customWidth="1" style="250" min="2" max="2"/>
    <col width="24" customWidth="1" style="250" min="3" max="3"/>
    <col width="16" customWidth="1" style="250" min="4" max="4"/>
    <col width="14" customWidth="1" style="250" min="5" max="5"/>
    <col width="16" customWidth="1" style="250" min="6" max="6"/>
    <col width="30" customWidth="1" style="250" min="7" max="7"/>
    <col width="90" customWidth="1" style="250" min="8" max="8"/>
    <col width="100" customWidth="1" style="250" min="9" max="9"/>
    <col width="24" customWidth="1" style="250" min="10" max="10"/>
    <col width="90" customWidth="1" style="250" min="11" max="11"/>
    <col width="100" customWidth="1" style="250" min="12" max="12"/>
  </cols>
  <sheetData>
    <row r="1">
      <c r="A1" s="253" t="inlineStr">
        <is>
          <t>MethodMesh Excel-first recipe builder</t>
        </is>
      </c>
    </row>
    <row r="3">
      <c r="A3" s="254" t="inlineStr">
        <is>
          <t>How to use</t>
        </is>
      </c>
    </row>
    <row r="4">
      <c r="A4" t="inlineStr">
        <is>
          <t>1. Add ordinary study fields to survey rows 30–468.</t>
        </is>
      </c>
    </row>
    <row r="5">
      <c r="A5" t="inlineStr">
        <is>
          <t>2. Enter yes in the Include field? column only for fields that must be included in the attested recipe. Blank means excluded.</t>
        </is>
      </c>
    </row>
    <row r="6">
      <c r="A6" t="inlineStr">
        <is>
          <t>3. Copy Recipe JSON below into survey.mm_commitment_recipe calculation. Copy Canonical expression into survey.mm_canonical_commitment_live calculation.</t>
        </is>
      </c>
    </row>
    <row r="7">
      <c r="A7" t="inlineStr">
        <is>
          <t>4. Replace mm_form_id and mm_form_version calculations with the values from settings, then convert the XLSForm normally.</t>
        </is>
      </c>
    </row>
    <row r="8">
      <c r="A8" t="inlineStr">
        <is>
          <t>Recipe prefix (generated; do not edit)</t>
        </is>
      </c>
      <c r="B8" t="inlineStr">
        <is>
          <t>{"schema":"methodmesh.commitment_recipe.v1","canonicalization":"ordered-kv-v1","hash_algorithm":"SHA-256","encoding":"UTF-8","pair_separator":"|","key_value_separator":"=","escaping":"none","members":[{"path":"study_id","type":"string","commitment":"value"},{"path":"form_id","type":"string","commitment":"value"},{"path":"form_version","type":"string","commitment":"value"},{"path":"workflow_instance_id","type":"string","commitment":"value"},{"path":"credential_id_sha256","type":"sha256","commitment":"text-utf8-sha256"},{"path":"credential_subject_id_sha256","type":"sha256","commitment":"text-utf8-sha256"},{"path":"issuer_public_key_fingerprint_sha256","type":"sha256","commitment":"value"},{"path":"verification_evidence_hash","type":"sha256","commitment":"value"}</t>
        </is>
      </c>
    </row>
    <row r="9" ht="80" customHeight="1" s="250">
      <c r="A9" s="254" t="inlineStr">
        <is>
          <t>Recipe JSON — copy the displayed result from B9 into survey</t>
        </is>
      </c>
      <c r="B9" s="255">
        <f>B8&amp;K451&amp;"]}"</f>
        <v/>
      </c>
    </row>
    <row r="10" ht="100" customHeight="1" s="250">
      <c r="A10" s="254" t="inlineStr">
        <is>
          <t>Canonical expression — copy the displayed result from B10 into survey</t>
        </is>
      </c>
      <c r="B10" s="255">
        <f>"concat('study_id=', string(${mm_study_id}), '|', 'form_id=', string(${mm_form_id}), '|', 'form_version=', string(${mm_form_version}), '|', 'workflow_instance_id=', string(${mm_workflow_instance_id}), '|', 'credential_id_sha256=', string(${mm_credential_id_sha256}), '|', 'credential_subject_id_sha256=', string(${mm_credential_subject_id_sha256}), '|', 'issuer_public_key_fingerprint_sha256=', string(${mm_auth_issuer_public_key_fingerprint_sha256}), '|', 'verification_evidence_hash=', string(${mm_auth_verification_evidence_hash}),"&amp;L451&amp;")"</f>
        <v/>
      </c>
    </row>
    <row r="12">
      <c r="A12" s="256" t="inlineStr">
        <is>
          <t>survey row</t>
        </is>
      </c>
      <c r="B12" s="256" t="inlineStr">
        <is>
          <t>name</t>
        </is>
      </c>
      <c r="C12" s="256" t="inlineStr">
        <is>
          <t>type</t>
        </is>
      </c>
      <c r="D12" s="256" t="inlineStr">
        <is>
          <t>Include field?</t>
        </is>
      </c>
      <c r="E12" s="256" t="inlineStr">
        <is>
          <t>decision</t>
        </is>
      </c>
      <c r="F12" s="256" t="inlineStr">
        <is>
          <t>recipe type</t>
        </is>
      </c>
      <c r="G12" s="256" t="inlineStr">
        <is>
          <t>transform</t>
        </is>
      </c>
      <c r="H12" s="256" t="inlineStr">
        <is>
          <t>recipe member JSON</t>
        </is>
      </c>
      <c r="I12" s="256" t="inlineStr">
        <is>
          <t>canonical pair</t>
        </is>
      </c>
      <c r="J12" s="256" t="inlineStr">
        <is>
          <t>notes</t>
        </is>
      </c>
      <c r="K12" s="256" t="inlineStr">
        <is>
          <t>recipe accumulation</t>
        </is>
      </c>
      <c r="L12" s="256" t="inlineStr">
        <is>
          <t>canonical accumulation</t>
        </is>
      </c>
    </row>
    <row r="13">
      <c r="A13" t="n">
        <v>30</v>
      </c>
      <c r="B13">
        <f>survey!B30</f>
        <v/>
      </c>
      <c r="C13">
        <f>survey!A30</f>
        <v/>
      </c>
      <c r="D13" t="inlineStr"/>
      <c r="E13">
        <f>IF(OR(B13="",C13=""),"",IF(LOWER(D13)="yes","INCLUDE","EXCLUDE"))</f>
        <v/>
      </c>
      <c r="F13">
        <f>IF(E13&lt;&gt;"INCLUDE","",IF(LEFT(LOWER(C13),10)="select_one ","select_one",IF(LOWER(C13)="date","date",IF(OR(LOWER(C13)="integer",LOWER(C13)="decimal",LOWER(C13)="range"),LOWER(C13),"sha256"))))</f>
        <v/>
      </c>
      <c r="G13">
        <f>IF(E13&lt;&gt;"INCLUDE","",IF(F13="date","yyyy-mm-dd",IF(F13="select_one","stored-choice-name",IF(F13="sha256","odk-lexical-utf8-sha256","odk-canonical-scalar"))))</f>
        <v/>
      </c>
      <c r="H13">
        <f>IF(E13&lt;&gt;"INCLUDE","","{"&amp;CHAR(34)&amp;"path"&amp;CHAR(34)&amp;":"&amp;CHAR(34)&amp;B13&amp;CHAR(34)&amp;","&amp;CHAR(34)&amp;"type"&amp;CHAR(34)&amp;":"&amp;CHAR(34)&amp;F13&amp;CHAR(34)&amp;","&amp;CHAR(34)&amp;"xlsform_type"&amp;CHAR(34)&amp;":"&amp;CHAR(34)&amp;C13&amp;CHAR(34)&amp;","&amp;CHAR(34)&amp;"commitment"&amp;CHAR(34)&amp;":"&amp;CHAR(34)&amp;IF(F13="sha256","text-utf8-sha256","value")&amp;CHAR(34)&amp;","&amp;CHAR(34)&amp;"transform"&amp;CHAR(34)&amp;":"&amp;CHAR(34)&amp;G13&amp;CHAR(34)&amp;"}")</f>
        <v/>
      </c>
      <c r="I13">
        <f>IF(E13&lt;&gt;"INCLUDE","","'|"&amp;B13&amp;"=', "&amp;IF(F13="date","if(string-length(string(${"&amp;B13&amp;"})) &gt; 0, format-date(${"&amp;B13&amp;"}, '%Y-%m-%d'), '')",IF(F13="sha256","digest(string(${"&amp;B13&amp;"}), 'SHA-256', 'hex')","string(${"&amp;B13&amp;"})")))</f>
        <v/>
      </c>
      <c r="J13">
        <f>IF(E13="INCLUDE","Included by explicit yes","Not included")</f>
        <v/>
      </c>
      <c r="K13">
        <f>IF(H13="","",","&amp;H13)</f>
        <v/>
      </c>
      <c r="L13">
        <f>IF(I13="","",I13)</f>
        <v/>
      </c>
    </row>
    <row r="14">
      <c r="A14" t="n">
        <v>31</v>
      </c>
      <c r="B14">
        <f>survey!B31</f>
        <v/>
      </c>
      <c r="C14">
        <f>survey!A31</f>
        <v/>
      </c>
      <c r="D14" t="inlineStr"/>
      <c r="E14">
        <f>IF(OR(B14="",C14=""),"",IF(LOWER(D14)="yes","INCLUDE","EXCLUDE"))</f>
        <v/>
      </c>
      <c r="F14">
        <f>IF(E14&lt;&gt;"INCLUDE","",IF(LEFT(LOWER(C14),10)="select_one ","select_one",IF(LOWER(C14)="date","date",IF(OR(LOWER(C14)="integer",LOWER(C14)="decimal",LOWER(C14)="range"),LOWER(C14),"sha256"))))</f>
        <v/>
      </c>
      <c r="G14">
        <f>IF(E14&lt;&gt;"INCLUDE","",IF(F14="date","yyyy-mm-dd",IF(F14="select_one","stored-choice-name",IF(F14="sha256","odk-lexical-utf8-sha256","odk-canonical-scalar"))))</f>
        <v/>
      </c>
      <c r="H14">
        <f>IF(E14&lt;&gt;"INCLUDE","","{"&amp;CHAR(34)&amp;"path"&amp;CHAR(34)&amp;":"&amp;CHAR(34)&amp;B14&amp;CHAR(34)&amp;","&amp;CHAR(34)&amp;"type"&amp;CHAR(34)&amp;":"&amp;CHAR(34)&amp;F14&amp;CHAR(34)&amp;","&amp;CHAR(34)&amp;"xlsform_type"&amp;CHAR(34)&amp;":"&amp;CHAR(34)&amp;C14&amp;CHAR(34)&amp;","&amp;CHAR(34)&amp;"commitment"&amp;CHAR(34)&amp;":"&amp;CHAR(34)&amp;IF(F14="sha256","text-utf8-sha256","value")&amp;CHAR(34)&amp;","&amp;CHAR(34)&amp;"transform"&amp;CHAR(34)&amp;":"&amp;CHAR(34)&amp;G14&amp;CHAR(34)&amp;"}")</f>
        <v/>
      </c>
      <c r="I14">
        <f>IF(E14&lt;&gt;"INCLUDE","","'|"&amp;B14&amp;"=', "&amp;IF(F14="date","if(string-length(string(${"&amp;B14&amp;"})) &gt; 0, format-date(${"&amp;B14&amp;"}, '%Y-%m-%d'), '')",IF(F14="sha256","digest(string(${"&amp;B14&amp;"}), 'SHA-256', 'hex')","string(${"&amp;B14&amp;"})")))</f>
        <v/>
      </c>
      <c r="J14">
        <f>IF(E14="INCLUDE","Included by explicit yes","Not included")</f>
        <v/>
      </c>
      <c r="K14">
        <f>K13&amp;IF(H14="","",","&amp;H14)</f>
        <v/>
      </c>
      <c r="L14">
        <f>L13&amp;IF(I14="","",","&amp;I14)</f>
        <v/>
      </c>
    </row>
    <row r="15">
      <c r="A15" t="n">
        <v>32</v>
      </c>
      <c r="B15">
        <f>survey!B32</f>
        <v/>
      </c>
      <c r="C15">
        <f>survey!A32</f>
        <v/>
      </c>
      <c r="D15" t="inlineStr"/>
      <c r="E15">
        <f>IF(OR(B15="",C15=""),"",IF(LOWER(D15)="yes","INCLUDE","EXCLUDE"))</f>
        <v/>
      </c>
      <c r="F15">
        <f>IF(E15&lt;&gt;"INCLUDE","",IF(LEFT(LOWER(C15),10)="select_one ","select_one",IF(LOWER(C15)="date","date",IF(OR(LOWER(C15)="integer",LOWER(C15)="decimal",LOWER(C15)="range"),LOWER(C15),"sha256"))))</f>
        <v/>
      </c>
      <c r="G15">
        <f>IF(E15&lt;&gt;"INCLUDE","",IF(F15="date","yyyy-mm-dd",IF(F15="select_one","stored-choice-name",IF(F15="sha256","odk-lexical-utf8-sha256","odk-canonical-scalar"))))</f>
        <v/>
      </c>
      <c r="H15">
        <f>IF(E15&lt;&gt;"INCLUDE","","{"&amp;CHAR(34)&amp;"path"&amp;CHAR(34)&amp;":"&amp;CHAR(34)&amp;B15&amp;CHAR(34)&amp;","&amp;CHAR(34)&amp;"type"&amp;CHAR(34)&amp;":"&amp;CHAR(34)&amp;F15&amp;CHAR(34)&amp;","&amp;CHAR(34)&amp;"xlsform_type"&amp;CHAR(34)&amp;":"&amp;CHAR(34)&amp;C15&amp;CHAR(34)&amp;","&amp;CHAR(34)&amp;"commitment"&amp;CHAR(34)&amp;":"&amp;CHAR(34)&amp;IF(F15="sha256","text-utf8-sha256","value")&amp;CHAR(34)&amp;","&amp;CHAR(34)&amp;"transform"&amp;CHAR(34)&amp;":"&amp;CHAR(34)&amp;G15&amp;CHAR(34)&amp;"}")</f>
        <v/>
      </c>
      <c r="I15">
        <f>IF(E15&lt;&gt;"INCLUDE","","'|"&amp;B15&amp;"=', "&amp;IF(F15="date","if(string-length(string(${"&amp;B15&amp;"})) &gt; 0, format-date(${"&amp;B15&amp;"}, '%Y-%m-%d'), '')",IF(F15="sha256","digest(string(${"&amp;B15&amp;"}), 'SHA-256', 'hex')","string(${"&amp;B15&amp;"})")))</f>
        <v/>
      </c>
      <c r="J15">
        <f>IF(E15="INCLUDE","Included by explicit yes","Not included")</f>
        <v/>
      </c>
      <c r="K15">
        <f>K14&amp;IF(H15="","",","&amp;H15)</f>
        <v/>
      </c>
      <c r="L15">
        <f>L14&amp;IF(I15="","",","&amp;I15)</f>
        <v/>
      </c>
    </row>
    <row r="16">
      <c r="A16" t="n">
        <v>33</v>
      </c>
      <c r="B16">
        <f>survey!B33</f>
        <v/>
      </c>
      <c r="C16">
        <f>survey!A33</f>
        <v/>
      </c>
      <c r="D16" t="inlineStr"/>
      <c r="E16">
        <f>IF(OR(B16="",C16=""),"",IF(LOWER(D16)="yes","INCLUDE","EXCLUDE"))</f>
        <v/>
      </c>
      <c r="F16">
        <f>IF(E16&lt;&gt;"INCLUDE","",IF(LEFT(LOWER(C16),10)="select_one ","select_one",IF(LOWER(C16)="date","date",IF(OR(LOWER(C16)="integer",LOWER(C16)="decimal",LOWER(C16)="range"),LOWER(C16),"sha256"))))</f>
        <v/>
      </c>
      <c r="G16">
        <f>IF(E16&lt;&gt;"INCLUDE","",IF(F16="date","yyyy-mm-dd",IF(F16="select_one","stored-choice-name",IF(F16="sha256","odk-lexical-utf8-sha256","odk-canonical-scalar"))))</f>
        <v/>
      </c>
      <c r="H16">
        <f>IF(E16&lt;&gt;"INCLUDE","","{"&amp;CHAR(34)&amp;"path"&amp;CHAR(34)&amp;":"&amp;CHAR(34)&amp;B16&amp;CHAR(34)&amp;","&amp;CHAR(34)&amp;"type"&amp;CHAR(34)&amp;":"&amp;CHAR(34)&amp;F16&amp;CHAR(34)&amp;","&amp;CHAR(34)&amp;"xlsform_type"&amp;CHAR(34)&amp;":"&amp;CHAR(34)&amp;C16&amp;CHAR(34)&amp;","&amp;CHAR(34)&amp;"commitment"&amp;CHAR(34)&amp;":"&amp;CHAR(34)&amp;IF(F16="sha256","text-utf8-sha256","value")&amp;CHAR(34)&amp;","&amp;CHAR(34)&amp;"transform"&amp;CHAR(34)&amp;":"&amp;CHAR(34)&amp;G16&amp;CHAR(34)&amp;"}")</f>
        <v/>
      </c>
      <c r="I16">
        <f>IF(E16&lt;&gt;"INCLUDE","","'|"&amp;B16&amp;"=', "&amp;IF(F16="date","if(string-length(string(${"&amp;B16&amp;"})) &gt; 0, format-date(${"&amp;B16&amp;"}, '%Y-%m-%d'), '')",IF(F16="sha256","digest(string(${"&amp;B16&amp;"}), 'SHA-256', 'hex')","string(${"&amp;B16&amp;"})")))</f>
        <v/>
      </c>
      <c r="J16">
        <f>IF(E16="INCLUDE","Included by explicit yes","Not included")</f>
        <v/>
      </c>
      <c r="K16">
        <f>K15&amp;IF(H16="","",","&amp;H16)</f>
        <v/>
      </c>
      <c r="L16">
        <f>L15&amp;IF(I16="","",","&amp;I16)</f>
        <v/>
      </c>
    </row>
    <row r="17">
      <c r="A17" t="n">
        <v>34</v>
      </c>
      <c r="B17">
        <f>survey!B34</f>
        <v/>
      </c>
      <c r="C17">
        <f>survey!A34</f>
        <v/>
      </c>
      <c r="D17" t="inlineStr"/>
      <c r="E17">
        <f>IF(OR(B17="",C17=""),"",IF(LOWER(D17)="yes","INCLUDE","EXCLUDE"))</f>
        <v/>
      </c>
      <c r="F17">
        <f>IF(E17&lt;&gt;"INCLUDE","",IF(LEFT(LOWER(C17),10)="select_one ","select_one",IF(LOWER(C17)="date","date",IF(OR(LOWER(C17)="integer",LOWER(C17)="decimal",LOWER(C17)="range"),LOWER(C17),"sha256"))))</f>
        <v/>
      </c>
      <c r="G17">
        <f>IF(E17&lt;&gt;"INCLUDE","",IF(F17="date","yyyy-mm-dd",IF(F17="select_one","stored-choice-name",IF(F17="sha256","odk-lexical-utf8-sha256","odk-canonical-scalar"))))</f>
        <v/>
      </c>
      <c r="H17">
        <f>IF(E17&lt;&gt;"INCLUDE","","{"&amp;CHAR(34)&amp;"path"&amp;CHAR(34)&amp;":"&amp;CHAR(34)&amp;B17&amp;CHAR(34)&amp;","&amp;CHAR(34)&amp;"type"&amp;CHAR(34)&amp;":"&amp;CHAR(34)&amp;F17&amp;CHAR(34)&amp;","&amp;CHAR(34)&amp;"xlsform_type"&amp;CHAR(34)&amp;":"&amp;CHAR(34)&amp;C17&amp;CHAR(34)&amp;","&amp;CHAR(34)&amp;"commitment"&amp;CHAR(34)&amp;":"&amp;CHAR(34)&amp;IF(F17="sha256","text-utf8-sha256","value")&amp;CHAR(34)&amp;","&amp;CHAR(34)&amp;"transform"&amp;CHAR(34)&amp;":"&amp;CHAR(34)&amp;G17&amp;CHAR(34)&amp;"}")</f>
        <v/>
      </c>
      <c r="I17">
        <f>IF(E17&lt;&gt;"INCLUDE","","'|"&amp;B17&amp;"=', "&amp;IF(F17="date","if(string-length(string(${"&amp;B17&amp;"})) &gt; 0, format-date(${"&amp;B17&amp;"}, '%Y-%m-%d'), '')",IF(F17="sha256","digest(string(${"&amp;B17&amp;"}), 'SHA-256', 'hex')","string(${"&amp;B17&amp;"})")))</f>
        <v/>
      </c>
      <c r="J17">
        <f>IF(E17="INCLUDE","Included by explicit yes","Not included")</f>
        <v/>
      </c>
      <c r="K17">
        <f>K16&amp;IF(H17="","",","&amp;H17)</f>
        <v/>
      </c>
      <c r="L17">
        <f>L16&amp;IF(I17="","",","&amp;I17)</f>
        <v/>
      </c>
    </row>
    <row r="18">
      <c r="A18" t="n">
        <v>35</v>
      </c>
      <c r="B18">
        <f>survey!B35</f>
        <v/>
      </c>
      <c r="C18">
        <f>survey!A35</f>
        <v/>
      </c>
      <c r="D18" t="inlineStr"/>
      <c r="E18">
        <f>IF(OR(B18="",C18=""),"",IF(LOWER(D18)="yes","INCLUDE","EXCLUDE"))</f>
        <v/>
      </c>
      <c r="F18">
        <f>IF(E18&lt;&gt;"INCLUDE","",IF(LEFT(LOWER(C18),10)="select_one ","select_one",IF(LOWER(C18)="date","date",IF(OR(LOWER(C18)="integer",LOWER(C18)="decimal",LOWER(C18)="range"),LOWER(C18),"sha256"))))</f>
        <v/>
      </c>
      <c r="G18">
        <f>IF(E18&lt;&gt;"INCLUDE","",IF(F18="date","yyyy-mm-dd",IF(F18="select_one","stored-choice-name",IF(F18="sha256","odk-lexical-utf8-sha256","odk-canonical-scalar"))))</f>
        <v/>
      </c>
      <c r="H18">
        <f>IF(E18&lt;&gt;"INCLUDE","","{"&amp;CHAR(34)&amp;"path"&amp;CHAR(34)&amp;":"&amp;CHAR(34)&amp;B18&amp;CHAR(34)&amp;","&amp;CHAR(34)&amp;"type"&amp;CHAR(34)&amp;":"&amp;CHAR(34)&amp;F18&amp;CHAR(34)&amp;","&amp;CHAR(34)&amp;"xlsform_type"&amp;CHAR(34)&amp;":"&amp;CHAR(34)&amp;C18&amp;CHAR(34)&amp;","&amp;CHAR(34)&amp;"commitment"&amp;CHAR(34)&amp;":"&amp;CHAR(34)&amp;IF(F18="sha256","text-utf8-sha256","value")&amp;CHAR(34)&amp;","&amp;CHAR(34)&amp;"transform"&amp;CHAR(34)&amp;":"&amp;CHAR(34)&amp;G18&amp;CHAR(34)&amp;"}")</f>
        <v/>
      </c>
      <c r="I18">
        <f>IF(E18&lt;&gt;"INCLUDE","","'|"&amp;B18&amp;"=', "&amp;IF(F18="date","if(string-length(string(${"&amp;B18&amp;"})) &gt; 0, format-date(${"&amp;B18&amp;"}, '%Y-%m-%d'), '')",IF(F18="sha256","digest(string(${"&amp;B18&amp;"}), 'SHA-256', 'hex')","string(${"&amp;B18&amp;"})")))</f>
        <v/>
      </c>
      <c r="J18">
        <f>IF(E18="INCLUDE","Included by explicit yes","Not included")</f>
        <v/>
      </c>
      <c r="K18">
        <f>K17&amp;IF(H18="","",","&amp;H18)</f>
        <v/>
      </c>
      <c r="L18">
        <f>L17&amp;IF(I18="","",","&amp;I18)</f>
        <v/>
      </c>
    </row>
    <row r="19">
      <c r="A19" t="n">
        <v>36</v>
      </c>
      <c r="B19">
        <f>survey!B36</f>
        <v/>
      </c>
      <c r="C19">
        <f>survey!A36</f>
        <v/>
      </c>
      <c r="D19" t="inlineStr"/>
      <c r="E19">
        <f>IF(OR(B19="",C19=""),"",IF(LOWER(D19)="yes","INCLUDE","EXCLUDE"))</f>
        <v/>
      </c>
      <c r="F19">
        <f>IF(E19&lt;&gt;"INCLUDE","",IF(LEFT(LOWER(C19),10)="select_one ","select_one",IF(LOWER(C19)="date","date",IF(OR(LOWER(C19)="integer",LOWER(C19)="decimal",LOWER(C19)="range"),LOWER(C19),"sha256"))))</f>
        <v/>
      </c>
      <c r="G19">
        <f>IF(E19&lt;&gt;"INCLUDE","",IF(F19="date","yyyy-mm-dd",IF(F19="select_one","stored-choice-name",IF(F19="sha256","odk-lexical-utf8-sha256","odk-canonical-scalar"))))</f>
        <v/>
      </c>
      <c r="H19">
        <f>IF(E19&lt;&gt;"INCLUDE","","{"&amp;CHAR(34)&amp;"path"&amp;CHAR(34)&amp;":"&amp;CHAR(34)&amp;B19&amp;CHAR(34)&amp;","&amp;CHAR(34)&amp;"type"&amp;CHAR(34)&amp;":"&amp;CHAR(34)&amp;F19&amp;CHAR(34)&amp;","&amp;CHAR(34)&amp;"xlsform_type"&amp;CHAR(34)&amp;":"&amp;CHAR(34)&amp;C19&amp;CHAR(34)&amp;","&amp;CHAR(34)&amp;"commitment"&amp;CHAR(34)&amp;":"&amp;CHAR(34)&amp;IF(F19="sha256","text-utf8-sha256","value")&amp;CHAR(34)&amp;","&amp;CHAR(34)&amp;"transform"&amp;CHAR(34)&amp;":"&amp;CHAR(34)&amp;G19&amp;CHAR(34)&amp;"}")</f>
        <v/>
      </c>
      <c r="I19">
        <f>IF(E19&lt;&gt;"INCLUDE","","'|"&amp;B19&amp;"=', "&amp;IF(F19="date","if(string-length(string(${"&amp;B19&amp;"})) &gt; 0, format-date(${"&amp;B19&amp;"}, '%Y-%m-%d'), '')",IF(F19="sha256","digest(string(${"&amp;B19&amp;"}), 'SHA-256', 'hex')","string(${"&amp;B19&amp;"})")))</f>
        <v/>
      </c>
      <c r="J19">
        <f>IF(E19="INCLUDE","Included by explicit yes","Not included")</f>
        <v/>
      </c>
      <c r="K19">
        <f>K18&amp;IF(H19="","",","&amp;H19)</f>
        <v/>
      </c>
      <c r="L19">
        <f>L18&amp;IF(I19="","",","&amp;I19)</f>
        <v/>
      </c>
    </row>
    <row r="20">
      <c r="A20" t="n">
        <v>37</v>
      </c>
      <c r="B20">
        <f>survey!B37</f>
        <v/>
      </c>
      <c r="C20">
        <f>survey!A37</f>
        <v/>
      </c>
      <c r="D20" t="inlineStr"/>
      <c r="E20">
        <f>IF(OR(B20="",C20=""),"",IF(LOWER(D20)="yes","INCLUDE","EXCLUDE"))</f>
        <v/>
      </c>
      <c r="F20">
        <f>IF(E20&lt;&gt;"INCLUDE","",IF(LEFT(LOWER(C20),10)="select_one ","select_one",IF(LOWER(C20)="date","date",IF(OR(LOWER(C20)="integer",LOWER(C20)="decimal",LOWER(C20)="range"),LOWER(C20),"sha256"))))</f>
        <v/>
      </c>
      <c r="G20">
        <f>IF(E20&lt;&gt;"INCLUDE","",IF(F20="date","yyyy-mm-dd",IF(F20="select_one","stored-choice-name",IF(F20="sha256","odk-lexical-utf8-sha256","odk-canonical-scalar"))))</f>
        <v/>
      </c>
      <c r="H20">
        <f>IF(E20&lt;&gt;"INCLUDE","","{"&amp;CHAR(34)&amp;"path"&amp;CHAR(34)&amp;":"&amp;CHAR(34)&amp;B20&amp;CHAR(34)&amp;","&amp;CHAR(34)&amp;"type"&amp;CHAR(34)&amp;":"&amp;CHAR(34)&amp;F20&amp;CHAR(34)&amp;","&amp;CHAR(34)&amp;"xlsform_type"&amp;CHAR(34)&amp;":"&amp;CHAR(34)&amp;C20&amp;CHAR(34)&amp;","&amp;CHAR(34)&amp;"commitment"&amp;CHAR(34)&amp;":"&amp;CHAR(34)&amp;IF(F20="sha256","text-utf8-sha256","value")&amp;CHAR(34)&amp;","&amp;CHAR(34)&amp;"transform"&amp;CHAR(34)&amp;":"&amp;CHAR(34)&amp;G20&amp;CHAR(34)&amp;"}")</f>
        <v/>
      </c>
      <c r="I20">
        <f>IF(E20&lt;&gt;"INCLUDE","","'|"&amp;B20&amp;"=', "&amp;IF(F20="date","if(string-length(string(${"&amp;B20&amp;"})) &gt; 0, format-date(${"&amp;B20&amp;"}, '%Y-%m-%d'), '')",IF(F20="sha256","digest(string(${"&amp;B20&amp;"}), 'SHA-256', 'hex')","string(${"&amp;B20&amp;"})")))</f>
        <v/>
      </c>
      <c r="J20">
        <f>IF(E20="INCLUDE","Included by explicit yes","Not included")</f>
        <v/>
      </c>
      <c r="K20">
        <f>K19&amp;IF(H20="","",","&amp;H20)</f>
        <v/>
      </c>
      <c r="L20">
        <f>L19&amp;IF(I20="","",","&amp;I20)</f>
        <v/>
      </c>
    </row>
    <row r="21">
      <c r="A21" t="n">
        <v>38</v>
      </c>
      <c r="B21">
        <f>survey!B38</f>
        <v/>
      </c>
      <c r="C21">
        <f>survey!A38</f>
        <v/>
      </c>
      <c r="D21" t="inlineStr"/>
      <c r="E21">
        <f>IF(OR(B21="",C21=""),"",IF(LOWER(D21)="yes","INCLUDE","EXCLUDE"))</f>
        <v/>
      </c>
      <c r="F21">
        <f>IF(E21&lt;&gt;"INCLUDE","",IF(LEFT(LOWER(C21),10)="select_one ","select_one",IF(LOWER(C21)="date","date",IF(OR(LOWER(C21)="integer",LOWER(C21)="decimal",LOWER(C21)="range"),LOWER(C21),"sha256"))))</f>
        <v/>
      </c>
      <c r="G21">
        <f>IF(E21&lt;&gt;"INCLUDE","",IF(F21="date","yyyy-mm-dd",IF(F21="select_one","stored-choice-name",IF(F21="sha256","odk-lexical-utf8-sha256","odk-canonical-scalar"))))</f>
        <v/>
      </c>
      <c r="H21">
        <f>IF(E21&lt;&gt;"INCLUDE","","{"&amp;CHAR(34)&amp;"path"&amp;CHAR(34)&amp;":"&amp;CHAR(34)&amp;B21&amp;CHAR(34)&amp;","&amp;CHAR(34)&amp;"type"&amp;CHAR(34)&amp;":"&amp;CHAR(34)&amp;F21&amp;CHAR(34)&amp;","&amp;CHAR(34)&amp;"xlsform_type"&amp;CHAR(34)&amp;":"&amp;CHAR(34)&amp;C21&amp;CHAR(34)&amp;","&amp;CHAR(34)&amp;"commitment"&amp;CHAR(34)&amp;":"&amp;CHAR(34)&amp;IF(F21="sha256","text-utf8-sha256","value")&amp;CHAR(34)&amp;","&amp;CHAR(34)&amp;"transform"&amp;CHAR(34)&amp;":"&amp;CHAR(34)&amp;G21&amp;CHAR(34)&amp;"}")</f>
        <v/>
      </c>
      <c r="I21">
        <f>IF(E21&lt;&gt;"INCLUDE","","'|"&amp;B21&amp;"=', "&amp;IF(F21="date","if(string-length(string(${"&amp;B21&amp;"})) &gt; 0, format-date(${"&amp;B21&amp;"}, '%Y-%m-%d'), '')",IF(F21="sha256","digest(string(${"&amp;B21&amp;"}), 'SHA-256', 'hex')","string(${"&amp;B21&amp;"})")))</f>
        <v/>
      </c>
      <c r="J21">
        <f>IF(E21="INCLUDE","Included by explicit yes","Not included")</f>
        <v/>
      </c>
      <c r="K21">
        <f>K20&amp;IF(H21="","",","&amp;H21)</f>
        <v/>
      </c>
      <c r="L21">
        <f>L20&amp;IF(I21="","",","&amp;I21)</f>
        <v/>
      </c>
    </row>
    <row r="22">
      <c r="A22" t="n">
        <v>39</v>
      </c>
      <c r="B22">
        <f>survey!B39</f>
        <v/>
      </c>
      <c r="C22">
        <f>survey!A39</f>
        <v/>
      </c>
      <c r="D22" t="inlineStr"/>
      <c r="E22">
        <f>IF(OR(B22="",C22=""),"",IF(LOWER(D22)="yes","INCLUDE","EXCLUDE"))</f>
        <v/>
      </c>
      <c r="F22">
        <f>IF(E22&lt;&gt;"INCLUDE","",IF(LEFT(LOWER(C22),10)="select_one ","select_one",IF(LOWER(C22)="date","date",IF(OR(LOWER(C22)="integer",LOWER(C22)="decimal",LOWER(C22)="range"),LOWER(C22),"sha256"))))</f>
        <v/>
      </c>
      <c r="G22">
        <f>IF(E22&lt;&gt;"INCLUDE","",IF(F22="date","yyyy-mm-dd",IF(F22="select_one","stored-choice-name",IF(F22="sha256","odk-lexical-utf8-sha256","odk-canonical-scalar"))))</f>
        <v/>
      </c>
      <c r="H22">
        <f>IF(E22&lt;&gt;"INCLUDE","","{"&amp;CHAR(34)&amp;"path"&amp;CHAR(34)&amp;":"&amp;CHAR(34)&amp;B22&amp;CHAR(34)&amp;","&amp;CHAR(34)&amp;"type"&amp;CHAR(34)&amp;":"&amp;CHAR(34)&amp;F22&amp;CHAR(34)&amp;","&amp;CHAR(34)&amp;"xlsform_type"&amp;CHAR(34)&amp;":"&amp;CHAR(34)&amp;C22&amp;CHAR(34)&amp;","&amp;CHAR(34)&amp;"commitment"&amp;CHAR(34)&amp;":"&amp;CHAR(34)&amp;IF(F22="sha256","text-utf8-sha256","value")&amp;CHAR(34)&amp;","&amp;CHAR(34)&amp;"transform"&amp;CHAR(34)&amp;":"&amp;CHAR(34)&amp;G22&amp;CHAR(34)&amp;"}")</f>
        <v/>
      </c>
      <c r="I22">
        <f>IF(E22&lt;&gt;"INCLUDE","","'|"&amp;B22&amp;"=', "&amp;IF(F22="date","if(string-length(string(${"&amp;B22&amp;"})) &gt; 0, format-date(${"&amp;B22&amp;"}, '%Y-%m-%d'), '')",IF(F22="sha256","digest(string(${"&amp;B22&amp;"}), 'SHA-256', 'hex')","string(${"&amp;B22&amp;"})")))</f>
        <v/>
      </c>
      <c r="J22">
        <f>IF(E22="INCLUDE","Included by explicit yes","Not included")</f>
        <v/>
      </c>
      <c r="K22">
        <f>K21&amp;IF(H22="","",","&amp;H22)</f>
        <v/>
      </c>
      <c r="L22">
        <f>L21&amp;IF(I22="","",","&amp;I22)</f>
        <v/>
      </c>
    </row>
    <row r="23">
      <c r="A23" t="n">
        <v>40</v>
      </c>
      <c r="B23">
        <f>survey!B40</f>
        <v/>
      </c>
      <c r="C23">
        <f>survey!A40</f>
        <v/>
      </c>
      <c r="D23" t="inlineStr"/>
      <c r="E23">
        <f>IF(OR(B23="",C23=""),"",IF(LOWER(D23)="yes","INCLUDE","EXCLUDE"))</f>
        <v/>
      </c>
      <c r="F23">
        <f>IF(E23&lt;&gt;"INCLUDE","",IF(LEFT(LOWER(C23),10)="select_one ","select_one",IF(LOWER(C23)="date","date",IF(OR(LOWER(C23)="integer",LOWER(C23)="decimal",LOWER(C23)="range"),LOWER(C23),"sha256"))))</f>
        <v/>
      </c>
      <c r="G23">
        <f>IF(E23&lt;&gt;"INCLUDE","",IF(F23="date","yyyy-mm-dd",IF(F23="select_one","stored-choice-name",IF(F23="sha256","odk-lexical-utf8-sha256","odk-canonical-scalar"))))</f>
        <v/>
      </c>
      <c r="H23">
        <f>IF(E23&lt;&gt;"INCLUDE","","{"&amp;CHAR(34)&amp;"path"&amp;CHAR(34)&amp;":"&amp;CHAR(34)&amp;B23&amp;CHAR(34)&amp;","&amp;CHAR(34)&amp;"type"&amp;CHAR(34)&amp;":"&amp;CHAR(34)&amp;F23&amp;CHAR(34)&amp;","&amp;CHAR(34)&amp;"xlsform_type"&amp;CHAR(34)&amp;":"&amp;CHAR(34)&amp;C23&amp;CHAR(34)&amp;","&amp;CHAR(34)&amp;"commitment"&amp;CHAR(34)&amp;":"&amp;CHAR(34)&amp;IF(F23="sha256","text-utf8-sha256","value")&amp;CHAR(34)&amp;","&amp;CHAR(34)&amp;"transform"&amp;CHAR(34)&amp;":"&amp;CHAR(34)&amp;G23&amp;CHAR(34)&amp;"}")</f>
        <v/>
      </c>
      <c r="I23">
        <f>IF(E23&lt;&gt;"INCLUDE","","'|"&amp;B23&amp;"=', "&amp;IF(F23="date","if(string-length(string(${"&amp;B23&amp;"})) &gt; 0, format-date(${"&amp;B23&amp;"}, '%Y-%m-%d'), '')",IF(F23="sha256","digest(string(${"&amp;B23&amp;"}), 'SHA-256', 'hex')","string(${"&amp;B23&amp;"})")))</f>
        <v/>
      </c>
      <c r="J23">
        <f>IF(E23="INCLUDE","Included by explicit yes","Not included")</f>
        <v/>
      </c>
      <c r="K23">
        <f>K22&amp;IF(H23="","",","&amp;H23)</f>
        <v/>
      </c>
      <c r="L23">
        <f>L22&amp;IF(I23="","",","&amp;I23)</f>
        <v/>
      </c>
    </row>
    <row r="24">
      <c r="A24" t="n">
        <v>41</v>
      </c>
      <c r="B24">
        <f>survey!B41</f>
        <v/>
      </c>
      <c r="C24">
        <f>survey!A41</f>
        <v/>
      </c>
      <c r="D24" t="inlineStr"/>
      <c r="E24">
        <f>IF(OR(B24="",C24=""),"",IF(LOWER(D24)="yes","INCLUDE","EXCLUDE"))</f>
        <v/>
      </c>
      <c r="F24">
        <f>IF(E24&lt;&gt;"INCLUDE","",IF(LEFT(LOWER(C24),10)="select_one ","select_one",IF(LOWER(C24)="date","date",IF(OR(LOWER(C24)="integer",LOWER(C24)="decimal",LOWER(C24)="range"),LOWER(C24),"sha256"))))</f>
        <v/>
      </c>
      <c r="G24">
        <f>IF(E24&lt;&gt;"INCLUDE","",IF(F24="date","yyyy-mm-dd",IF(F24="select_one","stored-choice-name",IF(F24="sha256","odk-lexical-utf8-sha256","odk-canonical-scalar"))))</f>
        <v/>
      </c>
      <c r="H24">
        <f>IF(E24&lt;&gt;"INCLUDE","","{"&amp;CHAR(34)&amp;"path"&amp;CHAR(34)&amp;":"&amp;CHAR(34)&amp;B24&amp;CHAR(34)&amp;","&amp;CHAR(34)&amp;"type"&amp;CHAR(34)&amp;":"&amp;CHAR(34)&amp;F24&amp;CHAR(34)&amp;","&amp;CHAR(34)&amp;"xlsform_type"&amp;CHAR(34)&amp;":"&amp;CHAR(34)&amp;C24&amp;CHAR(34)&amp;","&amp;CHAR(34)&amp;"commitment"&amp;CHAR(34)&amp;":"&amp;CHAR(34)&amp;IF(F24="sha256","text-utf8-sha256","value")&amp;CHAR(34)&amp;","&amp;CHAR(34)&amp;"transform"&amp;CHAR(34)&amp;":"&amp;CHAR(34)&amp;G24&amp;CHAR(34)&amp;"}")</f>
        <v/>
      </c>
      <c r="I24">
        <f>IF(E24&lt;&gt;"INCLUDE","","'|"&amp;B24&amp;"=', "&amp;IF(F24="date","if(string-length(string(${"&amp;B24&amp;"})) &gt; 0, format-date(${"&amp;B24&amp;"}, '%Y-%m-%d'), '')",IF(F24="sha256","digest(string(${"&amp;B24&amp;"}), 'SHA-256', 'hex')","string(${"&amp;B24&amp;"})")))</f>
        <v/>
      </c>
      <c r="J24">
        <f>IF(E24="INCLUDE","Included by explicit yes","Not included")</f>
        <v/>
      </c>
      <c r="K24">
        <f>K23&amp;IF(H24="","",","&amp;H24)</f>
        <v/>
      </c>
      <c r="L24">
        <f>L23&amp;IF(I24="","",","&amp;I24)</f>
        <v/>
      </c>
    </row>
    <row r="25">
      <c r="A25" t="n">
        <v>42</v>
      </c>
      <c r="B25">
        <f>survey!B42</f>
        <v/>
      </c>
      <c r="C25">
        <f>survey!A42</f>
        <v/>
      </c>
      <c r="D25" t="inlineStr"/>
      <c r="E25">
        <f>IF(OR(B25="",C25=""),"",IF(LOWER(D25)="yes","INCLUDE","EXCLUDE"))</f>
        <v/>
      </c>
      <c r="F25">
        <f>IF(E25&lt;&gt;"INCLUDE","",IF(LEFT(LOWER(C25),10)="select_one ","select_one",IF(LOWER(C25)="date","date",IF(OR(LOWER(C25)="integer",LOWER(C25)="decimal",LOWER(C25)="range"),LOWER(C25),"sha256"))))</f>
        <v/>
      </c>
      <c r="G25">
        <f>IF(E25&lt;&gt;"INCLUDE","",IF(F25="date","yyyy-mm-dd",IF(F25="select_one","stored-choice-name",IF(F25="sha256","odk-lexical-utf8-sha256","odk-canonical-scalar"))))</f>
        <v/>
      </c>
      <c r="H25">
        <f>IF(E25&lt;&gt;"INCLUDE","","{"&amp;CHAR(34)&amp;"path"&amp;CHAR(34)&amp;":"&amp;CHAR(34)&amp;B25&amp;CHAR(34)&amp;","&amp;CHAR(34)&amp;"type"&amp;CHAR(34)&amp;":"&amp;CHAR(34)&amp;F25&amp;CHAR(34)&amp;","&amp;CHAR(34)&amp;"xlsform_type"&amp;CHAR(34)&amp;":"&amp;CHAR(34)&amp;C25&amp;CHAR(34)&amp;","&amp;CHAR(34)&amp;"commitment"&amp;CHAR(34)&amp;":"&amp;CHAR(34)&amp;IF(F25="sha256","text-utf8-sha256","value")&amp;CHAR(34)&amp;","&amp;CHAR(34)&amp;"transform"&amp;CHAR(34)&amp;":"&amp;CHAR(34)&amp;G25&amp;CHAR(34)&amp;"}")</f>
        <v/>
      </c>
      <c r="I25">
        <f>IF(E25&lt;&gt;"INCLUDE","","'|"&amp;B25&amp;"=', "&amp;IF(F25="date","if(string-length(string(${"&amp;B25&amp;"})) &gt; 0, format-date(${"&amp;B25&amp;"}, '%Y-%m-%d'), '')",IF(F25="sha256","digest(string(${"&amp;B25&amp;"}), 'SHA-256', 'hex')","string(${"&amp;B25&amp;"})")))</f>
        <v/>
      </c>
      <c r="J25">
        <f>IF(E25="INCLUDE","Included by explicit yes","Not included")</f>
        <v/>
      </c>
      <c r="K25">
        <f>K24&amp;IF(H25="","",","&amp;H25)</f>
        <v/>
      </c>
      <c r="L25">
        <f>L24&amp;IF(I25="","",","&amp;I25)</f>
        <v/>
      </c>
    </row>
    <row r="26">
      <c r="A26" t="n">
        <v>43</v>
      </c>
      <c r="B26">
        <f>survey!B43</f>
        <v/>
      </c>
      <c r="C26">
        <f>survey!A43</f>
        <v/>
      </c>
      <c r="D26" t="inlineStr"/>
      <c r="E26">
        <f>IF(OR(B26="",C26=""),"",IF(LOWER(D26)="yes","INCLUDE","EXCLUDE"))</f>
        <v/>
      </c>
      <c r="F26">
        <f>IF(E26&lt;&gt;"INCLUDE","",IF(LEFT(LOWER(C26),10)="select_one ","select_one",IF(LOWER(C26)="date","date",IF(OR(LOWER(C26)="integer",LOWER(C26)="decimal",LOWER(C26)="range"),LOWER(C26),"sha256"))))</f>
        <v/>
      </c>
      <c r="G26">
        <f>IF(E26&lt;&gt;"INCLUDE","",IF(F26="date","yyyy-mm-dd",IF(F26="select_one","stored-choice-name",IF(F26="sha256","odk-lexical-utf8-sha256","odk-canonical-scalar"))))</f>
        <v/>
      </c>
      <c r="H26">
        <f>IF(E26&lt;&gt;"INCLUDE","","{"&amp;CHAR(34)&amp;"path"&amp;CHAR(34)&amp;":"&amp;CHAR(34)&amp;B26&amp;CHAR(34)&amp;","&amp;CHAR(34)&amp;"type"&amp;CHAR(34)&amp;":"&amp;CHAR(34)&amp;F26&amp;CHAR(34)&amp;","&amp;CHAR(34)&amp;"xlsform_type"&amp;CHAR(34)&amp;":"&amp;CHAR(34)&amp;C26&amp;CHAR(34)&amp;","&amp;CHAR(34)&amp;"commitment"&amp;CHAR(34)&amp;":"&amp;CHAR(34)&amp;IF(F26="sha256","text-utf8-sha256","value")&amp;CHAR(34)&amp;","&amp;CHAR(34)&amp;"transform"&amp;CHAR(34)&amp;":"&amp;CHAR(34)&amp;G26&amp;CHAR(34)&amp;"}")</f>
        <v/>
      </c>
      <c r="I26">
        <f>IF(E26&lt;&gt;"INCLUDE","","'|"&amp;B26&amp;"=', "&amp;IF(F26="date","if(string-length(string(${"&amp;B26&amp;"})) &gt; 0, format-date(${"&amp;B26&amp;"}, '%Y-%m-%d'), '')",IF(F26="sha256","digest(string(${"&amp;B26&amp;"}), 'SHA-256', 'hex')","string(${"&amp;B26&amp;"})")))</f>
        <v/>
      </c>
      <c r="J26">
        <f>IF(E26="INCLUDE","Included by explicit yes","Not included")</f>
        <v/>
      </c>
      <c r="K26">
        <f>K25&amp;IF(H26="","",","&amp;H26)</f>
        <v/>
      </c>
      <c r="L26">
        <f>L25&amp;IF(I26="","",","&amp;I26)</f>
        <v/>
      </c>
    </row>
    <row r="27">
      <c r="A27" t="n">
        <v>44</v>
      </c>
      <c r="B27">
        <f>survey!B44</f>
        <v/>
      </c>
      <c r="C27">
        <f>survey!A44</f>
        <v/>
      </c>
      <c r="D27" t="inlineStr"/>
      <c r="E27">
        <f>IF(OR(B27="",C27=""),"",IF(LOWER(D27)="yes","INCLUDE","EXCLUDE"))</f>
        <v/>
      </c>
      <c r="F27">
        <f>IF(E27&lt;&gt;"INCLUDE","",IF(LEFT(LOWER(C27),10)="select_one ","select_one",IF(LOWER(C27)="date","date",IF(OR(LOWER(C27)="integer",LOWER(C27)="decimal",LOWER(C27)="range"),LOWER(C27),"sha256"))))</f>
        <v/>
      </c>
      <c r="G27">
        <f>IF(E27&lt;&gt;"INCLUDE","",IF(F27="date","yyyy-mm-dd",IF(F27="select_one","stored-choice-name",IF(F27="sha256","odk-lexical-utf8-sha256","odk-canonical-scalar"))))</f>
        <v/>
      </c>
      <c r="H27">
        <f>IF(E27&lt;&gt;"INCLUDE","","{"&amp;CHAR(34)&amp;"path"&amp;CHAR(34)&amp;":"&amp;CHAR(34)&amp;B27&amp;CHAR(34)&amp;","&amp;CHAR(34)&amp;"type"&amp;CHAR(34)&amp;":"&amp;CHAR(34)&amp;F27&amp;CHAR(34)&amp;","&amp;CHAR(34)&amp;"xlsform_type"&amp;CHAR(34)&amp;":"&amp;CHAR(34)&amp;C27&amp;CHAR(34)&amp;","&amp;CHAR(34)&amp;"commitment"&amp;CHAR(34)&amp;":"&amp;CHAR(34)&amp;IF(F27="sha256","text-utf8-sha256","value")&amp;CHAR(34)&amp;","&amp;CHAR(34)&amp;"transform"&amp;CHAR(34)&amp;":"&amp;CHAR(34)&amp;G27&amp;CHAR(34)&amp;"}")</f>
        <v/>
      </c>
      <c r="I27">
        <f>IF(E27&lt;&gt;"INCLUDE","","'|"&amp;B27&amp;"=', "&amp;IF(F27="date","if(string-length(string(${"&amp;B27&amp;"})) &gt; 0, format-date(${"&amp;B27&amp;"}, '%Y-%m-%d'), '')",IF(F27="sha256","digest(string(${"&amp;B27&amp;"}), 'SHA-256', 'hex')","string(${"&amp;B27&amp;"})")))</f>
        <v/>
      </c>
      <c r="J27">
        <f>IF(E27="INCLUDE","Included by explicit yes","Not included")</f>
        <v/>
      </c>
      <c r="K27">
        <f>K26&amp;IF(H27="","",","&amp;H27)</f>
        <v/>
      </c>
      <c r="L27">
        <f>L26&amp;IF(I27="","",","&amp;I27)</f>
        <v/>
      </c>
    </row>
    <row r="28">
      <c r="A28" t="n">
        <v>45</v>
      </c>
      <c r="B28">
        <f>survey!B45</f>
        <v/>
      </c>
      <c r="C28">
        <f>survey!A45</f>
        <v/>
      </c>
      <c r="D28" t="inlineStr"/>
      <c r="E28">
        <f>IF(OR(B28="",C28=""),"",IF(LOWER(D28)="yes","INCLUDE","EXCLUDE"))</f>
        <v/>
      </c>
      <c r="F28">
        <f>IF(E28&lt;&gt;"INCLUDE","",IF(LEFT(LOWER(C28),10)="select_one ","select_one",IF(LOWER(C28)="date","date",IF(OR(LOWER(C28)="integer",LOWER(C28)="decimal",LOWER(C28)="range"),LOWER(C28),"sha256"))))</f>
        <v/>
      </c>
      <c r="G28">
        <f>IF(E28&lt;&gt;"INCLUDE","",IF(F28="date","yyyy-mm-dd",IF(F28="select_one","stored-choice-name",IF(F28="sha256","odk-lexical-utf8-sha256","odk-canonical-scalar"))))</f>
        <v/>
      </c>
      <c r="H28">
        <f>IF(E28&lt;&gt;"INCLUDE","","{"&amp;CHAR(34)&amp;"path"&amp;CHAR(34)&amp;":"&amp;CHAR(34)&amp;B28&amp;CHAR(34)&amp;","&amp;CHAR(34)&amp;"type"&amp;CHAR(34)&amp;":"&amp;CHAR(34)&amp;F28&amp;CHAR(34)&amp;","&amp;CHAR(34)&amp;"xlsform_type"&amp;CHAR(34)&amp;":"&amp;CHAR(34)&amp;C28&amp;CHAR(34)&amp;","&amp;CHAR(34)&amp;"commitment"&amp;CHAR(34)&amp;":"&amp;CHAR(34)&amp;IF(F28="sha256","text-utf8-sha256","value")&amp;CHAR(34)&amp;","&amp;CHAR(34)&amp;"transform"&amp;CHAR(34)&amp;":"&amp;CHAR(34)&amp;G28&amp;CHAR(34)&amp;"}")</f>
        <v/>
      </c>
      <c r="I28">
        <f>IF(E28&lt;&gt;"INCLUDE","","'|"&amp;B28&amp;"=', "&amp;IF(F28="date","if(string-length(string(${"&amp;B28&amp;"})) &gt; 0, format-date(${"&amp;B28&amp;"}, '%Y-%m-%d'), '')",IF(F28="sha256","digest(string(${"&amp;B28&amp;"}), 'SHA-256', 'hex')","string(${"&amp;B28&amp;"})")))</f>
        <v/>
      </c>
      <c r="J28">
        <f>IF(E28="INCLUDE","Included by explicit yes","Not included")</f>
        <v/>
      </c>
      <c r="K28">
        <f>K27&amp;IF(H28="","",","&amp;H28)</f>
        <v/>
      </c>
      <c r="L28">
        <f>L27&amp;IF(I28="","",","&amp;I28)</f>
        <v/>
      </c>
    </row>
    <row r="29">
      <c r="A29" t="n">
        <v>46</v>
      </c>
      <c r="B29">
        <f>survey!B46</f>
        <v/>
      </c>
      <c r="C29">
        <f>survey!A46</f>
        <v/>
      </c>
      <c r="D29" t="inlineStr"/>
      <c r="E29">
        <f>IF(OR(B29="",C29=""),"",IF(LOWER(D29)="yes","INCLUDE","EXCLUDE"))</f>
        <v/>
      </c>
      <c r="F29">
        <f>IF(E29&lt;&gt;"INCLUDE","",IF(LEFT(LOWER(C29),10)="select_one ","select_one",IF(LOWER(C29)="date","date",IF(OR(LOWER(C29)="integer",LOWER(C29)="decimal",LOWER(C29)="range"),LOWER(C29),"sha256"))))</f>
        <v/>
      </c>
      <c r="G29">
        <f>IF(E29&lt;&gt;"INCLUDE","",IF(F29="date","yyyy-mm-dd",IF(F29="select_one","stored-choice-name",IF(F29="sha256","odk-lexical-utf8-sha256","odk-canonical-scalar"))))</f>
        <v/>
      </c>
      <c r="H29">
        <f>IF(E29&lt;&gt;"INCLUDE","","{"&amp;CHAR(34)&amp;"path"&amp;CHAR(34)&amp;":"&amp;CHAR(34)&amp;B29&amp;CHAR(34)&amp;","&amp;CHAR(34)&amp;"type"&amp;CHAR(34)&amp;":"&amp;CHAR(34)&amp;F29&amp;CHAR(34)&amp;","&amp;CHAR(34)&amp;"xlsform_type"&amp;CHAR(34)&amp;":"&amp;CHAR(34)&amp;C29&amp;CHAR(34)&amp;","&amp;CHAR(34)&amp;"commitment"&amp;CHAR(34)&amp;":"&amp;CHAR(34)&amp;IF(F29="sha256","text-utf8-sha256","value")&amp;CHAR(34)&amp;","&amp;CHAR(34)&amp;"transform"&amp;CHAR(34)&amp;":"&amp;CHAR(34)&amp;G29&amp;CHAR(34)&amp;"}")</f>
        <v/>
      </c>
      <c r="I29">
        <f>IF(E29&lt;&gt;"INCLUDE","","'|"&amp;B29&amp;"=', "&amp;IF(F29="date","if(string-length(string(${"&amp;B29&amp;"})) &gt; 0, format-date(${"&amp;B29&amp;"}, '%Y-%m-%d'), '')",IF(F29="sha256","digest(string(${"&amp;B29&amp;"}), 'SHA-256', 'hex')","string(${"&amp;B29&amp;"})")))</f>
        <v/>
      </c>
      <c r="J29">
        <f>IF(E29="INCLUDE","Included by explicit yes","Not included")</f>
        <v/>
      </c>
      <c r="K29">
        <f>K28&amp;IF(H29="","",","&amp;H29)</f>
        <v/>
      </c>
      <c r="L29">
        <f>L28&amp;IF(I29="","",","&amp;I29)</f>
        <v/>
      </c>
    </row>
    <row r="30">
      <c r="A30" t="n">
        <v>47</v>
      </c>
      <c r="B30">
        <f>survey!B47</f>
        <v/>
      </c>
      <c r="C30">
        <f>survey!A47</f>
        <v/>
      </c>
      <c r="D30" t="inlineStr"/>
      <c r="E30">
        <f>IF(OR(B30="",C30=""),"",IF(LOWER(D30)="yes","INCLUDE","EXCLUDE"))</f>
        <v/>
      </c>
      <c r="F30">
        <f>IF(E30&lt;&gt;"INCLUDE","",IF(LEFT(LOWER(C30),10)="select_one ","select_one",IF(LOWER(C30)="date","date",IF(OR(LOWER(C30)="integer",LOWER(C30)="decimal",LOWER(C30)="range"),LOWER(C30),"sha256"))))</f>
        <v/>
      </c>
      <c r="G30">
        <f>IF(E30&lt;&gt;"INCLUDE","",IF(F30="date","yyyy-mm-dd",IF(F30="select_one","stored-choice-name",IF(F30="sha256","odk-lexical-utf8-sha256","odk-canonical-scalar"))))</f>
        <v/>
      </c>
      <c r="H30">
        <f>IF(E30&lt;&gt;"INCLUDE","","{"&amp;CHAR(34)&amp;"path"&amp;CHAR(34)&amp;":"&amp;CHAR(34)&amp;B30&amp;CHAR(34)&amp;","&amp;CHAR(34)&amp;"type"&amp;CHAR(34)&amp;":"&amp;CHAR(34)&amp;F30&amp;CHAR(34)&amp;","&amp;CHAR(34)&amp;"xlsform_type"&amp;CHAR(34)&amp;":"&amp;CHAR(34)&amp;C30&amp;CHAR(34)&amp;","&amp;CHAR(34)&amp;"commitment"&amp;CHAR(34)&amp;":"&amp;CHAR(34)&amp;IF(F30="sha256","text-utf8-sha256","value")&amp;CHAR(34)&amp;","&amp;CHAR(34)&amp;"transform"&amp;CHAR(34)&amp;":"&amp;CHAR(34)&amp;G30&amp;CHAR(34)&amp;"}")</f>
        <v/>
      </c>
      <c r="I30">
        <f>IF(E30&lt;&gt;"INCLUDE","","'|"&amp;B30&amp;"=', "&amp;IF(F30="date","if(string-length(string(${"&amp;B30&amp;"})) &gt; 0, format-date(${"&amp;B30&amp;"}, '%Y-%m-%d'), '')",IF(F30="sha256","digest(string(${"&amp;B30&amp;"}), 'SHA-256', 'hex')","string(${"&amp;B30&amp;"})")))</f>
        <v/>
      </c>
      <c r="J30">
        <f>IF(E30="INCLUDE","Included by explicit yes","Not included")</f>
        <v/>
      </c>
      <c r="K30">
        <f>K29&amp;IF(H30="","",","&amp;H30)</f>
        <v/>
      </c>
      <c r="L30">
        <f>L29&amp;IF(I30="","",","&amp;I30)</f>
        <v/>
      </c>
    </row>
    <row r="31">
      <c r="A31" t="n">
        <v>48</v>
      </c>
      <c r="B31">
        <f>survey!B48</f>
        <v/>
      </c>
      <c r="C31">
        <f>survey!A48</f>
        <v/>
      </c>
      <c r="D31" t="inlineStr"/>
      <c r="E31">
        <f>IF(OR(B31="",C31=""),"",IF(LOWER(D31)="yes","INCLUDE","EXCLUDE"))</f>
        <v/>
      </c>
      <c r="F31">
        <f>IF(E31&lt;&gt;"INCLUDE","",IF(LEFT(LOWER(C31),10)="select_one ","select_one",IF(LOWER(C31)="date","date",IF(OR(LOWER(C31)="integer",LOWER(C31)="decimal",LOWER(C31)="range"),LOWER(C31),"sha256"))))</f>
        <v/>
      </c>
      <c r="G31">
        <f>IF(E31&lt;&gt;"INCLUDE","",IF(F31="date","yyyy-mm-dd",IF(F31="select_one","stored-choice-name",IF(F31="sha256","odk-lexical-utf8-sha256","odk-canonical-scalar"))))</f>
        <v/>
      </c>
      <c r="H31">
        <f>IF(E31&lt;&gt;"INCLUDE","","{"&amp;CHAR(34)&amp;"path"&amp;CHAR(34)&amp;":"&amp;CHAR(34)&amp;B31&amp;CHAR(34)&amp;","&amp;CHAR(34)&amp;"type"&amp;CHAR(34)&amp;":"&amp;CHAR(34)&amp;F31&amp;CHAR(34)&amp;","&amp;CHAR(34)&amp;"xlsform_type"&amp;CHAR(34)&amp;":"&amp;CHAR(34)&amp;C31&amp;CHAR(34)&amp;","&amp;CHAR(34)&amp;"commitment"&amp;CHAR(34)&amp;":"&amp;CHAR(34)&amp;IF(F31="sha256","text-utf8-sha256","value")&amp;CHAR(34)&amp;","&amp;CHAR(34)&amp;"transform"&amp;CHAR(34)&amp;":"&amp;CHAR(34)&amp;G31&amp;CHAR(34)&amp;"}")</f>
        <v/>
      </c>
      <c r="I31">
        <f>IF(E31&lt;&gt;"INCLUDE","","'|"&amp;B31&amp;"=', "&amp;IF(F31="date","if(string-length(string(${"&amp;B31&amp;"})) &gt; 0, format-date(${"&amp;B31&amp;"}, '%Y-%m-%d'), '')",IF(F31="sha256","digest(string(${"&amp;B31&amp;"}), 'SHA-256', 'hex')","string(${"&amp;B31&amp;"})")))</f>
        <v/>
      </c>
      <c r="J31">
        <f>IF(E31="INCLUDE","Included by explicit yes","Not included")</f>
        <v/>
      </c>
      <c r="K31">
        <f>K30&amp;IF(H31="","",","&amp;H31)</f>
        <v/>
      </c>
      <c r="L31">
        <f>L30&amp;IF(I31="","",","&amp;I31)</f>
        <v/>
      </c>
    </row>
    <row r="32">
      <c r="A32" t="n">
        <v>49</v>
      </c>
      <c r="B32">
        <f>survey!B49</f>
        <v/>
      </c>
      <c r="C32">
        <f>survey!A49</f>
        <v/>
      </c>
      <c r="D32" t="inlineStr"/>
      <c r="E32">
        <f>IF(OR(B32="",C32=""),"",IF(LOWER(D32)="yes","INCLUDE","EXCLUDE"))</f>
        <v/>
      </c>
      <c r="F32">
        <f>IF(E32&lt;&gt;"INCLUDE","",IF(LEFT(LOWER(C32),10)="select_one ","select_one",IF(LOWER(C32)="date","date",IF(OR(LOWER(C32)="integer",LOWER(C32)="decimal",LOWER(C32)="range"),LOWER(C32),"sha256"))))</f>
        <v/>
      </c>
      <c r="G32">
        <f>IF(E32&lt;&gt;"INCLUDE","",IF(F32="date","yyyy-mm-dd",IF(F32="select_one","stored-choice-name",IF(F32="sha256","odk-lexical-utf8-sha256","odk-canonical-scalar"))))</f>
        <v/>
      </c>
      <c r="H32">
        <f>IF(E32&lt;&gt;"INCLUDE","","{"&amp;CHAR(34)&amp;"path"&amp;CHAR(34)&amp;":"&amp;CHAR(34)&amp;B32&amp;CHAR(34)&amp;","&amp;CHAR(34)&amp;"type"&amp;CHAR(34)&amp;":"&amp;CHAR(34)&amp;F32&amp;CHAR(34)&amp;","&amp;CHAR(34)&amp;"xlsform_type"&amp;CHAR(34)&amp;":"&amp;CHAR(34)&amp;C32&amp;CHAR(34)&amp;","&amp;CHAR(34)&amp;"commitment"&amp;CHAR(34)&amp;":"&amp;CHAR(34)&amp;IF(F32="sha256","text-utf8-sha256","value")&amp;CHAR(34)&amp;","&amp;CHAR(34)&amp;"transform"&amp;CHAR(34)&amp;":"&amp;CHAR(34)&amp;G32&amp;CHAR(34)&amp;"}")</f>
        <v/>
      </c>
      <c r="I32">
        <f>IF(E32&lt;&gt;"INCLUDE","","'|"&amp;B32&amp;"=', "&amp;IF(F32="date","if(string-length(string(${"&amp;B32&amp;"})) &gt; 0, format-date(${"&amp;B32&amp;"}, '%Y-%m-%d'), '')",IF(F32="sha256","digest(string(${"&amp;B32&amp;"}), 'SHA-256', 'hex')","string(${"&amp;B32&amp;"})")))</f>
        <v/>
      </c>
      <c r="J32">
        <f>IF(E32="INCLUDE","Included by explicit yes","Not included")</f>
        <v/>
      </c>
      <c r="K32">
        <f>K31&amp;IF(H32="","",","&amp;H32)</f>
        <v/>
      </c>
      <c r="L32">
        <f>L31&amp;IF(I32="","",","&amp;I32)</f>
        <v/>
      </c>
    </row>
    <row r="33">
      <c r="A33" t="n">
        <v>50</v>
      </c>
      <c r="B33">
        <f>survey!B50</f>
        <v/>
      </c>
      <c r="C33">
        <f>survey!A50</f>
        <v/>
      </c>
      <c r="D33" t="inlineStr"/>
      <c r="E33">
        <f>IF(OR(B33="",C33=""),"",IF(LOWER(D33)="yes","INCLUDE","EXCLUDE"))</f>
        <v/>
      </c>
      <c r="F33">
        <f>IF(E33&lt;&gt;"INCLUDE","",IF(LEFT(LOWER(C33),10)="select_one ","select_one",IF(LOWER(C33)="date","date",IF(OR(LOWER(C33)="integer",LOWER(C33)="decimal",LOWER(C33)="range"),LOWER(C33),"sha256"))))</f>
        <v/>
      </c>
      <c r="G33">
        <f>IF(E33&lt;&gt;"INCLUDE","",IF(F33="date","yyyy-mm-dd",IF(F33="select_one","stored-choice-name",IF(F33="sha256","odk-lexical-utf8-sha256","odk-canonical-scalar"))))</f>
        <v/>
      </c>
      <c r="H33">
        <f>IF(E33&lt;&gt;"INCLUDE","","{"&amp;CHAR(34)&amp;"path"&amp;CHAR(34)&amp;":"&amp;CHAR(34)&amp;B33&amp;CHAR(34)&amp;","&amp;CHAR(34)&amp;"type"&amp;CHAR(34)&amp;":"&amp;CHAR(34)&amp;F33&amp;CHAR(34)&amp;","&amp;CHAR(34)&amp;"xlsform_type"&amp;CHAR(34)&amp;":"&amp;CHAR(34)&amp;C33&amp;CHAR(34)&amp;","&amp;CHAR(34)&amp;"commitment"&amp;CHAR(34)&amp;":"&amp;CHAR(34)&amp;IF(F33="sha256","text-utf8-sha256","value")&amp;CHAR(34)&amp;","&amp;CHAR(34)&amp;"transform"&amp;CHAR(34)&amp;":"&amp;CHAR(34)&amp;G33&amp;CHAR(34)&amp;"}")</f>
        <v/>
      </c>
      <c r="I33">
        <f>IF(E33&lt;&gt;"INCLUDE","","'|"&amp;B33&amp;"=', "&amp;IF(F33="date","if(string-length(string(${"&amp;B33&amp;"})) &gt; 0, format-date(${"&amp;B33&amp;"}, '%Y-%m-%d'), '')",IF(F33="sha256","digest(string(${"&amp;B33&amp;"}), 'SHA-256', 'hex')","string(${"&amp;B33&amp;"})")))</f>
        <v/>
      </c>
      <c r="J33">
        <f>IF(E33="INCLUDE","Included by explicit yes","Not included")</f>
        <v/>
      </c>
      <c r="K33">
        <f>K32&amp;IF(H33="","",","&amp;H33)</f>
        <v/>
      </c>
      <c r="L33">
        <f>L32&amp;IF(I33="","",","&amp;I33)</f>
        <v/>
      </c>
    </row>
    <row r="34">
      <c r="A34" t="n">
        <v>51</v>
      </c>
      <c r="B34">
        <f>survey!B51</f>
        <v/>
      </c>
      <c r="C34">
        <f>survey!A51</f>
        <v/>
      </c>
      <c r="D34" t="inlineStr"/>
      <c r="E34">
        <f>IF(OR(B34="",C34=""),"",IF(LOWER(D34)="yes","INCLUDE","EXCLUDE"))</f>
        <v/>
      </c>
      <c r="F34">
        <f>IF(E34&lt;&gt;"INCLUDE","",IF(LEFT(LOWER(C34),10)="select_one ","select_one",IF(LOWER(C34)="date","date",IF(OR(LOWER(C34)="integer",LOWER(C34)="decimal",LOWER(C34)="range"),LOWER(C34),"sha256"))))</f>
        <v/>
      </c>
      <c r="G34">
        <f>IF(E34&lt;&gt;"INCLUDE","",IF(F34="date","yyyy-mm-dd",IF(F34="select_one","stored-choice-name",IF(F34="sha256","odk-lexical-utf8-sha256","odk-canonical-scalar"))))</f>
        <v/>
      </c>
      <c r="H34">
        <f>IF(E34&lt;&gt;"INCLUDE","","{"&amp;CHAR(34)&amp;"path"&amp;CHAR(34)&amp;":"&amp;CHAR(34)&amp;B34&amp;CHAR(34)&amp;","&amp;CHAR(34)&amp;"type"&amp;CHAR(34)&amp;":"&amp;CHAR(34)&amp;F34&amp;CHAR(34)&amp;","&amp;CHAR(34)&amp;"xlsform_type"&amp;CHAR(34)&amp;":"&amp;CHAR(34)&amp;C34&amp;CHAR(34)&amp;","&amp;CHAR(34)&amp;"commitment"&amp;CHAR(34)&amp;":"&amp;CHAR(34)&amp;IF(F34="sha256","text-utf8-sha256","value")&amp;CHAR(34)&amp;","&amp;CHAR(34)&amp;"transform"&amp;CHAR(34)&amp;":"&amp;CHAR(34)&amp;G34&amp;CHAR(34)&amp;"}")</f>
        <v/>
      </c>
      <c r="I34">
        <f>IF(E34&lt;&gt;"INCLUDE","","'|"&amp;B34&amp;"=', "&amp;IF(F34="date","if(string-length(string(${"&amp;B34&amp;"})) &gt; 0, format-date(${"&amp;B34&amp;"}, '%Y-%m-%d'), '')",IF(F34="sha256","digest(string(${"&amp;B34&amp;"}), 'SHA-256', 'hex')","string(${"&amp;B34&amp;"})")))</f>
        <v/>
      </c>
      <c r="J34">
        <f>IF(E34="INCLUDE","Included by explicit yes","Not included")</f>
        <v/>
      </c>
      <c r="K34">
        <f>K33&amp;IF(H34="","",","&amp;H34)</f>
        <v/>
      </c>
      <c r="L34">
        <f>L33&amp;IF(I34="","",","&amp;I34)</f>
        <v/>
      </c>
    </row>
    <row r="35">
      <c r="A35" t="n">
        <v>52</v>
      </c>
      <c r="B35">
        <f>survey!B52</f>
        <v/>
      </c>
      <c r="C35">
        <f>survey!A52</f>
        <v/>
      </c>
      <c r="D35" t="inlineStr"/>
      <c r="E35">
        <f>IF(OR(B35="",C35=""),"",IF(LOWER(D35)="yes","INCLUDE","EXCLUDE"))</f>
        <v/>
      </c>
      <c r="F35">
        <f>IF(E35&lt;&gt;"INCLUDE","",IF(LEFT(LOWER(C35),10)="select_one ","select_one",IF(LOWER(C35)="date","date",IF(OR(LOWER(C35)="integer",LOWER(C35)="decimal",LOWER(C35)="range"),LOWER(C35),"sha256"))))</f>
        <v/>
      </c>
      <c r="G35">
        <f>IF(E35&lt;&gt;"INCLUDE","",IF(F35="date","yyyy-mm-dd",IF(F35="select_one","stored-choice-name",IF(F35="sha256","odk-lexical-utf8-sha256","odk-canonical-scalar"))))</f>
        <v/>
      </c>
      <c r="H35">
        <f>IF(E35&lt;&gt;"INCLUDE","","{"&amp;CHAR(34)&amp;"path"&amp;CHAR(34)&amp;":"&amp;CHAR(34)&amp;B35&amp;CHAR(34)&amp;","&amp;CHAR(34)&amp;"type"&amp;CHAR(34)&amp;":"&amp;CHAR(34)&amp;F35&amp;CHAR(34)&amp;","&amp;CHAR(34)&amp;"xlsform_type"&amp;CHAR(34)&amp;":"&amp;CHAR(34)&amp;C35&amp;CHAR(34)&amp;","&amp;CHAR(34)&amp;"commitment"&amp;CHAR(34)&amp;":"&amp;CHAR(34)&amp;IF(F35="sha256","text-utf8-sha256","value")&amp;CHAR(34)&amp;","&amp;CHAR(34)&amp;"transform"&amp;CHAR(34)&amp;":"&amp;CHAR(34)&amp;G35&amp;CHAR(34)&amp;"}")</f>
        <v/>
      </c>
      <c r="I35">
        <f>IF(E35&lt;&gt;"INCLUDE","","'|"&amp;B35&amp;"=', "&amp;IF(F35="date","if(string-length(string(${"&amp;B35&amp;"})) &gt; 0, format-date(${"&amp;B35&amp;"}, '%Y-%m-%d'), '')",IF(F35="sha256","digest(string(${"&amp;B35&amp;"}), 'SHA-256', 'hex')","string(${"&amp;B35&amp;"})")))</f>
        <v/>
      </c>
      <c r="J35">
        <f>IF(E35="INCLUDE","Included by explicit yes","Not included")</f>
        <v/>
      </c>
      <c r="K35">
        <f>K34&amp;IF(H35="","",","&amp;H35)</f>
        <v/>
      </c>
      <c r="L35">
        <f>L34&amp;IF(I35="","",","&amp;I35)</f>
        <v/>
      </c>
    </row>
    <row r="36">
      <c r="A36" t="n">
        <v>53</v>
      </c>
      <c r="B36">
        <f>survey!B53</f>
        <v/>
      </c>
      <c r="C36">
        <f>survey!A53</f>
        <v/>
      </c>
      <c r="D36" t="inlineStr"/>
      <c r="E36">
        <f>IF(OR(B36="",C36=""),"",IF(LOWER(D36)="yes","INCLUDE","EXCLUDE"))</f>
        <v/>
      </c>
      <c r="F36">
        <f>IF(E36&lt;&gt;"INCLUDE","",IF(LEFT(LOWER(C36),10)="select_one ","select_one",IF(LOWER(C36)="date","date",IF(OR(LOWER(C36)="integer",LOWER(C36)="decimal",LOWER(C36)="range"),LOWER(C36),"sha256"))))</f>
        <v/>
      </c>
      <c r="G36">
        <f>IF(E36&lt;&gt;"INCLUDE","",IF(F36="date","yyyy-mm-dd",IF(F36="select_one","stored-choice-name",IF(F36="sha256","odk-lexical-utf8-sha256","odk-canonical-scalar"))))</f>
        <v/>
      </c>
      <c r="H36">
        <f>IF(E36&lt;&gt;"INCLUDE","","{"&amp;CHAR(34)&amp;"path"&amp;CHAR(34)&amp;":"&amp;CHAR(34)&amp;B36&amp;CHAR(34)&amp;","&amp;CHAR(34)&amp;"type"&amp;CHAR(34)&amp;":"&amp;CHAR(34)&amp;F36&amp;CHAR(34)&amp;","&amp;CHAR(34)&amp;"xlsform_type"&amp;CHAR(34)&amp;":"&amp;CHAR(34)&amp;C36&amp;CHAR(34)&amp;","&amp;CHAR(34)&amp;"commitment"&amp;CHAR(34)&amp;":"&amp;CHAR(34)&amp;IF(F36="sha256","text-utf8-sha256","value")&amp;CHAR(34)&amp;","&amp;CHAR(34)&amp;"transform"&amp;CHAR(34)&amp;":"&amp;CHAR(34)&amp;G36&amp;CHAR(34)&amp;"}")</f>
        <v/>
      </c>
      <c r="I36">
        <f>IF(E36&lt;&gt;"INCLUDE","","'|"&amp;B36&amp;"=', "&amp;IF(F36="date","if(string-length(string(${"&amp;B36&amp;"})) &gt; 0, format-date(${"&amp;B36&amp;"}, '%Y-%m-%d'), '')",IF(F36="sha256","digest(string(${"&amp;B36&amp;"}), 'SHA-256', 'hex')","string(${"&amp;B36&amp;"})")))</f>
        <v/>
      </c>
      <c r="J36">
        <f>IF(E36="INCLUDE","Included by explicit yes","Not included")</f>
        <v/>
      </c>
      <c r="K36">
        <f>K35&amp;IF(H36="","",","&amp;H36)</f>
        <v/>
      </c>
      <c r="L36">
        <f>L35&amp;IF(I36="","",","&amp;I36)</f>
        <v/>
      </c>
    </row>
    <row r="37">
      <c r="A37" t="n">
        <v>54</v>
      </c>
      <c r="B37">
        <f>survey!B54</f>
        <v/>
      </c>
      <c r="C37">
        <f>survey!A54</f>
        <v/>
      </c>
      <c r="D37" t="inlineStr"/>
      <c r="E37">
        <f>IF(OR(B37="",C37=""),"",IF(LOWER(D37)="yes","INCLUDE","EXCLUDE"))</f>
        <v/>
      </c>
      <c r="F37">
        <f>IF(E37&lt;&gt;"INCLUDE","",IF(LEFT(LOWER(C37),10)="select_one ","select_one",IF(LOWER(C37)="date","date",IF(OR(LOWER(C37)="integer",LOWER(C37)="decimal",LOWER(C37)="range"),LOWER(C37),"sha256"))))</f>
        <v/>
      </c>
      <c r="G37">
        <f>IF(E37&lt;&gt;"INCLUDE","",IF(F37="date","yyyy-mm-dd",IF(F37="select_one","stored-choice-name",IF(F37="sha256","odk-lexical-utf8-sha256","odk-canonical-scalar"))))</f>
        <v/>
      </c>
      <c r="H37">
        <f>IF(E37&lt;&gt;"INCLUDE","","{"&amp;CHAR(34)&amp;"path"&amp;CHAR(34)&amp;":"&amp;CHAR(34)&amp;B37&amp;CHAR(34)&amp;","&amp;CHAR(34)&amp;"type"&amp;CHAR(34)&amp;":"&amp;CHAR(34)&amp;F37&amp;CHAR(34)&amp;","&amp;CHAR(34)&amp;"xlsform_type"&amp;CHAR(34)&amp;":"&amp;CHAR(34)&amp;C37&amp;CHAR(34)&amp;","&amp;CHAR(34)&amp;"commitment"&amp;CHAR(34)&amp;":"&amp;CHAR(34)&amp;IF(F37="sha256","text-utf8-sha256","value")&amp;CHAR(34)&amp;","&amp;CHAR(34)&amp;"transform"&amp;CHAR(34)&amp;":"&amp;CHAR(34)&amp;G37&amp;CHAR(34)&amp;"}")</f>
        <v/>
      </c>
      <c r="I37">
        <f>IF(E37&lt;&gt;"INCLUDE","","'|"&amp;B37&amp;"=', "&amp;IF(F37="date","if(string-length(string(${"&amp;B37&amp;"})) &gt; 0, format-date(${"&amp;B37&amp;"}, '%Y-%m-%d'), '')",IF(F37="sha256","digest(string(${"&amp;B37&amp;"}), 'SHA-256', 'hex')","string(${"&amp;B37&amp;"})")))</f>
        <v/>
      </c>
      <c r="J37">
        <f>IF(E37="INCLUDE","Included by explicit yes","Not included")</f>
        <v/>
      </c>
      <c r="K37">
        <f>K36&amp;IF(H37="","",","&amp;H37)</f>
        <v/>
      </c>
      <c r="L37">
        <f>L36&amp;IF(I37="","",","&amp;I37)</f>
        <v/>
      </c>
    </row>
    <row r="38">
      <c r="A38" t="n">
        <v>55</v>
      </c>
      <c r="B38">
        <f>survey!B55</f>
        <v/>
      </c>
      <c r="C38">
        <f>survey!A55</f>
        <v/>
      </c>
      <c r="D38" t="inlineStr"/>
      <c r="E38">
        <f>IF(OR(B38="",C38=""),"",IF(LOWER(D38)="yes","INCLUDE","EXCLUDE"))</f>
        <v/>
      </c>
      <c r="F38">
        <f>IF(E38&lt;&gt;"INCLUDE","",IF(LEFT(LOWER(C38),10)="select_one ","select_one",IF(LOWER(C38)="date","date",IF(OR(LOWER(C38)="integer",LOWER(C38)="decimal",LOWER(C38)="range"),LOWER(C38),"sha256"))))</f>
        <v/>
      </c>
      <c r="G38">
        <f>IF(E38&lt;&gt;"INCLUDE","",IF(F38="date","yyyy-mm-dd",IF(F38="select_one","stored-choice-name",IF(F38="sha256","odk-lexical-utf8-sha256","odk-canonical-scalar"))))</f>
        <v/>
      </c>
      <c r="H38">
        <f>IF(E38&lt;&gt;"INCLUDE","","{"&amp;CHAR(34)&amp;"path"&amp;CHAR(34)&amp;":"&amp;CHAR(34)&amp;B38&amp;CHAR(34)&amp;","&amp;CHAR(34)&amp;"type"&amp;CHAR(34)&amp;":"&amp;CHAR(34)&amp;F38&amp;CHAR(34)&amp;","&amp;CHAR(34)&amp;"xlsform_type"&amp;CHAR(34)&amp;":"&amp;CHAR(34)&amp;C38&amp;CHAR(34)&amp;","&amp;CHAR(34)&amp;"commitment"&amp;CHAR(34)&amp;":"&amp;CHAR(34)&amp;IF(F38="sha256","text-utf8-sha256","value")&amp;CHAR(34)&amp;","&amp;CHAR(34)&amp;"transform"&amp;CHAR(34)&amp;":"&amp;CHAR(34)&amp;G38&amp;CHAR(34)&amp;"}")</f>
        <v/>
      </c>
      <c r="I38">
        <f>IF(E38&lt;&gt;"INCLUDE","","'|"&amp;B38&amp;"=', "&amp;IF(F38="date","if(string-length(string(${"&amp;B38&amp;"})) &gt; 0, format-date(${"&amp;B38&amp;"}, '%Y-%m-%d'), '')",IF(F38="sha256","digest(string(${"&amp;B38&amp;"}), 'SHA-256', 'hex')","string(${"&amp;B38&amp;"})")))</f>
        <v/>
      </c>
      <c r="J38">
        <f>IF(E38="INCLUDE","Included by explicit yes","Not included")</f>
        <v/>
      </c>
      <c r="K38">
        <f>K37&amp;IF(H38="","",","&amp;H38)</f>
        <v/>
      </c>
      <c r="L38">
        <f>L37&amp;IF(I38="","",","&amp;I38)</f>
        <v/>
      </c>
    </row>
    <row r="39">
      <c r="A39" t="n">
        <v>56</v>
      </c>
      <c r="B39">
        <f>survey!B56</f>
        <v/>
      </c>
      <c r="C39">
        <f>survey!A56</f>
        <v/>
      </c>
      <c r="D39" t="inlineStr"/>
      <c r="E39">
        <f>IF(OR(B39="",C39=""),"",IF(LOWER(D39)="yes","INCLUDE","EXCLUDE"))</f>
        <v/>
      </c>
      <c r="F39">
        <f>IF(E39&lt;&gt;"INCLUDE","",IF(LEFT(LOWER(C39),10)="select_one ","select_one",IF(LOWER(C39)="date","date",IF(OR(LOWER(C39)="integer",LOWER(C39)="decimal",LOWER(C39)="range"),LOWER(C39),"sha256"))))</f>
        <v/>
      </c>
      <c r="G39">
        <f>IF(E39&lt;&gt;"INCLUDE","",IF(F39="date","yyyy-mm-dd",IF(F39="select_one","stored-choice-name",IF(F39="sha256","odk-lexical-utf8-sha256","odk-canonical-scalar"))))</f>
        <v/>
      </c>
      <c r="H39">
        <f>IF(E39&lt;&gt;"INCLUDE","","{"&amp;CHAR(34)&amp;"path"&amp;CHAR(34)&amp;":"&amp;CHAR(34)&amp;B39&amp;CHAR(34)&amp;","&amp;CHAR(34)&amp;"type"&amp;CHAR(34)&amp;":"&amp;CHAR(34)&amp;F39&amp;CHAR(34)&amp;","&amp;CHAR(34)&amp;"xlsform_type"&amp;CHAR(34)&amp;":"&amp;CHAR(34)&amp;C39&amp;CHAR(34)&amp;","&amp;CHAR(34)&amp;"commitment"&amp;CHAR(34)&amp;":"&amp;CHAR(34)&amp;IF(F39="sha256","text-utf8-sha256","value")&amp;CHAR(34)&amp;","&amp;CHAR(34)&amp;"transform"&amp;CHAR(34)&amp;":"&amp;CHAR(34)&amp;G39&amp;CHAR(34)&amp;"}")</f>
        <v/>
      </c>
      <c r="I39">
        <f>IF(E39&lt;&gt;"INCLUDE","","'|"&amp;B39&amp;"=', "&amp;IF(F39="date","if(string-length(string(${"&amp;B39&amp;"})) &gt; 0, format-date(${"&amp;B39&amp;"}, '%Y-%m-%d'), '')",IF(F39="sha256","digest(string(${"&amp;B39&amp;"}), 'SHA-256', 'hex')","string(${"&amp;B39&amp;"})")))</f>
        <v/>
      </c>
      <c r="J39">
        <f>IF(E39="INCLUDE","Included by explicit yes","Not included")</f>
        <v/>
      </c>
      <c r="K39">
        <f>K38&amp;IF(H39="","",","&amp;H39)</f>
        <v/>
      </c>
      <c r="L39">
        <f>L38&amp;IF(I39="","",","&amp;I39)</f>
        <v/>
      </c>
    </row>
    <row r="40">
      <c r="A40" t="n">
        <v>57</v>
      </c>
      <c r="B40">
        <f>survey!B57</f>
        <v/>
      </c>
      <c r="C40">
        <f>survey!A57</f>
        <v/>
      </c>
      <c r="D40" t="inlineStr"/>
      <c r="E40">
        <f>IF(OR(B40="",C40=""),"",IF(LOWER(D40)="yes","INCLUDE","EXCLUDE"))</f>
        <v/>
      </c>
      <c r="F40">
        <f>IF(E40&lt;&gt;"INCLUDE","",IF(LEFT(LOWER(C40),10)="select_one ","select_one",IF(LOWER(C40)="date","date",IF(OR(LOWER(C40)="integer",LOWER(C40)="decimal",LOWER(C40)="range"),LOWER(C40),"sha256"))))</f>
        <v/>
      </c>
      <c r="G40">
        <f>IF(E40&lt;&gt;"INCLUDE","",IF(F40="date","yyyy-mm-dd",IF(F40="select_one","stored-choice-name",IF(F40="sha256","odk-lexical-utf8-sha256","odk-canonical-scalar"))))</f>
        <v/>
      </c>
      <c r="H40">
        <f>IF(E40&lt;&gt;"INCLUDE","","{"&amp;CHAR(34)&amp;"path"&amp;CHAR(34)&amp;":"&amp;CHAR(34)&amp;B40&amp;CHAR(34)&amp;","&amp;CHAR(34)&amp;"type"&amp;CHAR(34)&amp;":"&amp;CHAR(34)&amp;F40&amp;CHAR(34)&amp;","&amp;CHAR(34)&amp;"xlsform_type"&amp;CHAR(34)&amp;":"&amp;CHAR(34)&amp;C40&amp;CHAR(34)&amp;","&amp;CHAR(34)&amp;"commitment"&amp;CHAR(34)&amp;":"&amp;CHAR(34)&amp;IF(F40="sha256","text-utf8-sha256","value")&amp;CHAR(34)&amp;","&amp;CHAR(34)&amp;"transform"&amp;CHAR(34)&amp;":"&amp;CHAR(34)&amp;G40&amp;CHAR(34)&amp;"}")</f>
        <v/>
      </c>
      <c r="I40">
        <f>IF(E40&lt;&gt;"INCLUDE","","'|"&amp;B40&amp;"=', "&amp;IF(F40="date","if(string-length(string(${"&amp;B40&amp;"})) &gt; 0, format-date(${"&amp;B40&amp;"}, '%Y-%m-%d'), '')",IF(F40="sha256","digest(string(${"&amp;B40&amp;"}), 'SHA-256', 'hex')","string(${"&amp;B40&amp;"})")))</f>
        <v/>
      </c>
      <c r="J40">
        <f>IF(E40="INCLUDE","Included by explicit yes","Not included")</f>
        <v/>
      </c>
      <c r="K40">
        <f>K39&amp;IF(H40="","",","&amp;H40)</f>
        <v/>
      </c>
      <c r="L40">
        <f>L39&amp;IF(I40="","",","&amp;I40)</f>
        <v/>
      </c>
    </row>
    <row r="41">
      <c r="A41" t="n">
        <v>58</v>
      </c>
      <c r="B41">
        <f>survey!B58</f>
        <v/>
      </c>
      <c r="C41">
        <f>survey!A58</f>
        <v/>
      </c>
      <c r="D41" t="inlineStr"/>
      <c r="E41">
        <f>IF(OR(B41="",C41=""),"",IF(LOWER(D41)="yes","INCLUDE","EXCLUDE"))</f>
        <v/>
      </c>
      <c r="F41">
        <f>IF(E41&lt;&gt;"INCLUDE","",IF(LEFT(LOWER(C41),10)="select_one ","select_one",IF(LOWER(C41)="date","date",IF(OR(LOWER(C41)="integer",LOWER(C41)="decimal",LOWER(C41)="range"),LOWER(C41),"sha256"))))</f>
        <v/>
      </c>
      <c r="G41">
        <f>IF(E41&lt;&gt;"INCLUDE","",IF(F41="date","yyyy-mm-dd",IF(F41="select_one","stored-choice-name",IF(F41="sha256","odk-lexical-utf8-sha256","odk-canonical-scalar"))))</f>
        <v/>
      </c>
      <c r="H41">
        <f>IF(E41&lt;&gt;"INCLUDE","","{"&amp;CHAR(34)&amp;"path"&amp;CHAR(34)&amp;":"&amp;CHAR(34)&amp;B41&amp;CHAR(34)&amp;","&amp;CHAR(34)&amp;"type"&amp;CHAR(34)&amp;":"&amp;CHAR(34)&amp;F41&amp;CHAR(34)&amp;","&amp;CHAR(34)&amp;"xlsform_type"&amp;CHAR(34)&amp;":"&amp;CHAR(34)&amp;C41&amp;CHAR(34)&amp;","&amp;CHAR(34)&amp;"commitment"&amp;CHAR(34)&amp;":"&amp;CHAR(34)&amp;IF(F41="sha256","text-utf8-sha256","value")&amp;CHAR(34)&amp;","&amp;CHAR(34)&amp;"transform"&amp;CHAR(34)&amp;":"&amp;CHAR(34)&amp;G41&amp;CHAR(34)&amp;"}")</f>
        <v/>
      </c>
      <c r="I41">
        <f>IF(E41&lt;&gt;"INCLUDE","","'|"&amp;B41&amp;"=', "&amp;IF(F41="date","if(string-length(string(${"&amp;B41&amp;"})) &gt; 0, format-date(${"&amp;B41&amp;"}, '%Y-%m-%d'), '')",IF(F41="sha256","digest(string(${"&amp;B41&amp;"}), 'SHA-256', 'hex')","string(${"&amp;B41&amp;"})")))</f>
        <v/>
      </c>
      <c r="J41">
        <f>IF(E41="INCLUDE","Included by explicit yes","Not included")</f>
        <v/>
      </c>
      <c r="K41">
        <f>K40&amp;IF(H41="","",","&amp;H41)</f>
        <v/>
      </c>
      <c r="L41">
        <f>L40&amp;IF(I41="","",","&amp;I41)</f>
        <v/>
      </c>
    </row>
    <row r="42">
      <c r="A42" t="n">
        <v>59</v>
      </c>
      <c r="B42">
        <f>survey!B59</f>
        <v/>
      </c>
      <c r="C42">
        <f>survey!A59</f>
        <v/>
      </c>
      <c r="D42" t="inlineStr"/>
      <c r="E42">
        <f>IF(OR(B42="",C42=""),"",IF(LOWER(D42)="yes","INCLUDE","EXCLUDE"))</f>
        <v/>
      </c>
      <c r="F42">
        <f>IF(E42&lt;&gt;"INCLUDE","",IF(LEFT(LOWER(C42),10)="select_one ","select_one",IF(LOWER(C42)="date","date",IF(OR(LOWER(C42)="integer",LOWER(C42)="decimal",LOWER(C42)="range"),LOWER(C42),"sha256"))))</f>
        <v/>
      </c>
      <c r="G42">
        <f>IF(E42&lt;&gt;"INCLUDE","",IF(F42="date","yyyy-mm-dd",IF(F42="select_one","stored-choice-name",IF(F42="sha256","odk-lexical-utf8-sha256","odk-canonical-scalar"))))</f>
        <v/>
      </c>
      <c r="H42">
        <f>IF(E42&lt;&gt;"INCLUDE","","{"&amp;CHAR(34)&amp;"path"&amp;CHAR(34)&amp;":"&amp;CHAR(34)&amp;B42&amp;CHAR(34)&amp;","&amp;CHAR(34)&amp;"type"&amp;CHAR(34)&amp;":"&amp;CHAR(34)&amp;F42&amp;CHAR(34)&amp;","&amp;CHAR(34)&amp;"xlsform_type"&amp;CHAR(34)&amp;":"&amp;CHAR(34)&amp;C42&amp;CHAR(34)&amp;","&amp;CHAR(34)&amp;"commitment"&amp;CHAR(34)&amp;":"&amp;CHAR(34)&amp;IF(F42="sha256","text-utf8-sha256","value")&amp;CHAR(34)&amp;","&amp;CHAR(34)&amp;"transform"&amp;CHAR(34)&amp;":"&amp;CHAR(34)&amp;G42&amp;CHAR(34)&amp;"}")</f>
        <v/>
      </c>
      <c r="I42">
        <f>IF(E42&lt;&gt;"INCLUDE","","'|"&amp;B42&amp;"=', "&amp;IF(F42="date","if(string-length(string(${"&amp;B42&amp;"})) &gt; 0, format-date(${"&amp;B42&amp;"}, '%Y-%m-%d'), '')",IF(F42="sha256","digest(string(${"&amp;B42&amp;"}), 'SHA-256', 'hex')","string(${"&amp;B42&amp;"})")))</f>
        <v/>
      </c>
      <c r="J42">
        <f>IF(E42="INCLUDE","Included by explicit yes","Not included")</f>
        <v/>
      </c>
      <c r="K42">
        <f>K41&amp;IF(H42="","",","&amp;H42)</f>
        <v/>
      </c>
      <c r="L42">
        <f>L41&amp;IF(I42="","",","&amp;I42)</f>
        <v/>
      </c>
    </row>
    <row r="43">
      <c r="A43" t="n">
        <v>60</v>
      </c>
      <c r="B43">
        <f>survey!B60</f>
        <v/>
      </c>
      <c r="C43">
        <f>survey!A60</f>
        <v/>
      </c>
      <c r="D43" t="inlineStr"/>
      <c r="E43">
        <f>IF(OR(B43="",C43=""),"",IF(LOWER(D43)="yes","INCLUDE","EXCLUDE"))</f>
        <v/>
      </c>
      <c r="F43">
        <f>IF(E43&lt;&gt;"INCLUDE","",IF(LEFT(LOWER(C43),10)="select_one ","select_one",IF(LOWER(C43)="date","date",IF(OR(LOWER(C43)="integer",LOWER(C43)="decimal",LOWER(C43)="range"),LOWER(C43),"sha256"))))</f>
        <v/>
      </c>
      <c r="G43">
        <f>IF(E43&lt;&gt;"INCLUDE","",IF(F43="date","yyyy-mm-dd",IF(F43="select_one","stored-choice-name",IF(F43="sha256","odk-lexical-utf8-sha256","odk-canonical-scalar"))))</f>
        <v/>
      </c>
      <c r="H43">
        <f>IF(E43&lt;&gt;"INCLUDE","","{"&amp;CHAR(34)&amp;"path"&amp;CHAR(34)&amp;":"&amp;CHAR(34)&amp;B43&amp;CHAR(34)&amp;","&amp;CHAR(34)&amp;"type"&amp;CHAR(34)&amp;":"&amp;CHAR(34)&amp;F43&amp;CHAR(34)&amp;","&amp;CHAR(34)&amp;"xlsform_type"&amp;CHAR(34)&amp;":"&amp;CHAR(34)&amp;C43&amp;CHAR(34)&amp;","&amp;CHAR(34)&amp;"commitment"&amp;CHAR(34)&amp;":"&amp;CHAR(34)&amp;IF(F43="sha256","text-utf8-sha256","value")&amp;CHAR(34)&amp;","&amp;CHAR(34)&amp;"transform"&amp;CHAR(34)&amp;":"&amp;CHAR(34)&amp;G43&amp;CHAR(34)&amp;"}")</f>
        <v/>
      </c>
      <c r="I43">
        <f>IF(E43&lt;&gt;"INCLUDE","","'|"&amp;B43&amp;"=', "&amp;IF(F43="date","if(string-length(string(${"&amp;B43&amp;"})) &gt; 0, format-date(${"&amp;B43&amp;"}, '%Y-%m-%d'), '')",IF(F43="sha256","digest(string(${"&amp;B43&amp;"}), 'SHA-256', 'hex')","string(${"&amp;B43&amp;"})")))</f>
        <v/>
      </c>
      <c r="J43">
        <f>IF(E43="INCLUDE","Included by explicit yes","Not included")</f>
        <v/>
      </c>
      <c r="K43">
        <f>K42&amp;IF(H43="","",","&amp;H43)</f>
        <v/>
      </c>
      <c r="L43">
        <f>L42&amp;IF(I43="","",","&amp;I43)</f>
        <v/>
      </c>
    </row>
    <row r="44">
      <c r="A44" t="n">
        <v>61</v>
      </c>
      <c r="B44">
        <f>survey!B61</f>
        <v/>
      </c>
      <c r="C44">
        <f>survey!A61</f>
        <v/>
      </c>
      <c r="D44" t="inlineStr"/>
      <c r="E44">
        <f>IF(OR(B44="",C44=""),"",IF(LOWER(D44)="yes","INCLUDE","EXCLUDE"))</f>
        <v/>
      </c>
      <c r="F44">
        <f>IF(E44&lt;&gt;"INCLUDE","",IF(LEFT(LOWER(C44),10)="select_one ","select_one",IF(LOWER(C44)="date","date",IF(OR(LOWER(C44)="integer",LOWER(C44)="decimal",LOWER(C44)="range"),LOWER(C44),"sha256"))))</f>
        <v/>
      </c>
      <c r="G44">
        <f>IF(E44&lt;&gt;"INCLUDE","",IF(F44="date","yyyy-mm-dd",IF(F44="select_one","stored-choice-name",IF(F44="sha256","odk-lexical-utf8-sha256","odk-canonical-scalar"))))</f>
        <v/>
      </c>
      <c r="H44">
        <f>IF(E44&lt;&gt;"INCLUDE","","{"&amp;CHAR(34)&amp;"path"&amp;CHAR(34)&amp;":"&amp;CHAR(34)&amp;B44&amp;CHAR(34)&amp;","&amp;CHAR(34)&amp;"type"&amp;CHAR(34)&amp;":"&amp;CHAR(34)&amp;F44&amp;CHAR(34)&amp;","&amp;CHAR(34)&amp;"xlsform_type"&amp;CHAR(34)&amp;":"&amp;CHAR(34)&amp;C44&amp;CHAR(34)&amp;","&amp;CHAR(34)&amp;"commitment"&amp;CHAR(34)&amp;":"&amp;CHAR(34)&amp;IF(F44="sha256","text-utf8-sha256","value")&amp;CHAR(34)&amp;","&amp;CHAR(34)&amp;"transform"&amp;CHAR(34)&amp;":"&amp;CHAR(34)&amp;G44&amp;CHAR(34)&amp;"}")</f>
        <v/>
      </c>
      <c r="I44">
        <f>IF(E44&lt;&gt;"INCLUDE","","'|"&amp;B44&amp;"=', "&amp;IF(F44="date","if(string-length(string(${"&amp;B44&amp;"})) &gt; 0, format-date(${"&amp;B44&amp;"}, '%Y-%m-%d'), '')",IF(F44="sha256","digest(string(${"&amp;B44&amp;"}), 'SHA-256', 'hex')","string(${"&amp;B44&amp;"})")))</f>
        <v/>
      </c>
      <c r="J44">
        <f>IF(E44="INCLUDE","Included by explicit yes","Not included")</f>
        <v/>
      </c>
      <c r="K44">
        <f>K43&amp;IF(H44="","",","&amp;H44)</f>
        <v/>
      </c>
      <c r="L44">
        <f>L43&amp;IF(I44="","",","&amp;I44)</f>
        <v/>
      </c>
    </row>
    <row r="45">
      <c r="A45" t="n">
        <v>62</v>
      </c>
      <c r="B45">
        <f>survey!B62</f>
        <v/>
      </c>
      <c r="C45">
        <f>survey!A62</f>
        <v/>
      </c>
      <c r="D45" t="inlineStr"/>
      <c r="E45">
        <f>IF(OR(B45="",C45=""),"",IF(LOWER(D45)="yes","INCLUDE","EXCLUDE"))</f>
        <v/>
      </c>
      <c r="F45">
        <f>IF(E45&lt;&gt;"INCLUDE","",IF(LEFT(LOWER(C45),10)="select_one ","select_one",IF(LOWER(C45)="date","date",IF(OR(LOWER(C45)="integer",LOWER(C45)="decimal",LOWER(C45)="range"),LOWER(C45),"sha256"))))</f>
        <v/>
      </c>
      <c r="G45">
        <f>IF(E45&lt;&gt;"INCLUDE","",IF(F45="date","yyyy-mm-dd",IF(F45="select_one","stored-choice-name",IF(F45="sha256","odk-lexical-utf8-sha256","odk-canonical-scalar"))))</f>
        <v/>
      </c>
      <c r="H45">
        <f>IF(E45&lt;&gt;"INCLUDE","","{"&amp;CHAR(34)&amp;"path"&amp;CHAR(34)&amp;":"&amp;CHAR(34)&amp;B45&amp;CHAR(34)&amp;","&amp;CHAR(34)&amp;"type"&amp;CHAR(34)&amp;":"&amp;CHAR(34)&amp;F45&amp;CHAR(34)&amp;","&amp;CHAR(34)&amp;"xlsform_type"&amp;CHAR(34)&amp;":"&amp;CHAR(34)&amp;C45&amp;CHAR(34)&amp;","&amp;CHAR(34)&amp;"commitment"&amp;CHAR(34)&amp;":"&amp;CHAR(34)&amp;IF(F45="sha256","text-utf8-sha256","value")&amp;CHAR(34)&amp;","&amp;CHAR(34)&amp;"transform"&amp;CHAR(34)&amp;":"&amp;CHAR(34)&amp;G45&amp;CHAR(34)&amp;"}")</f>
        <v/>
      </c>
      <c r="I45">
        <f>IF(E45&lt;&gt;"INCLUDE","","'|"&amp;B45&amp;"=', "&amp;IF(F45="date","if(string-length(string(${"&amp;B45&amp;"})) &gt; 0, format-date(${"&amp;B45&amp;"}, '%Y-%m-%d'), '')",IF(F45="sha256","digest(string(${"&amp;B45&amp;"}), 'SHA-256', 'hex')","string(${"&amp;B45&amp;"})")))</f>
        <v/>
      </c>
      <c r="J45">
        <f>IF(E45="INCLUDE","Included by explicit yes","Not included")</f>
        <v/>
      </c>
      <c r="K45">
        <f>K44&amp;IF(H45="","",","&amp;H45)</f>
        <v/>
      </c>
      <c r="L45">
        <f>L44&amp;IF(I45="","",","&amp;I45)</f>
        <v/>
      </c>
    </row>
    <row r="46">
      <c r="A46" t="n">
        <v>63</v>
      </c>
      <c r="B46">
        <f>survey!B63</f>
        <v/>
      </c>
      <c r="C46">
        <f>survey!A63</f>
        <v/>
      </c>
      <c r="D46" t="inlineStr"/>
      <c r="E46">
        <f>IF(OR(B46="",C46=""),"",IF(LOWER(D46)="yes","INCLUDE","EXCLUDE"))</f>
        <v/>
      </c>
      <c r="F46">
        <f>IF(E46&lt;&gt;"INCLUDE","",IF(LEFT(LOWER(C46),10)="select_one ","select_one",IF(LOWER(C46)="date","date",IF(OR(LOWER(C46)="integer",LOWER(C46)="decimal",LOWER(C46)="range"),LOWER(C46),"sha256"))))</f>
        <v/>
      </c>
      <c r="G46">
        <f>IF(E46&lt;&gt;"INCLUDE","",IF(F46="date","yyyy-mm-dd",IF(F46="select_one","stored-choice-name",IF(F46="sha256","odk-lexical-utf8-sha256","odk-canonical-scalar"))))</f>
        <v/>
      </c>
      <c r="H46">
        <f>IF(E46&lt;&gt;"INCLUDE","","{"&amp;CHAR(34)&amp;"path"&amp;CHAR(34)&amp;":"&amp;CHAR(34)&amp;B46&amp;CHAR(34)&amp;","&amp;CHAR(34)&amp;"type"&amp;CHAR(34)&amp;":"&amp;CHAR(34)&amp;F46&amp;CHAR(34)&amp;","&amp;CHAR(34)&amp;"xlsform_type"&amp;CHAR(34)&amp;":"&amp;CHAR(34)&amp;C46&amp;CHAR(34)&amp;","&amp;CHAR(34)&amp;"commitment"&amp;CHAR(34)&amp;":"&amp;CHAR(34)&amp;IF(F46="sha256","text-utf8-sha256","value")&amp;CHAR(34)&amp;","&amp;CHAR(34)&amp;"transform"&amp;CHAR(34)&amp;":"&amp;CHAR(34)&amp;G46&amp;CHAR(34)&amp;"}")</f>
        <v/>
      </c>
      <c r="I46">
        <f>IF(E46&lt;&gt;"INCLUDE","","'|"&amp;B46&amp;"=', "&amp;IF(F46="date","if(string-length(string(${"&amp;B46&amp;"})) &gt; 0, format-date(${"&amp;B46&amp;"}, '%Y-%m-%d'), '')",IF(F46="sha256","digest(string(${"&amp;B46&amp;"}), 'SHA-256', 'hex')","string(${"&amp;B46&amp;"})")))</f>
        <v/>
      </c>
      <c r="J46">
        <f>IF(E46="INCLUDE","Included by explicit yes","Not included")</f>
        <v/>
      </c>
      <c r="K46">
        <f>K45&amp;IF(H46="","",","&amp;H46)</f>
        <v/>
      </c>
      <c r="L46">
        <f>L45&amp;IF(I46="","",","&amp;I46)</f>
        <v/>
      </c>
    </row>
    <row r="47">
      <c r="A47" t="n">
        <v>64</v>
      </c>
      <c r="B47">
        <f>survey!B64</f>
        <v/>
      </c>
      <c r="C47">
        <f>survey!A64</f>
        <v/>
      </c>
      <c r="D47" t="inlineStr"/>
      <c r="E47">
        <f>IF(OR(B47="",C47=""),"",IF(LOWER(D47)="yes","INCLUDE","EXCLUDE"))</f>
        <v/>
      </c>
      <c r="F47">
        <f>IF(E47&lt;&gt;"INCLUDE","",IF(LEFT(LOWER(C47),10)="select_one ","select_one",IF(LOWER(C47)="date","date",IF(OR(LOWER(C47)="integer",LOWER(C47)="decimal",LOWER(C47)="range"),LOWER(C47),"sha256"))))</f>
        <v/>
      </c>
      <c r="G47">
        <f>IF(E47&lt;&gt;"INCLUDE","",IF(F47="date","yyyy-mm-dd",IF(F47="select_one","stored-choice-name",IF(F47="sha256","odk-lexical-utf8-sha256","odk-canonical-scalar"))))</f>
        <v/>
      </c>
      <c r="H47">
        <f>IF(E47&lt;&gt;"INCLUDE","","{"&amp;CHAR(34)&amp;"path"&amp;CHAR(34)&amp;":"&amp;CHAR(34)&amp;B47&amp;CHAR(34)&amp;","&amp;CHAR(34)&amp;"type"&amp;CHAR(34)&amp;":"&amp;CHAR(34)&amp;F47&amp;CHAR(34)&amp;","&amp;CHAR(34)&amp;"xlsform_type"&amp;CHAR(34)&amp;":"&amp;CHAR(34)&amp;C47&amp;CHAR(34)&amp;","&amp;CHAR(34)&amp;"commitment"&amp;CHAR(34)&amp;":"&amp;CHAR(34)&amp;IF(F47="sha256","text-utf8-sha256","value")&amp;CHAR(34)&amp;","&amp;CHAR(34)&amp;"transform"&amp;CHAR(34)&amp;":"&amp;CHAR(34)&amp;G47&amp;CHAR(34)&amp;"}")</f>
        <v/>
      </c>
      <c r="I47">
        <f>IF(E47&lt;&gt;"INCLUDE","","'|"&amp;B47&amp;"=', "&amp;IF(F47="date","if(string-length(string(${"&amp;B47&amp;"})) &gt; 0, format-date(${"&amp;B47&amp;"}, '%Y-%m-%d'), '')",IF(F47="sha256","digest(string(${"&amp;B47&amp;"}), 'SHA-256', 'hex')","string(${"&amp;B47&amp;"})")))</f>
        <v/>
      </c>
      <c r="J47">
        <f>IF(E47="INCLUDE","Included by explicit yes","Not included")</f>
        <v/>
      </c>
      <c r="K47">
        <f>K46&amp;IF(H47="","",","&amp;H47)</f>
        <v/>
      </c>
      <c r="L47">
        <f>L46&amp;IF(I47="","",","&amp;I47)</f>
        <v/>
      </c>
    </row>
    <row r="48">
      <c r="A48" t="n">
        <v>65</v>
      </c>
      <c r="B48">
        <f>survey!B65</f>
        <v/>
      </c>
      <c r="C48">
        <f>survey!A65</f>
        <v/>
      </c>
      <c r="D48" t="inlineStr"/>
      <c r="E48">
        <f>IF(OR(B48="",C48=""),"",IF(LOWER(D48)="yes","INCLUDE","EXCLUDE"))</f>
        <v/>
      </c>
      <c r="F48">
        <f>IF(E48&lt;&gt;"INCLUDE","",IF(LEFT(LOWER(C48),10)="select_one ","select_one",IF(LOWER(C48)="date","date",IF(OR(LOWER(C48)="integer",LOWER(C48)="decimal",LOWER(C48)="range"),LOWER(C48),"sha256"))))</f>
        <v/>
      </c>
      <c r="G48">
        <f>IF(E48&lt;&gt;"INCLUDE","",IF(F48="date","yyyy-mm-dd",IF(F48="select_one","stored-choice-name",IF(F48="sha256","odk-lexical-utf8-sha256","odk-canonical-scalar"))))</f>
        <v/>
      </c>
      <c r="H48">
        <f>IF(E48&lt;&gt;"INCLUDE","","{"&amp;CHAR(34)&amp;"path"&amp;CHAR(34)&amp;":"&amp;CHAR(34)&amp;B48&amp;CHAR(34)&amp;","&amp;CHAR(34)&amp;"type"&amp;CHAR(34)&amp;":"&amp;CHAR(34)&amp;F48&amp;CHAR(34)&amp;","&amp;CHAR(34)&amp;"xlsform_type"&amp;CHAR(34)&amp;":"&amp;CHAR(34)&amp;C48&amp;CHAR(34)&amp;","&amp;CHAR(34)&amp;"commitment"&amp;CHAR(34)&amp;":"&amp;CHAR(34)&amp;IF(F48="sha256","text-utf8-sha256","value")&amp;CHAR(34)&amp;","&amp;CHAR(34)&amp;"transform"&amp;CHAR(34)&amp;":"&amp;CHAR(34)&amp;G48&amp;CHAR(34)&amp;"}")</f>
        <v/>
      </c>
      <c r="I48">
        <f>IF(E48&lt;&gt;"INCLUDE","","'|"&amp;B48&amp;"=', "&amp;IF(F48="date","if(string-length(string(${"&amp;B48&amp;"})) &gt; 0, format-date(${"&amp;B48&amp;"}, '%Y-%m-%d'), '')",IF(F48="sha256","digest(string(${"&amp;B48&amp;"}), 'SHA-256', 'hex')","string(${"&amp;B48&amp;"})")))</f>
        <v/>
      </c>
      <c r="J48">
        <f>IF(E48="INCLUDE","Included by explicit yes","Not included")</f>
        <v/>
      </c>
      <c r="K48">
        <f>K47&amp;IF(H48="","",","&amp;H48)</f>
        <v/>
      </c>
      <c r="L48">
        <f>L47&amp;IF(I48="","",","&amp;I48)</f>
        <v/>
      </c>
    </row>
    <row r="49">
      <c r="A49" t="n">
        <v>66</v>
      </c>
      <c r="B49">
        <f>survey!B66</f>
        <v/>
      </c>
      <c r="C49">
        <f>survey!A66</f>
        <v/>
      </c>
      <c r="D49" t="inlineStr"/>
      <c r="E49">
        <f>IF(OR(B49="",C49=""),"",IF(LOWER(D49)="yes","INCLUDE","EXCLUDE"))</f>
        <v/>
      </c>
      <c r="F49">
        <f>IF(E49&lt;&gt;"INCLUDE","",IF(LEFT(LOWER(C49),10)="select_one ","select_one",IF(LOWER(C49)="date","date",IF(OR(LOWER(C49)="integer",LOWER(C49)="decimal",LOWER(C49)="range"),LOWER(C49),"sha256"))))</f>
        <v/>
      </c>
      <c r="G49">
        <f>IF(E49&lt;&gt;"INCLUDE","",IF(F49="date","yyyy-mm-dd",IF(F49="select_one","stored-choice-name",IF(F49="sha256","odk-lexical-utf8-sha256","odk-canonical-scalar"))))</f>
        <v/>
      </c>
      <c r="H49">
        <f>IF(E49&lt;&gt;"INCLUDE","","{"&amp;CHAR(34)&amp;"path"&amp;CHAR(34)&amp;":"&amp;CHAR(34)&amp;B49&amp;CHAR(34)&amp;","&amp;CHAR(34)&amp;"type"&amp;CHAR(34)&amp;":"&amp;CHAR(34)&amp;F49&amp;CHAR(34)&amp;","&amp;CHAR(34)&amp;"xlsform_type"&amp;CHAR(34)&amp;":"&amp;CHAR(34)&amp;C49&amp;CHAR(34)&amp;","&amp;CHAR(34)&amp;"commitment"&amp;CHAR(34)&amp;":"&amp;CHAR(34)&amp;IF(F49="sha256","text-utf8-sha256","value")&amp;CHAR(34)&amp;","&amp;CHAR(34)&amp;"transform"&amp;CHAR(34)&amp;":"&amp;CHAR(34)&amp;G49&amp;CHAR(34)&amp;"}")</f>
        <v/>
      </c>
      <c r="I49">
        <f>IF(E49&lt;&gt;"INCLUDE","","'|"&amp;B49&amp;"=', "&amp;IF(F49="date","if(string-length(string(${"&amp;B49&amp;"})) &gt; 0, format-date(${"&amp;B49&amp;"}, '%Y-%m-%d'), '')",IF(F49="sha256","digest(string(${"&amp;B49&amp;"}), 'SHA-256', 'hex')","string(${"&amp;B49&amp;"})")))</f>
        <v/>
      </c>
      <c r="J49">
        <f>IF(E49="INCLUDE","Included by explicit yes","Not included")</f>
        <v/>
      </c>
      <c r="K49">
        <f>K48&amp;IF(H49="","",","&amp;H49)</f>
        <v/>
      </c>
      <c r="L49">
        <f>L48&amp;IF(I49="","",","&amp;I49)</f>
        <v/>
      </c>
    </row>
    <row r="50">
      <c r="A50" t="n">
        <v>67</v>
      </c>
      <c r="B50">
        <f>survey!B67</f>
        <v/>
      </c>
      <c r="C50">
        <f>survey!A67</f>
        <v/>
      </c>
      <c r="D50" t="inlineStr"/>
      <c r="E50">
        <f>IF(OR(B50="",C50=""),"",IF(LOWER(D50)="yes","INCLUDE","EXCLUDE"))</f>
        <v/>
      </c>
      <c r="F50">
        <f>IF(E50&lt;&gt;"INCLUDE","",IF(LEFT(LOWER(C50),10)="select_one ","select_one",IF(LOWER(C50)="date","date",IF(OR(LOWER(C50)="integer",LOWER(C50)="decimal",LOWER(C50)="range"),LOWER(C50),"sha256"))))</f>
        <v/>
      </c>
      <c r="G50">
        <f>IF(E50&lt;&gt;"INCLUDE","",IF(F50="date","yyyy-mm-dd",IF(F50="select_one","stored-choice-name",IF(F50="sha256","odk-lexical-utf8-sha256","odk-canonical-scalar"))))</f>
        <v/>
      </c>
      <c r="H50">
        <f>IF(E50&lt;&gt;"INCLUDE","","{"&amp;CHAR(34)&amp;"path"&amp;CHAR(34)&amp;":"&amp;CHAR(34)&amp;B50&amp;CHAR(34)&amp;","&amp;CHAR(34)&amp;"type"&amp;CHAR(34)&amp;":"&amp;CHAR(34)&amp;F50&amp;CHAR(34)&amp;","&amp;CHAR(34)&amp;"xlsform_type"&amp;CHAR(34)&amp;":"&amp;CHAR(34)&amp;C50&amp;CHAR(34)&amp;","&amp;CHAR(34)&amp;"commitment"&amp;CHAR(34)&amp;":"&amp;CHAR(34)&amp;IF(F50="sha256","text-utf8-sha256","value")&amp;CHAR(34)&amp;","&amp;CHAR(34)&amp;"transform"&amp;CHAR(34)&amp;":"&amp;CHAR(34)&amp;G50&amp;CHAR(34)&amp;"}")</f>
        <v/>
      </c>
      <c r="I50">
        <f>IF(E50&lt;&gt;"INCLUDE","","'|"&amp;B50&amp;"=', "&amp;IF(F50="date","if(string-length(string(${"&amp;B50&amp;"})) &gt; 0, format-date(${"&amp;B50&amp;"}, '%Y-%m-%d'), '')",IF(F50="sha256","digest(string(${"&amp;B50&amp;"}), 'SHA-256', 'hex')","string(${"&amp;B50&amp;"})")))</f>
        <v/>
      </c>
      <c r="J50">
        <f>IF(E50="INCLUDE","Included by explicit yes","Not included")</f>
        <v/>
      </c>
      <c r="K50">
        <f>K49&amp;IF(H50="","",","&amp;H50)</f>
        <v/>
      </c>
      <c r="L50">
        <f>L49&amp;IF(I50="","",","&amp;I50)</f>
        <v/>
      </c>
    </row>
    <row r="51">
      <c r="A51" t="n">
        <v>68</v>
      </c>
      <c r="B51">
        <f>survey!B68</f>
        <v/>
      </c>
      <c r="C51">
        <f>survey!A68</f>
        <v/>
      </c>
      <c r="D51" t="inlineStr"/>
      <c r="E51">
        <f>IF(OR(B51="",C51=""),"",IF(LOWER(D51)="yes","INCLUDE","EXCLUDE"))</f>
        <v/>
      </c>
      <c r="F51">
        <f>IF(E51&lt;&gt;"INCLUDE","",IF(LEFT(LOWER(C51),10)="select_one ","select_one",IF(LOWER(C51)="date","date",IF(OR(LOWER(C51)="integer",LOWER(C51)="decimal",LOWER(C51)="range"),LOWER(C51),"sha256"))))</f>
        <v/>
      </c>
      <c r="G51">
        <f>IF(E51&lt;&gt;"INCLUDE","",IF(F51="date","yyyy-mm-dd",IF(F51="select_one","stored-choice-name",IF(F51="sha256","odk-lexical-utf8-sha256","odk-canonical-scalar"))))</f>
        <v/>
      </c>
      <c r="H51">
        <f>IF(E51&lt;&gt;"INCLUDE","","{"&amp;CHAR(34)&amp;"path"&amp;CHAR(34)&amp;":"&amp;CHAR(34)&amp;B51&amp;CHAR(34)&amp;","&amp;CHAR(34)&amp;"type"&amp;CHAR(34)&amp;":"&amp;CHAR(34)&amp;F51&amp;CHAR(34)&amp;","&amp;CHAR(34)&amp;"xlsform_type"&amp;CHAR(34)&amp;":"&amp;CHAR(34)&amp;C51&amp;CHAR(34)&amp;","&amp;CHAR(34)&amp;"commitment"&amp;CHAR(34)&amp;":"&amp;CHAR(34)&amp;IF(F51="sha256","text-utf8-sha256","value")&amp;CHAR(34)&amp;","&amp;CHAR(34)&amp;"transform"&amp;CHAR(34)&amp;":"&amp;CHAR(34)&amp;G51&amp;CHAR(34)&amp;"}")</f>
        <v/>
      </c>
      <c r="I51">
        <f>IF(E51&lt;&gt;"INCLUDE","","'|"&amp;B51&amp;"=', "&amp;IF(F51="date","if(string-length(string(${"&amp;B51&amp;"})) &gt; 0, format-date(${"&amp;B51&amp;"}, '%Y-%m-%d'), '')",IF(F51="sha256","digest(string(${"&amp;B51&amp;"}), 'SHA-256', 'hex')","string(${"&amp;B51&amp;"})")))</f>
        <v/>
      </c>
      <c r="J51">
        <f>IF(E51="INCLUDE","Included by explicit yes","Not included")</f>
        <v/>
      </c>
      <c r="K51">
        <f>K50&amp;IF(H51="","",","&amp;H51)</f>
        <v/>
      </c>
      <c r="L51">
        <f>L50&amp;IF(I51="","",","&amp;I51)</f>
        <v/>
      </c>
    </row>
    <row r="52">
      <c r="A52" t="n">
        <v>69</v>
      </c>
      <c r="B52">
        <f>survey!B69</f>
        <v/>
      </c>
      <c r="C52">
        <f>survey!A69</f>
        <v/>
      </c>
      <c r="D52" t="inlineStr"/>
      <c r="E52">
        <f>IF(OR(B52="",C52=""),"",IF(LOWER(D52)="yes","INCLUDE","EXCLUDE"))</f>
        <v/>
      </c>
      <c r="F52">
        <f>IF(E52&lt;&gt;"INCLUDE","",IF(LEFT(LOWER(C52),10)="select_one ","select_one",IF(LOWER(C52)="date","date",IF(OR(LOWER(C52)="integer",LOWER(C52)="decimal",LOWER(C52)="range"),LOWER(C52),"sha256"))))</f>
        <v/>
      </c>
      <c r="G52">
        <f>IF(E52&lt;&gt;"INCLUDE","",IF(F52="date","yyyy-mm-dd",IF(F52="select_one","stored-choice-name",IF(F52="sha256","odk-lexical-utf8-sha256","odk-canonical-scalar"))))</f>
        <v/>
      </c>
      <c r="H52">
        <f>IF(E52&lt;&gt;"INCLUDE","","{"&amp;CHAR(34)&amp;"path"&amp;CHAR(34)&amp;":"&amp;CHAR(34)&amp;B52&amp;CHAR(34)&amp;","&amp;CHAR(34)&amp;"type"&amp;CHAR(34)&amp;":"&amp;CHAR(34)&amp;F52&amp;CHAR(34)&amp;","&amp;CHAR(34)&amp;"xlsform_type"&amp;CHAR(34)&amp;":"&amp;CHAR(34)&amp;C52&amp;CHAR(34)&amp;","&amp;CHAR(34)&amp;"commitment"&amp;CHAR(34)&amp;":"&amp;CHAR(34)&amp;IF(F52="sha256","text-utf8-sha256","value")&amp;CHAR(34)&amp;","&amp;CHAR(34)&amp;"transform"&amp;CHAR(34)&amp;":"&amp;CHAR(34)&amp;G52&amp;CHAR(34)&amp;"}")</f>
        <v/>
      </c>
      <c r="I52">
        <f>IF(E52&lt;&gt;"INCLUDE","","'|"&amp;B52&amp;"=', "&amp;IF(F52="date","if(string-length(string(${"&amp;B52&amp;"})) &gt; 0, format-date(${"&amp;B52&amp;"}, '%Y-%m-%d'), '')",IF(F52="sha256","digest(string(${"&amp;B52&amp;"}), 'SHA-256', 'hex')","string(${"&amp;B52&amp;"})")))</f>
        <v/>
      </c>
      <c r="J52">
        <f>IF(E52="INCLUDE","Included by explicit yes","Not included")</f>
        <v/>
      </c>
      <c r="K52">
        <f>K51&amp;IF(H52="","",","&amp;H52)</f>
        <v/>
      </c>
      <c r="L52">
        <f>L51&amp;IF(I52="","",","&amp;I52)</f>
        <v/>
      </c>
    </row>
    <row r="53">
      <c r="A53" t="n">
        <v>70</v>
      </c>
      <c r="B53">
        <f>survey!B70</f>
        <v/>
      </c>
      <c r="C53">
        <f>survey!A70</f>
        <v/>
      </c>
      <c r="D53" t="inlineStr"/>
      <c r="E53">
        <f>IF(OR(B53="",C53=""),"",IF(LOWER(D53)="yes","INCLUDE","EXCLUDE"))</f>
        <v/>
      </c>
      <c r="F53">
        <f>IF(E53&lt;&gt;"INCLUDE","",IF(LEFT(LOWER(C53),10)="select_one ","select_one",IF(LOWER(C53)="date","date",IF(OR(LOWER(C53)="integer",LOWER(C53)="decimal",LOWER(C53)="range"),LOWER(C53),"sha256"))))</f>
        <v/>
      </c>
      <c r="G53">
        <f>IF(E53&lt;&gt;"INCLUDE","",IF(F53="date","yyyy-mm-dd",IF(F53="select_one","stored-choice-name",IF(F53="sha256","odk-lexical-utf8-sha256","odk-canonical-scalar"))))</f>
        <v/>
      </c>
      <c r="H53">
        <f>IF(E53&lt;&gt;"INCLUDE","","{"&amp;CHAR(34)&amp;"path"&amp;CHAR(34)&amp;":"&amp;CHAR(34)&amp;B53&amp;CHAR(34)&amp;","&amp;CHAR(34)&amp;"type"&amp;CHAR(34)&amp;":"&amp;CHAR(34)&amp;F53&amp;CHAR(34)&amp;","&amp;CHAR(34)&amp;"xlsform_type"&amp;CHAR(34)&amp;":"&amp;CHAR(34)&amp;C53&amp;CHAR(34)&amp;","&amp;CHAR(34)&amp;"commitment"&amp;CHAR(34)&amp;":"&amp;CHAR(34)&amp;IF(F53="sha256","text-utf8-sha256","value")&amp;CHAR(34)&amp;","&amp;CHAR(34)&amp;"transform"&amp;CHAR(34)&amp;":"&amp;CHAR(34)&amp;G53&amp;CHAR(34)&amp;"}")</f>
        <v/>
      </c>
      <c r="I53">
        <f>IF(E53&lt;&gt;"INCLUDE","","'|"&amp;B53&amp;"=', "&amp;IF(F53="date","if(string-length(string(${"&amp;B53&amp;"})) &gt; 0, format-date(${"&amp;B53&amp;"}, '%Y-%m-%d'), '')",IF(F53="sha256","digest(string(${"&amp;B53&amp;"}), 'SHA-256', 'hex')","string(${"&amp;B53&amp;"})")))</f>
        <v/>
      </c>
      <c r="J53">
        <f>IF(E53="INCLUDE","Included by explicit yes","Not included")</f>
        <v/>
      </c>
      <c r="K53">
        <f>K52&amp;IF(H53="","",","&amp;H53)</f>
        <v/>
      </c>
      <c r="L53">
        <f>L52&amp;IF(I53="","",","&amp;I53)</f>
        <v/>
      </c>
    </row>
    <row r="54">
      <c r="A54" t="n">
        <v>71</v>
      </c>
      <c r="B54">
        <f>survey!B71</f>
        <v/>
      </c>
      <c r="C54">
        <f>survey!A71</f>
        <v/>
      </c>
      <c r="D54" t="inlineStr"/>
      <c r="E54">
        <f>IF(OR(B54="",C54=""),"",IF(LOWER(D54)="yes","INCLUDE","EXCLUDE"))</f>
        <v/>
      </c>
      <c r="F54">
        <f>IF(E54&lt;&gt;"INCLUDE","",IF(LEFT(LOWER(C54),10)="select_one ","select_one",IF(LOWER(C54)="date","date",IF(OR(LOWER(C54)="integer",LOWER(C54)="decimal",LOWER(C54)="range"),LOWER(C54),"sha256"))))</f>
        <v/>
      </c>
      <c r="G54">
        <f>IF(E54&lt;&gt;"INCLUDE","",IF(F54="date","yyyy-mm-dd",IF(F54="select_one","stored-choice-name",IF(F54="sha256","odk-lexical-utf8-sha256","odk-canonical-scalar"))))</f>
        <v/>
      </c>
      <c r="H54">
        <f>IF(E54&lt;&gt;"INCLUDE","","{"&amp;CHAR(34)&amp;"path"&amp;CHAR(34)&amp;":"&amp;CHAR(34)&amp;B54&amp;CHAR(34)&amp;","&amp;CHAR(34)&amp;"type"&amp;CHAR(34)&amp;":"&amp;CHAR(34)&amp;F54&amp;CHAR(34)&amp;","&amp;CHAR(34)&amp;"xlsform_type"&amp;CHAR(34)&amp;":"&amp;CHAR(34)&amp;C54&amp;CHAR(34)&amp;","&amp;CHAR(34)&amp;"commitment"&amp;CHAR(34)&amp;":"&amp;CHAR(34)&amp;IF(F54="sha256","text-utf8-sha256","value")&amp;CHAR(34)&amp;","&amp;CHAR(34)&amp;"transform"&amp;CHAR(34)&amp;":"&amp;CHAR(34)&amp;G54&amp;CHAR(34)&amp;"}")</f>
        <v/>
      </c>
      <c r="I54">
        <f>IF(E54&lt;&gt;"INCLUDE","","'|"&amp;B54&amp;"=', "&amp;IF(F54="date","if(string-length(string(${"&amp;B54&amp;"})) &gt; 0, format-date(${"&amp;B54&amp;"}, '%Y-%m-%d'), '')",IF(F54="sha256","digest(string(${"&amp;B54&amp;"}), 'SHA-256', 'hex')","string(${"&amp;B54&amp;"})")))</f>
        <v/>
      </c>
      <c r="J54">
        <f>IF(E54="INCLUDE","Included by explicit yes","Not included")</f>
        <v/>
      </c>
      <c r="K54">
        <f>K53&amp;IF(H54="","",","&amp;H54)</f>
        <v/>
      </c>
      <c r="L54">
        <f>L53&amp;IF(I54="","",","&amp;I54)</f>
        <v/>
      </c>
    </row>
    <row r="55">
      <c r="A55" t="n">
        <v>72</v>
      </c>
      <c r="B55">
        <f>survey!B72</f>
        <v/>
      </c>
      <c r="C55">
        <f>survey!A72</f>
        <v/>
      </c>
      <c r="D55" t="inlineStr"/>
      <c r="E55">
        <f>IF(OR(B55="",C55=""),"",IF(LOWER(D55)="yes","INCLUDE","EXCLUDE"))</f>
        <v/>
      </c>
      <c r="F55">
        <f>IF(E55&lt;&gt;"INCLUDE","",IF(LEFT(LOWER(C55),10)="select_one ","select_one",IF(LOWER(C55)="date","date",IF(OR(LOWER(C55)="integer",LOWER(C55)="decimal",LOWER(C55)="range"),LOWER(C55),"sha256"))))</f>
        <v/>
      </c>
      <c r="G55">
        <f>IF(E55&lt;&gt;"INCLUDE","",IF(F55="date","yyyy-mm-dd",IF(F55="select_one","stored-choice-name",IF(F55="sha256","odk-lexical-utf8-sha256","odk-canonical-scalar"))))</f>
        <v/>
      </c>
      <c r="H55">
        <f>IF(E55&lt;&gt;"INCLUDE","","{"&amp;CHAR(34)&amp;"path"&amp;CHAR(34)&amp;":"&amp;CHAR(34)&amp;B55&amp;CHAR(34)&amp;","&amp;CHAR(34)&amp;"type"&amp;CHAR(34)&amp;":"&amp;CHAR(34)&amp;F55&amp;CHAR(34)&amp;","&amp;CHAR(34)&amp;"xlsform_type"&amp;CHAR(34)&amp;":"&amp;CHAR(34)&amp;C55&amp;CHAR(34)&amp;","&amp;CHAR(34)&amp;"commitment"&amp;CHAR(34)&amp;":"&amp;CHAR(34)&amp;IF(F55="sha256","text-utf8-sha256","value")&amp;CHAR(34)&amp;","&amp;CHAR(34)&amp;"transform"&amp;CHAR(34)&amp;":"&amp;CHAR(34)&amp;G55&amp;CHAR(34)&amp;"}")</f>
        <v/>
      </c>
      <c r="I55">
        <f>IF(E55&lt;&gt;"INCLUDE","","'|"&amp;B55&amp;"=', "&amp;IF(F55="date","if(string-length(string(${"&amp;B55&amp;"})) &gt; 0, format-date(${"&amp;B55&amp;"}, '%Y-%m-%d'), '')",IF(F55="sha256","digest(string(${"&amp;B55&amp;"}), 'SHA-256', 'hex')","string(${"&amp;B55&amp;"})")))</f>
        <v/>
      </c>
      <c r="J55">
        <f>IF(E55="INCLUDE","Included by explicit yes","Not included")</f>
        <v/>
      </c>
      <c r="K55">
        <f>K54&amp;IF(H55="","",","&amp;H55)</f>
        <v/>
      </c>
      <c r="L55">
        <f>L54&amp;IF(I55="","",","&amp;I55)</f>
        <v/>
      </c>
    </row>
    <row r="56">
      <c r="A56" t="n">
        <v>73</v>
      </c>
      <c r="B56">
        <f>survey!B73</f>
        <v/>
      </c>
      <c r="C56">
        <f>survey!A73</f>
        <v/>
      </c>
      <c r="D56" t="inlineStr"/>
      <c r="E56">
        <f>IF(OR(B56="",C56=""),"",IF(LOWER(D56)="yes","INCLUDE","EXCLUDE"))</f>
        <v/>
      </c>
      <c r="F56">
        <f>IF(E56&lt;&gt;"INCLUDE","",IF(LEFT(LOWER(C56),10)="select_one ","select_one",IF(LOWER(C56)="date","date",IF(OR(LOWER(C56)="integer",LOWER(C56)="decimal",LOWER(C56)="range"),LOWER(C56),"sha256"))))</f>
        <v/>
      </c>
      <c r="G56">
        <f>IF(E56&lt;&gt;"INCLUDE","",IF(F56="date","yyyy-mm-dd",IF(F56="select_one","stored-choice-name",IF(F56="sha256","odk-lexical-utf8-sha256","odk-canonical-scalar"))))</f>
        <v/>
      </c>
      <c r="H56">
        <f>IF(E56&lt;&gt;"INCLUDE","","{"&amp;CHAR(34)&amp;"path"&amp;CHAR(34)&amp;":"&amp;CHAR(34)&amp;B56&amp;CHAR(34)&amp;","&amp;CHAR(34)&amp;"type"&amp;CHAR(34)&amp;":"&amp;CHAR(34)&amp;F56&amp;CHAR(34)&amp;","&amp;CHAR(34)&amp;"xlsform_type"&amp;CHAR(34)&amp;":"&amp;CHAR(34)&amp;C56&amp;CHAR(34)&amp;","&amp;CHAR(34)&amp;"commitment"&amp;CHAR(34)&amp;":"&amp;CHAR(34)&amp;IF(F56="sha256","text-utf8-sha256","value")&amp;CHAR(34)&amp;","&amp;CHAR(34)&amp;"transform"&amp;CHAR(34)&amp;":"&amp;CHAR(34)&amp;G56&amp;CHAR(34)&amp;"}")</f>
        <v/>
      </c>
      <c r="I56">
        <f>IF(E56&lt;&gt;"INCLUDE","","'|"&amp;B56&amp;"=', "&amp;IF(F56="date","if(string-length(string(${"&amp;B56&amp;"})) &gt; 0, format-date(${"&amp;B56&amp;"}, '%Y-%m-%d'), '')",IF(F56="sha256","digest(string(${"&amp;B56&amp;"}), 'SHA-256', 'hex')","string(${"&amp;B56&amp;"})")))</f>
        <v/>
      </c>
      <c r="J56">
        <f>IF(E56="INCLUDE","Included by explicit yes","Not included")</f>
        <v/>
      </c>
      <c r="K56">
        <f>K55&amp;IF(H56="","",","&amp;H56)</f>
        <v/>
      </c>
      <c r="L56">
        <f>L55&amp;IF(I56="","",","&amp;I56)</f>
        <v/>
      </c>
    </row>
    <row r="57">
      <c r="A57" t="n">
        <v>74</v>
      </c>
      <c r="B57">
        <f>survey!B74</f>
        <v/>
      </c>
      <c r="C57">
        <f>survey!A74</f>
        <v/>
      </c>
      <c r="D57" t="inlineStr"/>
      <c r="E57">
        <f>IF(OR(B57="",C57=""),"",IF(LOWER(D57)="yes","INCLUDE","EXCLUDE"))</f>
        <v/>
      </c>
      <c r="F57">
        <f>IF(E57&lt;&gt;"INCLUDE","",IF(LEFT(LOWER(C57),10)="select_one ","select_one",IF(LOWER(C57)="date","date",IF(OR(LOWER(C57)="integer",LOWER(C57)="decimal",LOWER(C57)="range"),LOWER(C57),"sha256"))))</f>
        <v/>
      </c>
      <c r="G57">
        <f>IF(E57&lt;&gt;"INCLUDE","",IF(F57="date","yyyy-mm-dd",IF(F57="select_one","stored-choice-name",IF(F57="sha256","odk-lexical-utf8-sha256","odk-canonical-scalar"))))</f>
        <v/>
      </c>
      <c r="H57">
        <f>IF(E57&lt;&gt;"INCLUDE","","{"&amp;CHAR(34)&amp;"path"&amp;CHAR(34)&amp;":"&amp;CHAR(34)&amp;B57&amp;CHAR(34)&amp;","&amp;CHAR(34)&amp;"type"&amp;CHAR(34)&amp;":"&amp;CHAR(34)&amp;F57&amp;CHAR(34)&amp;","&amp;CHAR(34)&amp;"xlsform_type"&amp;CHAR(34)&amp;":"&amp;CHAR(34)&amp;C57&amp;CHAR(34)&amp;","&amp;CHAR(34)&amp;"commitment"&amp;CHAR(34)&amp;":"&amp;CHAR(34)&amp;IF(F57="sha256","text-utf8-sha256","value")&amp;CHAR(34)&amp;","&amp;CHAR(34)&amp;"transform"&amp;CHAR(34)&amp;":"&amp;CHAR(34)&amp;G57&amp;CHAR(34)&amp;"}")</f>
        <v/>
      </c>
      <c r="I57">
        <f>IF(E57&lt;&gt;"INCLUDE","","'|"&amp;B57&amp;"=', "&amp;IF(F57="date","if(string-length(string(${"&amp;B57&amp;"})) &gt; 0, format-date(${"&amp;B57&amp;"}, '%Y-%m-%d'), '')",IF(F57="sha256","digest(string(${"&amp;B57&amp;"}), 'SHA-256', 'hex')","string(${"&amp;B57&amp;"})")))</f>
        <v/>
      </c>
      <c r="J57">
        <f>IF(E57="INCLUDE","Included by explicit yes","Not included")</f>
        <v/>
      </c>
      <c r="K57">
        <f>K56&amp;IF(H57="","",","&amp;H57)</f>
        <v/>
      </c>
      <c r="L57">
        <f>L56&amp;IF(I57="","",","&amp;I57)</f>
        <v/>
      </c>
    </row>
    <row r="58">
      <c r="A58" t="n">
        <v>75</v>
      </c>
      <c r="B58">
        <f>survey!B75</f>
        <v/>
      </c>
      <c r="C58">
        <f>survey!A75</f>
        <v/>
      </c>
      <c r="D58" t="inlineStr"/>
      <c r="E58">
        <f>IF(OR(B58="",C58=""),"",IF(LOWER(D58)="yes","INCLUDE","EXCLUDE"))</f>
        <v/>
      </c>
      <c r="F58">
        <f>IF(E58&lt;&gt;"INCLUDE","",IF(LEFT(LOWER(C58),10)="select_one ","select_one",IF(LOWER(C58)="date","date",IF(OR(LOWER(C58)="integer",LOWER(C58)="decimal",LOWER(C58)="range"),LOWER(C58),"sha256"))))</f>
        <v/>
      </c>
      <c r="G58">
        <f>IF(E58&lt;&gt;"INCLUDE","",IF(F58="date","yyyy-mm-dd",IF(F58="select_one","stored-choice-name",IF(F58="sha256","odk-lexical-utf8-sha256","odk-canonical-scalar"))))</f>
        <v/>
      </c>
      <c r="H58">
        <f>IF(E58&lt;&gt;"INCLUDE","","{"&amp;CHAR(34)&amp;"path"&amp;CHAR(34)&amp;":"&amp;CHAR(34)&amp;B58&amp;CHAR(34)&amp;","&amp;CHAR(34)&amp;"type"&amp;CHAR(34)&amp;":"&amp;CHAR(34)&amp;F58&amp;CHAR(34)&amp;","&amp;CHAR(34)&amp;"xlsform_type"&amp;CHAR(34)&amp;":"&amp;CHAR(34)&amp;C58&amp;CHAR(34)&amp;","&amp;CHAR(34)&amp;"commitment"&amp;CHAR(34)&amp;":"&amp;CHAR(34)&amp;IF(F58="sha256","text-utf8-sha256","value")&amp;CHAR(34)&amp;","&amp;CHAR(34)&amp;"transform"&amp;CHAR(34)&amp;":"&amp;CHAR(34)&amp;G58&amp;CHAR(34)&amp;"}")</f>
        <v/>
      </c>
      <c r="I58">
        <f>IF(E58&lt;&gt;"INCLUDE","","'|"&amp;B58&amp;"=', "&amp;IF(F58="date","if(string-length(string(${"&amp;B58&amp;"})) &gt; 0, format-date(${"&amp;B58&amp;"}, '%Y-%m-%d'), '')",IF(F58="sha256","digest(string(${"&amp;B58&amp;"}), 'SHA-256', 'hex')","string(${"&amp;B58&amp;"})")))</f>
        <v/>
      </c>
      <c r="J58">
        <f>IF(E58="INCLUDE","Included by explicit yes","Not included")</f>
        <v/>
      </c>
      <c r="K58">
        <f>K57&amp;IF(H58="","",","&amp;H58)</f>
        <v/>
      </c>
      <c r="L58">
        <f>L57&amp;IF(I58="","",","&amp;I58)</f>
        <v/>
      </c>
    </row>
    <row r="59">
      <c r="A59" t="n">
        <v>76</v>
      </c>
      <c r="B59">
        <f>survey!B76</f>
        <v/>
      </c>
      <c r="C59">
        <f>survey!A76</f>
        <v/>
      </c>
      <c r="D59" t="inlineStr"/>
      <c r="E59">
        <f>IF(OR(B59="",C59=""),"",IF(LOWER(D59)="yes","INCLUDE","EXCLUDE"))</f>
        <v/>
      </c>
      <c r="F59">
        <f>IF(E59&lt;&gt;"INCLUDE","",IF(LEFT(LOWER(C59),10)="select_one ","select_one",IF(LOWER(C59)="date","date",IF(OR(LOWER(C59)="integer",LOWER(C59)="decimal",LOWER(C59)="range"),LOWER(C59),"sha256"))))</f>
        <v/>
      </c>
      <c r="G59">
        <f>IF(E59&lt;&gt;"INCLUDE","",IF(F59="date","yyyy-mm-dd",IF(F59="select_one","stored-choice-name",IF(F59="sha256","odk-lexical-utf8-sha256","odk-canonical-scalar"))))</f>
        <v/>
      </c>
      <c r="H59">
        <f>IF(E59&lt;&gt;"INCLUDE","","{"&amp;CHAR(34)&amp;"path"&amp;CHAR(34)&amp;":"&amp;CHAR(34)&amp;B59&amp;CHAR(34)&amp;","&amp;CHAR(34)&amp;"type"&amp;CHAR(34)&amp;":"&amp;CHAR(34)&amp;F59&amp;CHAR(34)&amp;","&amp;CHAR(34)&amp;"xlsform_type"&amp;CHAR(34)&amp;":"&amp;CHAR(34)&amp;C59&amp;CHAR(34)&amp;","&amp;CHAR(34)&amp;"commitment"&amp;CHAR(34)&amp;":"&amp;CHAR(34)&amp;IF(F59="sha256","text-utf8-sha256","value")&amp;CHAR(34)&amp;","&amp;CHAR(34)&amp;"transform"&amp;CHAR(34)&amp;":"&amp;CHAR(34)&amp;G59&amp;CHAR(34)&amp;"}")</f>
        <v/>
      </c>
      <c r="I59">
        <f>IF(E59&lt;&gt;"INCLUDE","","'|"&amp;B59&amp;"=', "&amp;IF(F59="date","if(string-length(string(${"&amp;B59&amp;"})) &gt; 0, format-date(${"&amp;B59&amp;"}, '%Y-%m-%d'), '')",IF(F59="sha256","digest(string(${"&amp;B59&amp;"}), 'SHA-256', 'hex')","string(${"&amp;B59&amp;"})")))</f>
        <v/>
      </c>
      <c r="J59">
        <f>IF(E59="INCLUDE","Included by explicit yes","Not included")</f>
        <v/>
      </c>
      <c r="K59">
        <f>K58&amp;IF(H59="","",","&amp;H59)</f>
        <v/>
      </c>
      <c r="L59">
        <f>L58&amp;IF(I59="","",","&amp;I59)</f>
        <v/>
      </c>
    </row>
    <row r="60">
      <c r="A60" t="n">
        <v>77</v>
      </c>
      <c r="B60">
        <f>survey!B77</f>
        <v/>
      </c>
      <c r="C60">
        <f>survey!A77</f>
        <v/>
      </c>
      <c r="D60" t="inlineStr"/>
      <c r="E60">
        <f>IF(OR(B60="",C60=""),"",IF(LOWER(D60)="yes","INCLUDE","EXCLUDE"))</f>
        <v/>
      </c>
      <c r="F60">
        <f>IF(E60&lt;&gt;"INCLUDE","",IF(LEFT(LOWER(C60),10)="select_one ","select_one",IF(LOWER(C60)="date","date",IF(OR(LOWER(C60)="integer",LOWER(C60)="decimal",LOWER(C60)="range"),LOWER(C60),"sha256"))))</f>
        <v/>
      </c>
      <c r="G60">
        <f>IF(E60&lt;&gt;"INCLUDE","",IF(F60="date","yyyy-mm-dd",IF(F60="select_one","stored-choice-name",IF(F60="sha256","odk-lexical-utf8-sha256","odk-canonical-scalar"))))</f>
        <v/>
      </c>
      <c r="H60">
        <f>IF(E60&lt;&gt;"INCLUDE","","{"&amp;CHAR(34)&amp;"path"&amp;CHAR(34)&amp;":"&amp;CHAR(34)&amp;B60&amp;CHAR(34)&amp;","&amp;CHAR(34)&amp;"type"&amp;CHAR(34)&amp;":"&amp;CHAR(34)&amp;F60&amp;CHAR(34)&amp;","&amp;CHAR(34)&amp;"xlsform_type"&amp;CHAR(34)&amp;":"&amp;CHAR(34)&amp;C60&amp;CHAR(34)&amp;","&amp;CHAR(34)&amp;"commitment"&amp;CHAR(34)&amp;":"&amp;CHAR(34)&amp;IF(F60="sha256","text-utf8-sha256","value")&amp;CHAR(34)&amp;","&amp;CHAR(34)&amp;"transform"&amp;CHAR(34)&amp;":"&amp;CHAR(34)&amp;G60&amp;CHAR(34)&amp;"}")</f>
        <v/>
      </c>
      <c r="I60">
        <f>IF(E60&lt;&gt;"INCLUDE","","'|"&amp;B60&amp;"=', "&amp;IF(F60="date","if(string-length(string(${"&amp;B60&amp;"})) &gt; 0, format-date(${"&amp;B60&amp;"}, '%Y-%m-%d'), '')",IF(F60="sha256","digest(string(${"&amp;B60&amp;"}), 'SHA-256', 'hex')","string(${"&amp;B60&amp;"})")))</f>
        <v/>
      </c>
      <c r="J60">
        <f>IF(E60="INCLUDE","Included by explicit yes","Not included")</f>
        <v/>
      </c>
      <c r="K60">
        <f>K59&amp;IF(H60="","",","&amp;H60)</f>
        <v/>
      </c>
      <c r="L60">
        <f>L59&amp;IF(I60="","",","&amp;I60)</f>
        <v/>
      </c>
    </row>
    <row r="61">
      <c r="A61" t="n">
        <v>78</v>
      </c>
      <c r="B61">
        <f>survey!B78</f>
        <v/>
      </c>
      <c r="C61">
        <f>survey!A78</f>
        <v/>
      </c>
      <c r="D61" t="inlineStr"/>
      <c r="E61">
        <f>IF(OR(B61="",C61=""),"",IF(LOWER(D61)="yes","INCLUDE","EXCLUDE"))</f>
        <v/>
      </c>
      <c r="F61">
        <f>IF(E61&lt;&gt;"INCLUDE","",IF(LEFT(LOWER(C61),10)="select_one ","select_one",IF(LOWER(C61)="date","date",IF(OR(LOWER(C61)="integer",LOWER(C61)="decimal",LOWER(C61)="range"),LOWER(C61),"sha256"))))</f>
        <v/>
      </c>
      <c r="G61">
        <f>IF(E61&lt;&gt;"INCLUDE","",IF(F61="date","yyyy-mm-dd",IF(F61="select_one","stored-choice-name",IF(F61="sha256","odk-lexical-utf8-sha256","odk-canonical-scalar"))))</f>
        <v/>
      </c>
      <c r="H61">
        <f>IF(E61&lt;&gt;"INCLUDE","","{"&amp;CHAR(34)&amp;"path"&amp;CHAR(34)&amp;":"&amp;CHAR(34)&amp;B61&amp;CHAR(34)&amp;","&amp;CHAR(34)&amp;"type"&amp;CHAR(34)&amp;":"&amp;CHAR(34)&amp;F61&amp;CHAR(34)&amp;","&amp;CHAR(34)&amp;"xlsform_type"&amp;CHAR(34)&amp;":"&amp;CHAR(34)&amp;C61&amp;CHAR(34)&amp;","&amp;CHAR(34)&amp;"commitment"&amp;CHAR(34)&amp;":"&amp;CHAR(34)&amp;IF(F61="sha256","text-utf8-sha256","value")&amp;CHAR(34)&amp;","&amp;CHAR(34)&amp;"transform"&amp;CHAR(34)&amp;":"&amp;CHAR(34)&amp;G61&amp;CHAR(34)&amp;"}")</f>
        <v/>
      </c>
      <c r="I61">
        <f>IF(E61&lt;&gt;"INCLUDE","","'|"&amp;B61&amp;"=', "&amp;IF(F61="date","if(string-length(string(${"&amp;B61&amp;"})) &gt; 0, format-date(${"&amp;B61&amp;"}, '%Y-%m-%d'), '')",IF(F61="sha256","digest(string(${"&amp;B61&amp;"}), 'SHA-256', 'hex')","string(${"&amp;B61&amp;"})")))</f>
        <v/>
      </c>
      <c r="J61">
        <f>IF(E61="INCLUDE","Included by explicit yes","Not included")</f>
        <v/>
      </c>
      <c r="K61">
        <f>K60&amp;IF(H61="","",","&amp;H61)</f>
        <v/>
      </c>
      <c r="L61">
        <f>L60&amp;IF(I61="","",","&amp;I61)</f>
        <v/>
      </c>
    </row>
    <row r="62">
      <c r="A62" t="n">
        <v>79</v>
      </c>
      <c r="B62">
        <f>survey!B79</f>
        <v/>
      </c>
      <c r="C62">
        <f>survey!A79</f>
        <v/>
      </c>
      <c r="D62" t="inlineStr"/>
      <c r="E62">
        <f>IF(OR(B62="",C62=""),"",IF(LOWER(D62)="yes","INCLUDE","EXCLUDE"))</f>
        <v/>
      </c>
      <c r="F62">
        <f>IF(E62&lt;&gt;"INCLUDE","",IF(LEFT(LOWER(C62),10)="select_one ","select_one",IF(LOWER(C62)="date","date",IF(OR(LOWER(C62)="integer",LOWER(C62)="decimal",LOWER(C62)="range"),LOWER(C62),"sha256"))))</f>
        <v/>
      </c>
      <c r="G62">
        <f>IF(E62&lt;&gt;"INCLUDE","",IF(F62="date","yyyy-mm-dd",IF(F62="select_one","stored-choice-name",IF(F62="sha256","odk-lexical-utf8-sha256","odk-canonical-scalar"))))</f>
        <v/>
      </c>
      <c r="H62">
        <f>IF(E62&lt;&gt;"INCLUDE","","{"&amp;CHAR(34)&amp;"path"&amp;CHAR(34)&amp;":"&amp;CHAR(34)&amp;B62&amp;CHAR(34)&amp;","&amp;CHAR(34)&amp;"type"&amp;CHAR(34)&amp;":"&amp;CHAR(34)&amp;F62&amp;CHAR(34)&amp;","&amp;CHAR(34)&amp;"xlsform_type"&amp;CHAR(34)&amp;":"&amp;CHAR(34)&amp;C62&amp;CHAR(34)&amp;","&amp;CHAR(34)&amp;"commitment"&amp;CHAR(34)&amp;":"&amp;CHAR(34)&amp;IF(F62="sha256","text-utf8-sha256","value")&amp;CHAR(34)&amp;","&amp;CHAR(34)&amp;"transform"&amp;CHAR(34)&amp;":"&amp;CHAR(34)&amp;G62&amp;CHAR(34)&amp;"}")</f>
        <v/>
      </c>
      <c r="I62">
        <f>IF(E62&lt;&gt;"INCLUDE","","'|"&amp;B62&amp;"=', "&amp;IF(F62="date","if(string-length(string(${"&amp;B62&amp;"})) &gt; 0, format-date(${"&amp;B62&amp;"}, '%Y-%m-%d'), '')",IF(F62="sha256","digest(string(${"&amp;B62&amp;"}), 'SHA-256', 'hex')","string(${"&amp;B62&amp;"})")))</f>
        <v/>
      </c>
      <c r="J62">
        <f>IF(E62="INCLUDE","Included by explicit yes","Not included")</f>
        <v/>
      </c>
      <c r="K62">
        <f>K61&amp;IF(H62="","",","&amp;H62)</f>
        <v/>
      </c>
      <c r="L62">
        <f>L61&amp;IF(I62="","",","&amp;I62)</f>
        <v/>
      </c>
    </row>
    <row r="63">
      <c r="A63" t="n">
        <v>80</v>
      </c>
      <c r="B63">
        <f>survey!B80</f>
        <v/>
      </c>
      <c r="C63">
        <f>survey!A80</f>
        <v/>
      </c>
      <c r="D63" t="inlineStr"/>
      <c r="E63">
        <f>IF(OR(B63="",C63=""),"",IF(LOWER(D63)="yes","INCLUDE","EXCLUDE"))</f>
        <v/>
      </c>
      <c r="F63">
        <f>IF(E63&lt;&gt;"INCLUDE","",IF(LEFT(LOWER(C63),10)="select_one ","select_one",IF(LOWER(C63)="date","date",IF(OR(LOWER(C63)="integer",LOWER(C63)="decimal",LOWER(C63)="range"),LOWER(C63),"sha256"))))</f>
        <v/>
      </c>
      <c r="G63">
        <f>IF(E63&lt;&gt;"INCLUDE","",IF(F63="date","yyyy-mm-dd",IF(F63="select_one","stored-choice-name",IF(F63="sha256","odk-lexical-utf8-sha256","odk-canonical-scalar"))))</f>
        <v/>
      </c>
      <c r="H63">
        <f>IF(E63&lt;&gt;"INCLUDE","","{"&amp;CHAR(34)&amp;"path"&amp;CHAR(34)&amp;":"&amp;CHAR(34)&amp;B63&amp;CHAR(34)&amp;","&amp;CHAR(34)&amp;"type"&amp;CHAR(34)&amp;":"&amp;CHAR(34)&amp;F63&amp;CHAR(34)&amp;","&amp;CHAR(34)&amp;"xlsform_type"&amp;CHAR(34)&amp;":"&amp;CHAR(34)&amp;C63&amp;CHAR(34)&amp;","&amp;CHAR(34)&amp;"commitment"&amp;CHAR(34)&amp;":"&amp;CHAR(34)&amp;IF(F63="sha256","text-utf8-sha256","value")&amp;CHAR(34)&amp;","&amp;CHAR(34)&amp;"transform"&amp;CHAR(34)&amp;":"&amp;CHAR(34)&amp;G63&amp;CHAR(34)&amp;"}")</f>
        <v/>
      </c>
      <c r="I63">
        <f>IF(E63&lt;&gt;"INCLUDE","","'|"&amp;B63&amp;"=', "&amp;IF(F63="date","if(string-length(string(${"&amp;B63&amp;"})) &gt; 0, format-date(${"&amp;B63&amp;"}, '%Y-%m-%d'), '')",IF(F63="sha256","digest(string(${"&amp;B63&amp;"}), 'SHA-256', 'hex')","string(${"&amp;B63&amp;"})")))</f>
        <v/>
      </c>
      <c r="J63">
        <f>IF(E63="INCLUDE","Included by explicit yes","Not included")</f>
        <v/>
      </c>
      <c r="K63">
        <f>K62&amp;IF(H63="","",","&amp;H63)</f>
        <v/>
      </c>
      <c r="L63">
        <f>L62&amp;IF(I63="","",","&amp;I63)</f>
        <v/>
      </c>
    </row>
    <row r="64">
      <c r="A64" t="n">
        <v>81</v>
      </c>
      <c r="B64">
        <f>survey!B81</f>
        <v/>
      </c>
      <c r="C64">
        <f>survey!A81</f>
        <v/>
      </c>
      <c r="D64" t="inlineStr"/>
      <c r="E64">
        <f>IF(OR(B64="",C64=""),"",IF(LOWER(D64)="yes","INCLUDE","EXCLUDE"))</f>
        <v/>
      </c>
      <c r="F64">
        <f>IF(E64&lt;&gt;"INCLUDE","",IF(LEFT(LOWER(C64),10)="select_one ","select_one",IF(LOWER(C64)="date","date",IF(OR(LOWER(C64)="integer",LOWER(C64)="decimal",LOWER(C64)="range"),LOWER(C64),"sha256"))))</f>
        <v/>
      </c>
      <c r="G64">
        <f>IF(E64&lt;&gt;"INCLUDE","",IF(F64="date","yyyy-mm-dd",IF(F64="select_one","stored-choice-name",IF(F64="sha256","odk-lexical-utf8-sha256","odk-canonical-scalar"))))</f>
        <v/>
      </c>
      <c r="H64">
        <f>IF(E64&lt;&gt;"INCLUDE","","{"&amp;CHAR(34)&amp;"path"&amp;CHAR(34)&amp;":"&amp;CHAR(34)&amp;B64&amp;CHAR(34)&amp;","&amp;CHAR(34)&amp;"type"&amp;CHAR(34)&amp;":"&amp;CHAR(34)&amp;F64&amp;CHAR(34)&amp;","&amp;CHAR(34)&amp;"xlsform_type"&amp;CHAR(34)&amp;":"&amp;CHAR(34)&amp;C64&amp;CHAR(34)&amp;","&amp;CHAR(34)&amp;"commitment"&amp;CHAR(34)&amp;":"&amp;CHAR(34)&amp;IF(F64="sha256","text-utf8-sha256","value")&amp;CHAR(34)&amp;","&amp;CHAR(34)&amp;"transform"&amp;CHAR(34)&amp;":"&amp;CHAR(34)&amp;G64&amp;CHAR(34)&amp;"}")</f>
        <v/>
      </c>
      <c r="I64">
        <f>IF(E64&lt;&gt;"INCLUDE","","'|"&amp;B64&amp;"=', "&amp;IF(F64="date","if(string-length(string(${"&amp;B64&amp;"})) &gt; 0, format-date(${"&amp;B64&amp;"}, '%Y-%m-%d'), '')",IF(F64="sha256","digest(string(${"&amp;B64&amp;"}), 'SHA-256', 'hex')","string(${"&amp;B64&amp;"})")))</f>
        <v/>
      </c>
      <c r="J64">
        <f>IF(E64="INCLUDE","Included by explicit yes","Not included")</f>
        <v/>
      </c>
      <c r="K64">
        <f>K63&amp;IF(H64="","",","&amp;H64)</f>
        <v/>
      </c>
      <c r="L64">
        <f>L63&amp;IF(I64="","",","&amp;I64)</f>
        <v/>
      </c>
    </row>
    <row r="65">
      <c r="A65" t="n">
        <v>82</v>
      </c>
      <c r="B65">
        <f>survey!B82</f>
        <v/>
      </c>
      <c r="C65">
        <f>survey!A82</f>
        <v/>
      </c>
      <c r="D65" t="inlineStr"/>
      <c r="E65">
        <f>IF(OR(B65="",C65=""),"",IF(LOWER(D65)="yes","INCLUDE","EXCLUDE"))</f>
        <v/>
      </c>
      <c r="F65">
        <f>IF(E65&lt;&gt;"INCLUDE","",IF(LEFT(LOWER(C65),10)="select_one ","select_one",IF(LOWER(C65)="date","date",IF(OR(LOWER(C65)="integer",LOWER(C65)="decimal",LOWER(C65)="range"),LOWER(C65),"sha256"))))</f>
        <v/>
      </c>
      <c r="G65">
        <f>IF(E65&lt;&gt;"INCLUDE","",IF(F65="date","yyyy-mm-dd",IF(F65="select_one","stored-choice-name",IF(F65="sha256","odk-lexical-utf8-sha256","odk-canonical-scalar"))))</f>
        <v/>
      </c>
      <c r="H65">
        <f>IF(E65&lt;&gt;"INCLUDE","","{"&amp;CHAR(34)&amp;"path"&amp;CHAR(34)&amp;":"&amp;CHAR(34)&amp;B65&amp;CHAR(34)&amp;","&amp;CHAR(34)&amp;"type"&amp;CHAR(34)&amp;":"&amp;CHAR(34)&amp;F65&amp;CHAR(34)&amp;","&amp;CHAR(34)&amp;"xlsform_type"&amp;CHAR(34)&amp;":"&amp;CHAR(34)&amp;C65&amp;CHAR(34)&amp;","&amp;CHAR(34)&amp;"commitment"&amp;CHAR(34)&amp;":"&amp;CHAR(34)&amp;IF(F65="sha256","text-utf8-sha256","value")&amp;CHAR(34)&amp;","&amp;CHAR(34)&amp;"transform"&amp;CHAR(34)&amp;":"&amp;CHAR(34)&amp;G65&amp;CHAR(34)&amp;"}")</f>
        <v/>
      </c>
      <c r="I65">
        <f>IF(E65&lt;&gt;"INCLUDE","","'|"&amp;B65&amp;"=', "&amp;IF(F65="date","if(string-length(string(${"&amp;B65&amp;"})) &gt; 0, format-date(${"&amp;B65&amp;"}, '%Y-%m-%d'), '')",IF(F65="sha256","digest(string(${"&amp;B65&amp;"}), 'SHA-256', 'hex')","string(${"&amp;B65&amp;"})")))</f>
        <v/>
      </c>
      <c r="J65">
        <f>IF(E65="INCLUDE","Included by explicit yes","Not included")</f>
        <v/>
      </c>
      <c r="K65">
        <f>K64&amp;IF(H65="","",","&amp;H65)</f>
        <v/>
      </c>
      <c r="L65">
        <f>L64&amp;IF(I65="","",","&amp;I65)</f>
        <v/>
      </c>
    </row>
    <row r="66">
      <c r="A66" t="n">
        <v>83</v>
      </c>
      <c r="B66">
        <f>survey!B83</f>
        <v/>
      </c>
      <c r="C66">
        <f>survey!A83</f>
        <v/>
      </c>
      <c r="D66" t="inlineStr"/>
      <c r="E66">
        <f>IF(OR(B66="",C66=""),"",IF(LOWER(D66)="yes","INCLUDE","EXCLUDE"))</f>
        <v/>
      </c>
      <c r="F66">
        <f>IF(E66&lt;&gt;"INCLUDE","",IF(LEFT(LOWER(C66),10)="select_one ","select_one",IF(LOWER(C66)="date","date",IF(OR(LOWER(C66)="integer",LOWER(C66)="decimal",LOWER(C66)="range"),LOWER(C66),"sha256"))))</f>
        <v/>
      </c>
      <c r="G66">
        <f>IF(E66&lt;&gt;"INCLUDE","",IF(F66="date","yyyy-mm-dd",IF(F66="select_one","stored-choice-name",IF(F66="sha256","odk-lexical-utf8-sha256","odk-canonical-scalar"))))</f>
        <v/>
      </c>
      <c r="H66">
        <f>IF(E66&lt;&gt;"INCLUDE","","{"&amp;CHAR(34)&amp;"path"&amp;CHAR(34)&amp;":"&amp;CHAR(34)&amp;B66&amp;CHAR(34)&amp;","&amp;CHAR(34)&amp;"type"&amp;CHAR(34)&amp;":"&amp;CHAR(34)&amp;F66&amp;CHAR(34)&amp;","&amp;CHAR(34)&amp;"xlsform_type"&amp;CHAR(34)&amp;":"&amp;CHAR(34)&amp;C66&amp;CHAR(34)&amp;","&amp;CHAR(34)&amp;"commitment"&amp;CHAR(34)&amp;":"&amp;CHAR(34)&amp;IF(F66="sha256","text-utf8-sha256","value")&amp;CHAR(34)&amp;","&amp;CHAR(34)&amp;"transform"&amp;CHAR(34)&amp;":"&amp;CHAR(34)&amp;G66&amp;CHAR(34)&amp;"}")</f>
        <v/>
      </c>
      <c r="I66">
        <f>IF(E66&lt;&gt;"INCLUDE","","'|"&amp;B66&amp;"=', "&amp;IF(F66="date","if(string-length(string(${"&amp;B66&amp;"})) &gt; 0, format-date(${"&amp;B66&amp;"}, '%Y-%m-%d'), '')",IF(F66="sha256","digest(string(${"&amp;B66&amp;"}), 'SHA-256', 'hex')","string(${"&amp;B66&amp;"})")))</f>
        <v/>
      </c>
      <c r="J66">
        <f>IF(E66="INCLUDE","Included by explicit yes","Not included")</f>
        <v/>
      </c>
      <c r="K66">
        <f>K65&amp;IF(H66="","",","&amp;H66)</f>
        <v/>
      </c>
      <c r="L66">
        <f>L65&amp;IF(I66="","",","&amp;I66)</f>
        <v/>
      </c>
    </row>
    <row r="67">
      <c r="A67" t="n">
        <v>84</v>
      </c>
      <c r="B67">
        <f>survey!B84</f>
        <v/>
      </c>
      <c r="C67">
        <f>survey!A84</f>
        <v/>
      </c>
      <c r="D67" t="inlineStr"/>
      <c r="E67">
        <f>IF(OR(B67="",C67=""),"",IF(LOWER(D67)="yes","INCLUDE","EXCLUDE"))</f>
        <v/>
      </c>
      <c r="F67">
        <f>IF(E67&lt;&gt;"INCLUDE","",IF(LEFT(LOWER(C67),10)="select_one ","select_one",IF(LOWER(C67)="date","date",IF(OR(LOWER(C67)="integer",LOWER(C67)="decimal",LOWER(C67)="range"),LOWER(C67),"sha256"))))</f>
        <v/>
      </c>
      <c r="G67">
        <f>IF(E67&lt;&gt;"INCLUDE","",IF(F67="date","yyyy-mm-dd",IF(F67="select_one","stored-choice-name",IF(F67="sha256","odk-lexical-utf8-sha256","odk-canonical-scalar"))))</f>
        <v/>
      </c>
      <c r="H67">
        <f>IF(E67&lt;&gt;"INCLUDE","","{"&amp;CHAR(34)&amp;"path"&amp;CHAR(34)&amp;":"&amp;CHAR(34)&amp;B67&amp;CHAR(34)&amp;","&amp;CHAR(34)&amp;"type"&amp;CHAR(34)&amp;":"&amp;CHAR(34)&amp;F67&amp;CHAR(34)&amp;","&amp;CHAR(34)&amp;"xlsform_type"&amp;CHAR(34)&amp;":"&amp;CHAR(34)&amp;C67&amp;CHAR(34)&amp;","&amp;CHAR(34)&amp;"commitment"&amp;CHAR(34)&amp;":"&amp;CHAR(34)&amp;IF(F67="sha256","text-utf8-sha256","value")&amp;CHAR(34)&amp;","&amp;CHAR(34)&amp;"transform"&amp;CHAR(34)&amp;":"&amp;CHAR(34)&amp;G67&amp;CHAR(34)&amp;"}")</f>
        <v/>
      </c>
      <c r="I67">
        <f>IF(E67&lt;&gt;"INCLUDE","","'|"&amp;B67&amp;"=', "&amp;IF(F67="date","if(string-length(string(${"&amp;B67&amp;"})) &gt; 0, format-date(${"&amp;B67&amp;"}, '%Y-%m-%d'), '')",IF(F67="sha256","digest(string(${"&amp;B67&amp;"}), 'SHA-256', 'hex')","string(${"&amp;B67&amp;"})")))</f>
        <v/>
      </c>
      <c r="J67">
        <f>IF(E67="INCLUDE","Included by explicit yes","Not included")</f>
        <v/>
      </c>
      <c r="K67">
        <f>K66&amp;IF(H67="","",","&amp;H67)</f>
        <v/>
      </c>
      <c r="L67">
        <f>L66&amp;IF(I67="","",","&amp;I67)</f>
        <v/>
      </c>
    </row>
    <row r="68">
      <c r="A68" t="n">
        <v>85</v>
      </c>
      <c r="B68">
        <f>survey!B85</f>
        <v/>
      </c>
      <c r="C68">
        <f>survey!A85</f>
        <v/>
      </c>
      <c r="D68" t="inlineStr"/>
      <c r="E68">
        <f>IF(OR(B68="",C68=""),"",IF(LOWER(D68)="yes","INCLUDE","EXCLUDE"))</f>
        <v/>
      </c>
      <c r="F68">
        <f>IF(E68&lt;&gt;"INCLUDE","",IF(LEFT(LOWER(C68),10)="select_one ","select_one",IF(LOWER(C68)="date","date",IF(OR(LOWER(C68)="integer",LOWER(C68)="decimal",LOWER(C68)="range"),LOWER(C68),"sha256"))))</f>
        <v/>
      </c>
      <c r="G68">
        <f>IF(E68&lt;&gt;"INCLUDE","",IF(F68="date","yyyy-mm-dd",IF(F68="select_one","stored-choice-name",IF(F68="sha256","odk-lexical-utf8-sha256","odk-canonical-scalar"))))</f>
        <v/>
      </c>
      <c r="H68">
        <f>IF(E68&lt;&gt;"INCLUDE","","{"&amp;CHAR(34)&amp;"path"&amp;CHAR(34)&amp;":"&amp;CHAR(34)&amp;B68&amp;CHAR(34)&amp;","&amp;CHAR(34)&amp;"type"&amp;CHAR(34)&amp;":"&amp;CHAR(34)&amp;F68&amp;CHAR(34)&amp;","&amp;CHAR(34)&amp;"xlsform_type"&amp;CHAR(34)&amp;":"&amp;CHAR(34)&amp;C68&amp;CHAR(34)&amp;","&amp;CHAR(34)&amp;"commitment"&amp;CHAR(34)&amp;":"&amp;CHAR(34)&amp;IF(F68="sha256","text-utf8-sha256","value")&amp;CHAR(34)&amp;","&amp;CHAR(34)&amp;"transform"&amp;CHAR(34)&amp;":"&amp;CHAR(34)&amp;G68&amp;CHAR(34)&amp;"}")</f>
        <v/>
      </c>
      <c r="I68">
        <f>IF(E68&lt;&gt;"INCLUDE","","'|"&amp;B68&amp;"=', "&amp;IF(F68="date","if(string-length(string(${"&amp;B68&amp;"})) &gt; 0, format-date(${"&amp;B68&amp;"}, '%Y-%m-%d'), '')",IF(F68="sha256","digest(string(${"&amp;B68&amp;"}), 'SHA-256', 'hex')","string(${"&amp;B68&amp;"})")))</f>
        <v/>
      </c>
      <c r="J68">
        <f>IF(E68="INCLUDE","Included by explicit yes","Not included")</f>
        <v/>
      </c>
      <c r="K68">
        <f>K67&amp;IF(H68="","",","&amp;H68)</f>
        <v/>
      </c>
      <c r="L68">
        <f>L67&amp;IF(I68="","",","&amp;I68)</f>
        <v/>
      </c>
    </row>
    <row r="69">
      <c r="A69" t="n">
        <v>86</v>
      </c>
      <c r="B69">
        <f>survey!B86</f>
        <v/>
      </c>
      <c r="C69">
        <f>survey!A86</f>
        <v/>
      </c>
      <c r="D69" t="inlineStr"/>
      <c r="E69">
        <f>IF(OR(B69="",C69=""),"",IF(LOWER(D69)="yes","INCLUDE","EXCLUDE"))</f>
        <v/>
      </c>
      <c r="F69">
        <f>IF(E69&lt;&gt;"INCLUDE","",IF(LEFT(LOWER(C69),10)="select_one ","select_one",IF(LOWER(C69)="date","date",IF(OR(LOWER(C69)="integer",LOWER(C69)="decimal",LOWER(C69)="range"),LOWER(C69),"sha256"))))</f>
        <v/>
      </c>
      <c r="G69">
        <f>IF(E69&lt;&gt;"INCLUDE","",IF(F69="date","yyyy-mm-dd",IF(F69="select_one","stored-choice-name",IF(F69="sha256","odk-lexical-utf8-sha256","odk-canonical-scalar"))))</f>
        <v/>
      </c>
      <c r="H69">
        <f>IF(E69&lt;&gt;"INCLUDE","","{"&amp;CHAR(34)&amp;"path"&amp;CHAR(34)&amp;":"&amp;CHAR(34)&amp;B69&amp;CHAR(34)&amp;","&amp;CHAR(34)&amp;"type"&amp;CHAR(34)&amp;":"&amp;CHAR(34)&amp;F69&amp;CHAR(34)&amp;","&amp;CHAR(34)&amp;"xlsform_type"&amp;CHAR(34)&amp;":"&amp;CHAR(34)&amp;C69&amp;CHAR(34)&amp;","&amp;CHAR(34)&amp;"commitment"&amp;CHAR(34)&amp;":"&amp;CHAR(34)&amp;IF(F69="sha256","text-utf8-sha256","value")&amp;CHAR(34)&amp;","&amp;CHAR(34)&amp;"transform"&amp;CHAR(34)&amp;":"&amp;CHAR(34)&amp;G69&amp;CHAR(34)&amp;"}")</f>
        <v/>
      </c>
      <c r="I69">
        <f>IF(E69&lt;&gt;"INCLUDE","","'|"&amp;B69&amp;"=', "&amp;IF(F69="date","if(string-length(string(${"&amp;B69&amp;"})) &gt; 0, format-date(${"&amp;B69&amp;"}, '%Y-%m-%d'), '')",IF(F69="sha256","digest(string(${"&amp;B69&amp;"}), 'SHA-256', 'hex')","string(${"&amp;B69&amp;"})")))</f>
        <v/>
      </c>
      <c r="J69">
        <f>IF(E69="INCLUDE","Included by explicit yes","Not included")</f>
        <v/>
      </c>
      <c r="K69">
        <f>K68&amp;IF(H69="","",","&amp;H69)</f>
        <v/>
      </c>
      <c r="L69">
        <f>L68&amp;IF(I69="","",","&amp;I69)</f>
        <v/>
      </c>
    </row>
    <row r="70">
      <c r="A70" t="n">
        <v>87</v>
      </c>
      <c r="B70">
        <f>survey!B87</f>
        <v/>
      </c>
      <c r="C70">
        <f>survey!A87</f>
        <v/>
      </c>
      <c r="D70" t="inlineStr"/>
      <c r="E70">
        <f>IF(OR(B70="",C70=""),"",IF(LOWER(D70)="yes","INCLUDE","EXCLUDE"))</f>
        <v/>
      </c>
      <c r="F70">
        <f>IF(E70&lt;&gt;"INCLUDE","",IF(LEFT(LOWER(C70),10)="select_one ","select_one",IF(LOWER(C70)="date","date",IF(OR(LOWER(C70)="integer",LOWER(C70)="decimal",LOWER(C70)="range"),LOWER(C70),"sha256"))))</f>
        <v/>
      </c>
      <c r="G70">
        <f>IF(E70&lt;&gt;"INCLUDE","",IF(F70="date","yyyy-mm-dd",IF(F70="select_one","stored-choice-name",IF(F70="sha256","odk-lexical-utf8-sha256","odk-canonical-scalar"))))</f>
        <v/>
      </c>
      <c r="H70">
        <f>IF(E70&lt;&gt;"INCLUDE","","{"&amp;CHAR(34)&amp;"path"&amp;CHAR(34)&amp;":"&amp;CHAR(34)&amp;B70&amp;CHAR(34)&amp;","&amp;CHAR(34)&amp;"type"&amp;CHAR(34)&amp;":"&amp;CHAR(34)&amp;F70&amp;CHAR(34)&amp;","&amp;CHAR(34)&amp;"xlsform_type"&amp;CHAR(34)&amp;":"&amp;CHAR(34)&amp;C70&amp;CHAR(34)&amp;","&amp;CHAR(34)&amp;"commitment"&amp;CHAR(34)&amp;":"&amp;CHAR(34)&amp;IF(F70="sha256","text-utf8-sha256","value")&amp;CHAR(34)&amp;","&amp;CHAR(34)&amp;"transform"&amp;CHAR(34)&amp;":"&amp;CHAR(34)&amp;G70&amp;CHAR(34)&amp;"}")</f>
        <v/>
      </c>
      <c r="I70">
        <f>IF(E70&lt;&gt;"INCLUDE","","'|"&amp;B70&amp;"=', "&amp;IF(F70="date","if(string-length(string(${"&amp;B70&amp;"})) &gt; 0, format-date(${"&amp;B70&amp;"}, '%Y-%m-%d'), '')",IF(F70="sha256","digest(string(${"&amp;B70&amp;"}), 'SHA-256', 'hex')","string(${"&amp;B70&amp;"})")))</f>
        <v/>
      </c>
      <c r="J70">
        <f>IF(E70="INCLUDE","Included by explicit yes","Not included")</f>
        <v/>
      </c>
      <c r="K70">
        <f>K69&amp;IF(H70="","",","&amp;H70)</f>
        <v/>
      </c>
      <c r="L70">
        <f>L69&amp;IF(I70="","",","&amp;I70)</f>
        <v/>
      </c>
    </row>
    <row r="71">
      <c r="A71" t="n">
        <v>88</v>
      </c>
      <c r="B71">
        <f>survey!B88</f>
        <v/>
      </c>
      <c r="C71">
        <f>survey!A88</f>
        <v/>
      </c>
      <c r="D71" t="inlineStr"/>
      <c r="E71">
        <f>IF(OR(B71="",C71=""),"",IF(LOWER(D71)="yes","INCLUDE","EXCLUDE"))</f>
        <v/>
      </c>
      <c r="F71">
        <f>IF(E71&lt;&gt;"INCLUDE","",IF(LEFT(LOWER(C71),10)="select_one ","select_one",IF(LOWER(C71)="date","date",IF(OR(LOWER(C71)="integer",LOWER(C71)="decimal",LOWER(C71)="range"),LOWER(C71),"sha256"))))</f>
        <v/>
      </c>
      <c r="G71">
        <f>IF(E71&lt;&gt;"INCLUDE","",IF(F71="date","yyyy-mm-dd",IF(F71="select_one","stored-choice-name",IF(F71="sha256","odk-lexical-utf8-sha256","odk-canonical-scalar"))))</f>
        <v/>
      </c>
      <c r="H71">
        <f>IF(E71&lt;&gt;"INCLUDE","","{"&amp;CHAR(34)&amp;"path"&amp;CHAR(34)&amp;":"&amp;CHAR(34)&amp;B71&amp;CHAR(34)&amp;","&amp;CHAR(34)&amp;"type"&amp;CHAR(34)&amp;":"&amp;CHAR(34)&amp;F71&amp;CHAR(34)&amp;","&amp;CHAR(34)&amp;"xlsform_type"&amp;CHAR(34)&amp;":"&amp;CHAR(34)&amp;C71&amp;CHAR(34)&amp;","&amp;CHAR(34)&amp;"commitment"&amp;CHAR(34)&amp;":"&amp;CHAR(34)&amp;IF(F71="sha256","text-utf8-sha256","value")&amp;CHAR(34)&amp;","&amp;CHAR(34)&amp;"transform"&amp;CHAR(34)&amp;":"&amp;CHAR(34)&amp;G71&amp;CHAR(34)&amp;"}")</f>
        <v/>
      </c>
      <c r="I71">
        <f>IF(E71&lt;&gt;"INCLUDE","","'|"&amp;B71&amp;"=', "&amp;IF(F71="date","if(string-length(string(${"&amp;B71&amp;"})) &gt; 0, format-date(${"&amp;B71&amp;"}, '%Y-%m-%d'), '')",IF(F71="sha256","digest(string(${"&amp;B71&amp;"}), 'SHA-256', 'hex')","string(${"&amp;B71&amp;"})")))</f>
        <v/>
      </c>
      <c r="J71">
        <f>IF(E71="INCLUDE","Included by explicit yes","Not included")</f>
        <v/>
      </c>
      <c r="K71">
        <f>K70&amp;IF(H71="","",","&amp;H71)</f>
        <v/>
      </c>
      <c r="L71">
        <f>L70&amp;IF(I71="","",","&amp;I71)</f>
        <v/>
      </c>
    </row>
    <row r="72">
      <c r="A72" t="n">
        <v>89</v>
      </c>
      <c r="B72">
        <f>survey!B89</f>
        <v/>
      </c>
      <c r="C72">
        <f>survey!A89</f>
        <v/>
      </c>
      <c r="D72" t="inlineStr"/>
      <c r="E72">
        <f>IF(OR(B72="",C72=""),"",IF(LOWER(D72)="yes","INCLUDE","EXCLUDE"))</f>
        <v/>
      </c>
      <c r="F72">
        <f>IF(E72&lt;&gt;"INCLUDE","",IF(LEFT(LOWER(C72),10)="select_one ","select_one",IF(LOWER(C72)="date","date",IF(OR(LOWER(C72)="integer",LOWER(C72)="decimal",LOWER(C72)="range"),LOWER(C72),"sha256"))))</f>
        <v/>
      </c>
      <c r="G72">
        <f>IF(E72&lt;&gt;"INCLUDE","",IF(F72="date","yyyy-mm-dd",IF(F72="select_one","stored-choice-name",IF(F72="sha256","odk-lexical-utf8-sha256","odk-canonical-scalar"))))</f>
        <v/>
      </c>
      <c r="H72">
        <f>IF(E72&lt;&gt;"INCLUDE","","{"&amp;CHAR(34)&amp;"path"&amp;CHAR(34)&amp;":"&amp;CHAR(34)&amp;B72&amp;CHAR(34)&amp;","&amp;CHAR(34)&amp;"type"&amp;CHAR(34)&amp;":"&amp;CHAR(34)&amp;F72&amp;CHAR(34)&amp;","&amp;CHAR(34)&amp;"xlsform_type"&amp;CHAR(34)&amp;":"&amp;CHAR(34)&amp;C72&amp;CHAR(34)&amp;","&amp;CHAR(34)&amp;"commitment"&amp;CHAR(34)&amp;":"&amp;CHAR(34)&amp;IF(F72="sha256","text-utf8-sha256","value")&amp;CHAR(34)&amp;","&amp;CHAR(34)&amp;"transform"&amp;CHAR(34)&amp;":"&amp;CHAR(34)&amp;G72&amp;CHAR(34)&amp;"}")</f>
        <v/>
      </c>
      <c r="I72">
        <f>IF(E72&lt;&gt;"INCLUDE","","'|"&amp;B72&amp;"=', "&amp;IF(F72="date","if(string-length(string(${"&amp;B72&amp;"})) &gt; 0, format-date(${"&amp;B72&amp;"}, '%Y-%m-%d'), '')",IF(F72="sha256","digest(string(${"&amp;B72&amp;"}), 'SHA-256', 'hex')","string(${"&amp;B72&amp;"})")))</f>
        <v/>
      </c>
      <c r="J72">
        <f>IF(E72="INCLUDE","Included by explicit yes","Not included")</f>
        <v/>
      </c>
      <c r="K72">
        <f>K71&amp;IF(H72="","",","&amp;H72)</f>
        <v/>
      </c>
      <c r="L72">
        <f>L71&amp;IF(I72="","",","&amp;I72)</f>
        <v/>
      </c>
    </row>
    <row r="73">
      <c r="A73" t="n">
        <v>90</v>
      </c>
      <c r="B73">
        <f>survey!B90</f>
        <v/>
      </c>
      <c r="C73">
        <f>survey!A90</f>
        <v/>
      </c>
      <c r="D73" t="inlineStr"/>
      <c r="E73">
        <f>IF(OR(B73="",C73=""),"",IF(LOWER(D73)="yes","INCLUDE","EXCLUDE"))</f>
        <v/>
      </c>
      <c r="F73">
        <f>IF(E73&lt;&gt;"INCLUDE","",IF(LEFT(LOWER(C73),10)="select_one ","select_one",IF(LOWER(C73)="date","date",IF(OR(LOWER(C73)="integer",LOWER(C73)="decimal",LOWER(C73)="range"),LOWER(C73),"sha256"))))</f>
        <v/>
      </c>
      <c r="G73">
        <f>IF(E73&lt;&gt;"INCLUDE","",IF(F73="date","yyyy-mm-dd",IF(F73="select_one","stored-choice-name",IF(F73="sha256","odk-lexical-utf8-sha256","odk-canonical-scalar"))))</f>
        <v/>
      </c>
      <c r="H73">
        <f>IF(E73&lt;&gt;"INCLUDE","","{"&amp;CHAR(34)&amp;"path"&amp;CHAR(34)&amp;":"&amp;CHAR(34)&amp;B73&amp;CHAR(34)&amp;","&amp;CHAR(34)&amp;"type"&amp;CHAR(34)&amp;":"&amp;CHAR(34)&amp;F73&amp;CHAR(34)&amp;","&amp;CHAR(34)&amp;"xlsform_type"&amp;CHAR(34)&amp;":"&amp;CHAR(34)&amp;C73&amp;CHAR(34)&amp;","&amp;CHAR(34)&amp;"commitment"&amp;CHAR(34)&amp;":"&amp;CHAR(34)&amp;IF(F73="sha256","text-utf8-sha256","value")&amp;CHAR(34)&amp;","&amp;CHAR(34)&amp;"transform"&amp;CHAR(34)&amp;":"&amp;CHAR(34)&amp;G73&amp;CHAR(34)&amp;"}")</f>
        <v/>
      </c>
      <c r="I73">
        <f>IF(E73&lt;&gt;"INCLUDE","","'|"&amp;B73&amp;"=', "&amp;IF(F73="date","if(string-length(string(${"&amp;B73&amp;"})) &gt; 0, format-date(${"&amp;B73&amp;"}, '%Y-%m-%d'), '')",IF(F73="sha256","digest(string(${"&amp;B73&amp;"}), 'SHA-256', 'hex')","string(${"&amp;B73&amp;"})")))</f>
        <v/>
      </c>
      <c r="J73">
        <f>IF(E73="INCLUDE","Included by explicit yes","Not included")</f>
        <v/>
      </c>
      <c r="K73">
        <f>K72&amp;IF(H73="","",","&amp;H73)</f>
        <v/>
      </c>
      <c r="L73">
        <f>L72&amp;IF(I73="","",","&amp;I73)</f>
        <v/>
      </c>
    </row>
    <row r="74">
      <c r="A74" t="n">
        <v>91</v>
      </c>
      <c r="B74">
        <f>survey!B91</f>
        <v/>
      </c>
      <c r="C74">
        <f>survey!A91</f>
        <v/>
      </c>
      <c r="D74" t="inlineStr"/>
      <c r="E74">
        <f>IF(OR(B74="",C74=""),"",IF(LOWER(D74)="yes","INCLUDE","EXCLUDE"))</f>
        <v/>
      </c>
      <c r="F74">
        <f>IF(E74&lt;&gt;"INCLUDE","",IF(LEFT(LOWER(C74),10)="select_one ","select_one",IF(LOWER(C74)="date","date",IF(OR(LOWER(C74)="integer",LOWER(C74)="decimal",LOWER(C74)="range"),LOWER(C74),"sha256"))))</f>
        <v/>
      </c>
      <c r="G74">
        <f>IF(E74&lt;&gt;"INCLUDE","",IF(F74="date","yyyy-mm-dd",IF(F74="select_one","stored-choice-name",IF(F74="sha256","odk-lexical-utf8-sha256","odk-canonical-scalar"))))</f>
        <v/>
      </c>
      <c r="H74">
        <f>IF(E74&lt;&gt;"INCLUDE","","{"&amp;CHAR(34)&amp;"path"&amp;CHAR(34)&amp;":"&amp;CHAR(34)&amp;B74&amp;CHAR(34)&amp;","&amp;CHAR(34)&amp;"type"&amp;CHAR(34)&amp;":"&amp;CHAR(34)&amp;F74&amp;CHAR(34)&amp;","&amp;CHAR(34)&amp;"xlsform_type"&amp;CHAR(34)&amp;":"&amp;CHAR(34)&amp;C74&amp;CHAR(34)&amp;","&amp;CHAR(34)&amp;"commitment"&amp;CHAR(34)&amp;":"&amp;CHAR(34)&amp;IF(F74="sha256","text-utf8-sha256","value")&amp;CHAR(34)&amp;","&amp;CHAR(34)&amp;"transform"&amp;CHAR(34)&amp;":"&amp;CHAR(34)&amp;G74&amp;CHAR(34)&amp;"}")</f>
        <v/>
      </c>
      <c r="I74">
        <f>IF(E74&lt;&gt;"INCLUDE","","'|"&amp;B74&amp;"=', "&amp;IF(F74="date","if(string-length(string(${"&amp;B74&amp;"})) &gt; 0, format-date(${"&amp;B74&amp;"}, '%Y-%m-%d'), '')",IF(F74="sha256","digest(string(${"&amp;B74&amp;"}), 'SHA-256', 'hex')","string(${"&amp;B74&amp;"})")))</f>
        <v/>
      </c>
      <c r="J74">
        <f>IF(E74="INCLUDE","Included by explicit yes","Not included")</f>
        <v/>
      </c>
      <c r="K74">
        <f>K73&amp;IF(H74="","",","&amp;H74)</f>
        <v/>
      </c>
      <c r="L74">
        <f>L73&amp;IF(I74="","",","&amp;I74)</f>
        <v/>
      </c>
    </row>
    <row r="75">
      <c r="A75" t="n">
        <v>92</v>
      </c>
      <c r="B75">
        <f>survey!B92</f>
        <v/>
      </c>
      <c r="C75">
        <f>survey!A92</f>
        <v/>
      </c>
      <c r="D75" t="inlineStr"/>
      <c r="E75">
        <f>IF(OR(B75="",C75=""),"",IF(LOWER(D75)="yes","INCLUDE","EXCLUDE"))</f>
        <v/>
      </c>
      <c r="F75">
        <f>IF(E75&lt;&gt;"INCLUDE","",IF(LEFT(LOWER(C75),10)="select_one ","select_one",IF(LOWER(C75)="date","date",IF(OR(LOWER(C75)="integer",LOWER(C75)="decimal",LOWER(C75)="range"),LOWER(C75),"sha256"))))</f>
        <v/>
      </c>
      <c r="G75">
        <f>IF(E75&lt;&gt;"INCLUDE","",IF(F75="date","yyyy-mm-dd",IF(F75="select_one","stored-choice-name",IF(F75="sha256","odk-lexical-utf8-sha256","odk-canonical-scalar"))))</f>
        <v/>
      </c>
      <c r="H75">
        <f>IF(E75&lt;&gt;"INCLUDE","","{"&amp;CHAR(34)&amp;"path"&amp;CHAR(34)&amp;":"&amp;CHAR(34)&amp;B75&amp;CHAR(34)&amp;","&amp;CHAR(34)&amp;"type"&amp;CHAR(34)&amp;":"&amp;CHAR(34)&amp;F75&amp;CHAR(34)&amp;","&amp;CHAR(34)&amp;"xlsform_type"&amp;CHAR(34)&amp;":"&amp;CHAR(34)&amp;C75&amp;CHAR(34)&amp;","&amp;CHAR(34)&amp;"commitment"&amp;CHAR(34)&amp;":"&amp;CHAR(34)&amp;IF(F75="sha256","text-utf8-sha256","value")&amp;CHAR(34)&amp;","&amp;CHAR(34)&amp;"transform"&amp;CHAR(34)&amp;":"&amp;CHAR(34)&amp;G75&amp;CHAR(34)&amp;"}")</f>
        <v/>
      </c>
      <c r="I75">
        <f>IF(E75&lt;&gt;"INCLUDE","","'|"&amp;B75&amp;"=', "&amp;IF(F75="date","if(string-length(string(${"&amp;B75&amp;"})) &gt; 0, format-date(${"&amp;B75&amp;"}, '%Y-%m-%d'), '')",IF(F75="sha256","digest(string(${"&amp;B75&amp;"}), 'SHA-256', 'hex')","string(${"&amp;B75&amp;"})")))</f>
        <v/>
      </c>
      <c r="J75">
        <f>IF(E75="INCLUDE","Included by explicit yes","Not included")</f>
        <v/>
      </c>
      <c r="K75">
        <f>K74&amp;IF(H75="","",","&amp;H75)</f>
        <v/>
      </c>
      <c r="L75">
        <f>L74&amp;IF(I75="","",","&amp;I75)</f>
        <v/>
      </c>
    </row>
    <row r="76">
      <c r="A76" t="n">
        <v>93</v>
      </c>
      <c r="B76">
        <f>survey!B93</f>
        <v/>
      </c>
      <c r="C76">
        <f>survey!A93</f>
        <v/>
      </c>
      <c r="D76" t="inlineStr"/>
      <c r="E76">
        <f>IF(OR(B76="",C76=""),"",IF(LOWER(D76)="yes","INCLUDE","EXCLUDE"))</f>
        <v/>
      </c>
      <c r="F76">
        <f>IF(E76&lt;&gt;"INCLUDE","",IF(LEFT(LOWER(C76),10)="select_one ","select_one",IF(LOWER(C76)="date","date",IF(OR(LOWER(C76)="integer",LOWER(C76)="decimal",LOWER(C76)="range"),LOWER(C76),"sha256"))))</f>
        <v/>
      </c>
      <c r="G76">
        <f>IF(E76&lt;&gt;"INCLUDE","",IF(F76="date","yyyy-mm-dd",IF(F76="select_one","stored-choice-name",IF(F76="sha256","odk-lexical-utf8-sha256","odk-canonical-scalar"))))</f>
        <v/>
      </c>
      <c r="H76">
        <f>IF(E76&lt;&gt;"INCLUDE","","{"&amp;CHAR(34)&amp;"path"&amp;CHAR(34)&amp;":"&amp;CHAR(34)&amp;B76&amp;CHAR(34)&amp;","&amp;CHAR(34)&amp;"type"&amp;CHAR(34)&amp;":"&amp;CHAR(34)&amp;F76&amp;CHAR(34)&amp;","&amp;CHAR(34)&amp;"xlsform_type"&amp;CHAR(34)&amp;":"&amp;CHAR(34)&amp;C76&amp;CHAR(34)&amp;","&amp;CHAR(34)&amp;"commitment"&amp;CHAR(34)&amp;":"&amp;CHAR(34)&amp;IF(F76="sha256","text-utf8-sha256","value")&amp;CHAR(34)&amp;","&amp;CHAR(34)&amp;"transform"&amp;CHAR(34)&amp;":"&amp;CHAR(34)&amp;G76&amp;CHAR(34)&amp;"}")</f>
        <v/>
      </c>
      <c r="I76">
        <f>IF(E76&lt;&gt;"INCLUDE","","'|"&amp;B76&amp;"=', "&amp;IF(F76="date","if(string-length(string(${"&amp;B76&amp;"})) &gt; 0, format-date(${"&amp;B76&amp;"}, '%Y-%m-%d'), '')",IF(F76="sha256","digest(string(${"&amp;B76&amp;"}), 'SHA-256', 'hex')","string(${"&amp;B76&amp;"})")))</f>
        <v/>
      </c>
      <c r="J76">
        <f>IF(E76="INCLUDE","Included by explicit yes","Not included")</f>
        <v/>
      </c>
      <c r="K76">
        <f>K75&amp;IF(H76="","",","&amp;H76)</f>
        <v/>
      </c>
      <c r="L76">
        <f>L75&amp;IF(I76="","",","&amp;I76)</f>
        <v/>
      </c>
    </row>
    <row r="77">
      <c r="A77" t="n">
        <v>94</v>
      </c>
      <c r="B77">
        <f>survey!B94</f>
        <v/>
      </c>
      <c r="C77">
        <f>survey!A94</f>
        <v/>
      </c>
      <c r="D77" t="inlineStr"/>
      <c r="E77">
        <f>IF(OR(B77="",C77=""),"",IF(LOWER(D77)="yes","INCLUDE","EXCLUDE"))</f>
        <v/>
      </c>
      <c r="F77">
        <f>IF(E77&lt;&gt;"INCLUDE","",IF(LEFT(LOWER(C77),10)="select_one ","select_one",IF(LOWER(C77)="date","date",IF(OR(LOWER(C77)="integer",LOWER(C77)="decimal",LOWER(C77)="range"),LOWER(C77),"sha256"))))</f>
        <v/>
      </c>
      <c r="G77">
        <f>IF(E77&lt;&gt;"INCLUDE","",IF(F77="date","yyyy-mm-dd",IF(F77="select_one","stored-choice-name",IF(F77="sha256","odk-lexical-utf8-sha256","odk-canonical-scalar"))))</f>
        <v/>
      </c>
      <c r="H77">
        <f>IF(E77&lt;&gt;"INCLUDE","","{"&amp;CHAR(34)&amp;"path"&amp;CHAR(34)&amp;":"&amp;CHAR(34)&amp;B77&amp;CHAR(34)&amp;","&amp;CHAR(34)&amp;"type"&amp;CHAR(34)&amp;":"&amp;CHAR(34)&amp;F77&amp;CHAR(34)&amp;","&amp;CHAR(34)&amp;"xlsform_type"&amp;CHAR(34)&amp;":"&amp;CHAR(34)&amp;C77&amp;CHAR(34)&amp;","&amp;CHAR(34)&amp;"commitment"&amp;CHAR(34)&amp;":"&amp;CHAR(34)&amp;IF(F77="sha256","text-utf8-sha256","value")&amp;CHAR(34)&amp;","&amp;CHAR(34)&amp;"transform"&amp;CHAR(34)&amp;":"&amp;CHAR(34)&amp;G77&amp;CHAR(34)&amp;"}")</f>
        <v/>
      </c>
      <c r="I77">
        <f>IF(E77&lt;&gt;"INCLUDE","","'|"&amp;B77&amp;"=', "&amp;IF(F77="date","if(string-length(string(${"&amp;B77&amp;"})) &gt; 0, format-date(${"&amp;B77&amp;"}, '%Y-%m-%d'), '')",IF(F77="sha256","digest(string(${"&amp;B77&amp;"}), 'SHA-256', 'hex')","string(${"&amp;B77&amp;"})")))</f>
        <v/>
      </c>
      <c r="J77">
        <f>IF(E77="INCLUDE","Included by explicit yes","Not included")</f>
        <v/>
      </c>
      <c r="K77">
        <f>K76&amp;IF(H77="","",","&amp;H77)</f>
        <v/>
      </c>
      <c r="L77">
        <f>L76&amp;IF(I77="","",","&amp;I77)</f>
        <v/>
      </c>
    </row>
    <row r="78">
      <c r="A78" t="n">
        <v>95</v>
      </c>
      <c r="B78">
        <f>survey!B95</f>
        <v/>
      </c>
      <c r="C78">
        <f>survey!A95</f>
        <v/>
      </c>
      <c r="D78" t="inlineStr"/>
      <c r="E78">
        <f>IF(OR(B78="",C78=""),"",IF(LOWER(D78)="yes","INCLUDE","EXCLUDE"))</f>
        <v/>
      </c>
      <c r="F78">
        <f>IF(E78&lt;&gt;"INCLUDE","",IF(LEFT(LOWER(C78),10)="select_one ","select_one",IF(LOWER(C78)="date","date",IF(OR(LOWER(C78)="integer",LOWER(C78)="decimal",LOWER(C78)="range"),LOWER(C78),"sha256"))))</f>
        <v/>
      </c>
      <c r="G78">
        <f>IF(E78&lt;&gt;"INCLUDE","",IF(F78="date","yyyy-mm-dd",IF(F78="select_one","stored-choice-name",IF(F78="sha256","odk-lexical-utf8-sha256","odk-canonical-scalar"))))</f>
        <v/>
      </c>
      <c r="H78">
        <f>IF(E78&lt;&gt;"INCLUDE","","{"&amp;CHAR(34)&amp;"path"&amp;CHAR(34)&amp;":"&amp;CHAR(34)&amp;B78&amp;CHAR(34)&amp;","&amp;CHAR(34)&amp;"type"&amp;CHAR(34)&amp;":"&amp;CHAR(34)&amp;F78&amp;CHAR(34)&amp;","&amp;CHAR(34)&amp;"xlsform_type"&amp;CHAR(34)&amp;":"&amp;CHAR(34)&amp;C78&amp;CHAR(34)&amp;","&amp;CHAR(34)&amp;"commitment"&amp;CHAR(34)&amp;":"&amp;CHAR(34)&amp;IF(F78="sha256","text-utf8-sha256","value")&amp;CHAR(34)&amp;","&amp;CHAR(34)&amp;"transform"&amp;CHAR(34)&amp;":"&amp;CHAR(34)&amp;G78&amp;CHAR(34)&amp;"}")</f>
        <v/>
      </c>
      <c r="I78">
        <f>IF(E78&lt;&gt;"INCLUDE","","'|"&amp;B78&amp;"=', "&amp;IF(F78="date","if(string-length(string(${"&amp;B78&amp;"})) &gt; 0, format-date(${"&amp;B78&amp;"}, '%Y-%m-%d'), '')",IF(F78="sha256","digest(string(${"&amp;B78&amp;"}), 'SHA-256', 'hex')","string(${"&amp;B78&amp;"})")))</f>
        <v/>
      </c>
      <c r="J78">
        <f>IF(E78="INCLUDE","Included by explicit yes","Not included")</f>
        <v/>
      </c>
      <c r="K78">
        <f>K77&amp;IF(H78="","",","&amp;H78)</f>
        <v/>
      </c>
      <c r="L78">
        <f>L77&amp;IF(I78="","",","&amp;I78)</f>
        <v/>
      </c>
    </row>
    <row r="79">
      <c r="A79" t="n">
        <v>96</v>
      </c>
      <c r="B79">
        <f>survey!B96</f>
        <v/>
      </c>
      <c r="C79">
        <f>survey!A96</f>
        <v/>
      </c>
      <c r="D79" t="inlineStr"/>
      <c r="E79">
        <f>IF(OR(B79="",C79=""),"",IF(LOWER(D79)="yes","INCLUDE","EXCLUDE"))</f>
        <v/>
      </c>
      <c r="F79">
        <f>IF(E79&lt;&gt;"INCLUDE","",IF(LEFT(LOWER(C79),10)="select_one ","select_one",IF(LOWER(C79)="date","date",IF(OR(LOWER(C79)="integer",LOWER(C79)="decimal",LOWER(C79)="range"),LOWER(C79),"sha256"))))</f>
        <v/>
      </c>
      <c r="G79">
        <f>IF(E79&lt;&gt;"INCLUDE","",IF(F79="date","yyyy-mm-dd",IF(F79="select_one","stored-choice-name",IF(F79="sha256","odk-lexical-utf8-sha256","odk-canonical-scalar"))))</f>
        <v/>
      </c>
      <c r="H79">
        <f>IF(E79&lt;&gt;"INCLUDE","","{"&amp;CHAR(34)&amp;"path"&amp;CHAR(34)&amp;":"&amp;CHAR(34)&amp;B79&amp;CHAR(34)&amp;","&amp;CHAR(34)&amp;"type"&amp;CHAR(34)&amp;":"&amp;CHAR(34)&amp;F79&amp;CHAR(34)&amp;","&amp;CHAR(34)&amp;"xlsform_type"&amp;CHAR(34)&amp;":"&amp;CHAR(34)&amp;C79&amp;CHAR(34)&amp;","&amp;CHAR(34)&amp;"commitment"&amp;CHAR(34)&amp;":"&amp;CHAR(34)&amp;IF(F79="sha256","text-utf8-sha256","value")&amp;CHAR(34)&amp;","&amp;CHAR(34)&amp;"transform"&amp;CHAR(34)&amp;":"&amp;CHAR(34)&amp;G79&amp;CHAR(34)&amp;"}")</f>
        <v/>
      </c>
      <c r="I79">
        <f>IF(E79&lt;&gt;"INCLUDE","","'|"&amp;B79&amp;"=', "&amp;IF(F79="date","if(string-length(string(${"&amp;B79&amp;"})) &gt; 0, format-date(${"&amp;B79&amp;"}, '%Y-%m-%d'), '')",IF(F79="sha256","digest(string(${"&amp;B79&amp;"}), 'SHA-256', 'hex')","string(${"&amp;B79&amp;"})")))</f>
        <v/>
      </c>
      <c r="J79">
        <f>IF(E79="INCLUDE","Included by explicit yes","Not included")</f>
        <v/>
      </c>
      <c r="K79">
        <f>K78&amp;IF(H79="","",","&amp;H79)</f>
        <v/>
      </c>
      <c r="L79">
        <f>L78&amp;IF(I79="","",","&amp;I79)</f>
        <v/>
      </c>
    </row>
    <row r="80">
      <c r="A80" t="n">
        <v>97</v>
      </c>
      <c r="B80">
        <f>survey!B97</f>
        <v/>
      </c>
      <c r="C80">
        <f>survey!A97</f>
        <v/>
      </c>
      <c r="D80" t="inlineStr"/>
      <c r="E80">
        <f>IF(OR(B80="",C80=""),"",IF(LOWER(D80)="yes","INCLUDE","EXCLUDE"))</f>
        <v/>
      </c>
      <c r="F80">
        <f>IF(E80&lt;&gt;"INCLUDE","",IF(LEFT(LOWER(C80),10)="select_one ","select_one",IF(LOWER(C80)="date","date",IF(OR(LOWER(C80)="integer",LOWER(C80)="decimal",LOWER(C80)="range"),LOWER(C80),"sha256"))))</f>
        <v/>
      </c>
      <c r="G80">
        <f>IF(E80&lt;&gt;"INCLUDE","",IF(F80="date","yyyy-mm-dd",IF(F80="select_one","stored-choice-name",IF(F80="sha256","odk-lexical-utf8-sha256","odk-canonical-scalar"))))</f>
        <v/>
      </c>
      <c r="H80">
        <f>IF(E80&lt;&gt;"INCLUDE","","{"&amp;CHAR(34)&amp;"path"&amp;CHAR(34)&amp;":"&amp;CHAR(34)&amp;B80&amp;CHAR(34)&amp;","&amp;CHAR(34)&amp;"type"&amp;CHAR(34)&amp;":"&amp;CHAR(34)&amp;F80&amp;CHAR(34)&amp;","&amp;CHAR(34)&amp;"xlsform_type"&amp;CHAR(34)&amp;":"&amp;CHAR(34)&amp;C80&amp;CHAR(34)&amp;","&amp;CHAR(34)&amp;"commitment"&amp;CHAR(34)&amp;":"&amp;CHAR(34)&amp;IF(F80="sha256","text-utf8-sha256","value")&amp;CHAR(34)&amp;","&amp;CHAR(34)&amp;"transform"&amp;CHAR(34)&amp;":"&amp;CHAR(34)&amp;G80&amp;CHAR(34)&amp;"}")</f>
        <v/>
      </c>
      <c r="I80">
        <f>IF(E80&lt;&gt;"INCLUDE","","'|"&amp;B80&amp;"=', "&amp;IF(F80="date","if(string-length(string(${"&amp;B80&amp;"})) &gt; 0, format-date(${"&amp;B80&amp;"}, '%Y-%m-%d'), '')",IF(F80="sha256","digest(string(${"&amp;B80&amp;"}), 'SHA-256', 'hex')","string(${"&amp;B80&amp;"})")))</f>
        <v/>
      </c>
      <c r="J80">
        <f>IF(E80="INCLUDE","Included by explicit yes","Not included")</f>
        <v/>
      </c>
      <c r="K80">
        <f>K79&amp;IF(H80="","",","&amp;H80)</f>
        <v/>
      </c>
      <c r="L80">
        <f>L79&amp;IF(I80="","",","&amp;I80)</f>
        <v/>
      </c>
    </row>
    <row r="81">
      <c r="A81" t="n">
        <v>98</v>
      </c>
      <c r="B81">
        <f>survey!B98</f>
        <v/>
      </c>
      <c r="C81">
        <f>survey!A98</f>
        <v/>
      </c>
      <c r="D81" t="inlineStr"/>
      <c r="E81">
        <f>IF(OR(B81="",C81=""),"",IF(LOWER(D81)="yes","INCLUDE","EXCLUDE"))</f>
        <v/>
      </c>
      <c r="F81">
        <f>IF(E81&lt;&gt;"INCLUDE","",IF(LEFT(LOWER(C81),10)="select_one ","select_one",IF(LOWER(C81)="date","date",IF(OR(LOWER(C81)="integer",LOWER(C81)="decimal",LOWER(C81)="range"),LOWER(C81),"sha256"))))</f>
        <v/>
      </c>
      <c r="G81">
        <f>IF(E81&lt;&gt;"INCLUDE","",IF(F81="date","yyyy-mm-dd",IF(F81="select_one","stored-choice-name",IF(F81="sha256","odk-lexical-utf8-sha256","odk-canonical-scalar"))))</f>
        <v/>
      </c>
      <c r="H81">
        <f>IF(E81&lt;&gt;"INCLUDE","","{"&amp;CHAR(34)&amp;"path"&amp;CHAR(34)&amp;":"&amp;CHAR(34)&amp;B81&amp;CHAR(34)&amp;","&amp;CHAR(34)&amp;"type"&amp;CHAR(34)&amp;":"&amp;CHAR(34)&amp;F81&amp;CHAR(34)&amp;","&amp;CHAR(34)&amp;"xlsform_type"&amp;CHAR(34)&amp;":"&amp;CHAR(34)&amp;C81&amp;CHAR(34)&amp;","&amp;CHAR(34)&amp;"commitment"&amp;CHAR(34)&amp;":"&amp;CHAR(34)&amp;IF(F81="sha256","text-utf8-sha256","value")&amp;CHAR(34)&amp;","&amp;CHAR(34)&amp;"transform"&amp;CHAR(34)&amp;":"&amp;CHAR(34)&amp;G81&amp;CHAR(34)&amp;"}")</f>
        <v/>
      </c>
      <c r="I81">
        <f>IF(E81&lt;&gt;"INCLUDE","","'|"&amp;B81&amp;"=', "&amp;IF(F81="date","if(string-length(string(${"&amp;B81&amp;"})) &gt; 0, format-date(${"&amp;B81&amp;"}, '%Y-%m-%d'), '')",IF(F81="sha256","digest(string(${"&amp;B81&amp;"}), 'SHA-256', 'hex')","string(${"&amp;B81&amp;"})")))</f>
        <v/>
      </c>
      <c r="J81">
        <f>IF(E81="INCLUDE","Included by explicit yes","Not included")</f>
        <v/>
      </c>
      <c r="K81">
        <f>K80&amp;IF(H81="","",","&amp;H81)</f>
        <v/>
      </c>
      <c r="L81">
        <f>L80&amp;IF(I81="","",","&amp;I81)</f>
        <v/>
      </c>
    </row>
    <row r="82">
      <c r="A82" t="n">
        <v>99</v>
      </c>
      <c r="B82">
        <f>survey!B99</f>
        <v/>
      </c>
      <c r="C82">
        <f>survey!A99</f>
        <v/>
      </c>
      <c r="D82" t="inlineStr"/>
      <c r="E82">
        <f>IF(OR(B82="",C82=""),"",IF(LOWER(D82)="yes","INCLUDE","EXCLUDE"))</f>
        <v/>
      </c>
      <c r="F82">
        <f>IF(E82&lt;&gt;"INCLUDE","",IF(LEFT(LOWER(C82),10)="select_one ","select_one",IF(LOWER(C82)="date","date",IF(OR(LOWER(C82)="integer",LOWER(C82)="decimal",LOWER(C82)="range"),LOWER(C82),"sha256"))))</f>
        <v/>
      </c>
      <c r="G82">
        <f>IF(E82&lt;&gt;"INCLUDE","",IF(F82="date","yyyy-mm-dd",IF(F82="select_one","stored-choice-name",IF(F82="sha256","odk-lexical-utf8-sha256","odk-canonical-scalar"))))</f>
        <v/>
      </c>
      <c r="H82">
        <f>IF(E82&lt;&gt;"INCLUDE","","{"&amp;CHAR(34)&amp;"path"&amp;CHAR(34)&amp;":"&amp;CHAR(34)&amp;B82&amp;CHAR(34)&amp;","&amp;CHAR(34)&amp;"type"&amp;CHAR(34)&amp;":"&amp;CHAR(34)&amp;F82&amp;CHAR(34)&amp;","&amp;CHAR(34)&amp;"xlsform_type"&amp;CHAR(34)&amp;":"&amp;CHAR(34)&amp;C82&amp;CHAR(34)&amp;","&amp;CHAR(34)&amp;"commitment"&amp;CHAR(34)&amp;":"&amp;CHAR(34)&amp;IF(F82="sha256","text-utf8-sha256","value")&amp;CHAR(34)&amp;","&amp;CHAR(34)&amp;"transform"&amp;CHAR(34)&amp;":"&amp;CHAR(34)&amp;G82&amp;CHAR(34)&amp;"}")</f>
        <v/>
      </c>
      <c r="I82">
        <f>IF(E82&lt;&gt;"INCLUDE","","'|"&amp;B82&amp;"=', "&amp;IF(F82="date","if(string-length(string(${"&amp;B82&amp;"})) &gt; 0, format-date(${"&amp;B82&amp;"}, '%Y-%m-%d'), '')",IF(F82="sha256","digest(string(${"&amp;B82&amp;"}), 'SHA-256', 'hex')","string(${"&amp;B82&amp;"})")))</f>
        <v/>
      </c>
      <c r="J82">
        <f>IF(E82="INCLUDE","Included by explicit yes","Not included")</f>
        <v/>
      </c>
      <c r="K82">
        <f>K81&amp;IF(H82="","",","&amp;H82)</f>
        <v/>
      </c>
      <c r="L82">
        <f>L81&amp;IF(I82="","",","&amp;I82)</f>
        <v/>
      </c>
    </row>
    <row r="83">
      <c r="A83" t="n">
        <v>100</v>
      </c>
      <c r="B83">
        <f>survey!B100</f>
        <v/>
      </c>
      <c r="C83">
        <f>survey!A100</f>
        <v/>
      </c>
      <c r="D83" t="inlineStr"/>
      <c r="E83">
        <f>IF(OR(B83="",C83=""),"",IF(LOWER(D83)="yes","INCLUDE","EXCLUDE"))</f>
        <v/>
      </c>
      <c r="F83">
        <f>IF(E83&lt;&gt;"INCLUDE","",IF(LEFT(LOWER(C83),10)="select_one ","select_one",IF(LOWER(C83)="date","date",IF(OR(LOWER(C83)="integer",LOWER(C83)="decimal",LOWER(C83)="range"),LOWER(C83),"sha256"))))</f>
        <v/>
      </c>
      <c r="G83">
        <f>IF(E83&lt;&gt;"INCLUDE","",IF(F83="date","yyyy-mm-dd",IF(F83="select_one","stored-choice-name",IF(F83="sha256","odk-lexical-utf8-sha256","odk-canonical-scalar"))))</f>
        <v/>
      </c>
      <c r="H83">
        <f>IF(E83&lt;&gt;"INCLUDE","","{"&amp;CHAR(34)&amp;"path"&amp;CHAR(34)&amp;":"&amp;CHAR(34)&amp;B83&amp;CHAR(34)&amp;","&amp;CHAR(34)&amp;"type"&amp;CHAR(34)&amp;":"&amp;CHAR(34)&amp;F83&amp;CHAR(34)&amp;","&amp;CHAR(34)&amp;"xlsform_type"&amp;CHAR(34)&amp;":"&amp;CHAR(34)&amp;C83&amp;CHAR(34)&amp;","&amp;CHAR(34)&amp;"commitment"&amp;CHAR(34)&amp;":"&amp;CHAR(34)&amp;IF(F83="sha256","text-utf8-sha256","value")&amp;CHAR(34)&amp;","&amp;CHAR(34)&amp;"transform"&amp;CHAR(34)&amp;":"&amp;CHAR(34)&amp;G83&amp;CHAR(34)&amp;"}")</f>
        <v/>
      </c>
      <c r="I83">
        <f>IF(E83&lt;&gt;"INCLUDE","","'|"&amp;B83&amp;"=', "&amp;IF(F83="date","if(string-length(string(${"&amp;B83&amp;"})) &gt; 0, format-date(${"&amp;B83&amp;"}, '%Y-%m-%d'), '')",IF(F83="sha256","digest(string(${"&amp;B83&amp;"}), 'SHA-256', 'hex')","string(${"&amp;B83&amp;"})")))</f>
        <v/>
      </c>
      <c r="J83">
        <f>IF(E83="INCLUDE","Included by explicit yes","Not included")</f>
        <v/>
      </c>
      <c r="K83">
        <f>K82&amp;IF(H83="","",","&amp;H83)</f>
        <v/>
      </c>
      <c r="L83">
        <f>L82&amp;IF(I83="","",","&amp;I83)</f>
        <v/>
      </c>
    </row>
    <row r="84">
      <c r="A84" t="n">
        <v>101</v>
      </c>
      <c r="B84">
        <f>survey!B101</f>
        <v/>
      </c>
      <c r="C84">
        <f>survey!A101</f>
        <v/>
      </c>
      <c r="D84" t="inlineStr"/>
      <c r="E84">
        <f>IF(OR(B84="",C84=""),"",IF(LOWER(D84)="yes","INCLUDE","EXCLUDE"))</f>
        <v/>
      </c>
      <c r="F84">
        <f>IF(E84&lt;&gt;"INCLUDE","",IF(LEFT(LOWER(C84),10)="select_one ","select_one",IF(LOWER(C84)="date","date",IF(OR(LOWER(C84)="integer",LOWER(C84)="decimal",LOWER(C84)="range"),LOWER(C84),"sha256"))))</f>
        <v/>
      </c>
      <c r="G84">
        <f>IF(E84&lt;&gt;"INCLUDE","",IF(F84="date","yyyy-mm-dd",IF(F84="select_one","stored-choice-name",IF(F84="sha256","odk-lexical-utf8-sha256","odk-canonical-scalar"))))</f>
        <v/>
      </c>
      <c r="H84">
        <f>IF(E84&lt;&gt;"INCLUDE","","{"&amp;CHAR(34)&amp;"path"&amp;CHAR(34)&amp;":"&amp;CHAR(34)&amp;B84&amp;CHAR(34)&amp;","&amp;CHAR(34)&amp;"type"&amp;CHAR(34)&amp;":"&amp;CHAR(34)&amp;F84&amp;CHAR(34)&amp;","&amp;CHAR(34)&amp;"xlsform_type"&amp;CHAR(34)&amp;":"&amp;CHAR(34)&amp;C84&amp;CHAR(34)&amp;","&amp;CHAR(34)&amp;"commitment"&amp;CHAR(34)&amp;":"&amp;CHAR(34)&amp;IF(F84="sha256","text-utf8-sha256","value")&amp;CHAR(34)&amp;","&amp;CHAR(34)&amp;"transform"&amp;CHAR(34)&amp;":"&amp;CHAR(34)&amp;G84&amp;CHAR(34)&amp;"}")</f>
        <v/>
      </c>
      <c r="I84">
        <f>IF(E84&lt;&gt;"INCLUDE","","'|"&amp;B84&amp;"=', "&amp;IF(F84="date","if(string-length(string(${"&amp;B84&amp;"})) &gt; 0, format-date(${"&amp;B84&amp;"}, '%Y-%m-%d'), '')",IF(F84="sha256","digest(string(${"&amp;B84&amp;"}), 'SHA-256', 'hex')","string(${"&amp;B84&amp;"})")))</f>
        <v/>
      </c>
      <c r="J84">
        <f>IF(E84="INCLUDE","Included by explicit yes","Not included")</f>
        <v/>
      </c>
      <c r="K84">
        <f>K83&amp;IF(H84="","",","&amp;H84)</f>
        <v/>
      </c>
      <c r="L84">
        <f>L83&amp;IF(I84="","",","&amp;I84)</f>
        <v/>
      </c>
    </row>
    <row r="85">
      <c r="A85" t="n">
        <v>102</v>
      </c>
      <c r="B85">
        <f>survey!B102</f>
        <v/>
      </c>
      <c r="C85">
        <f>survey!A102</f>
        <v/>
      </c>
      <c r="D85" t="inlineStr"/>
      <c r="E85">
        <f>IF(OR(B85="",C85=""),"",IF(LOWER(D85)="yes","INCLUDE","EXCLUDE"))</f>
        <v/>
      </c>
      <c r="F85">
        <f>IF(E85&lt;&gt;"INCLUDE","",IF(LEFT(LOWER(C85),10)="select_one ","select_one",IF(LOWER(C85)="date","date",IF(OR(LOWER(C85)="integer",LOWER(C85)="decimal",LOWER(C85)="range"),LOWER(C85),"sha256"))))</f>
        <v/>
      </c>
      <c r="G85">
        <f>IF(E85&lt;&gt;"INCLUDE","",IF(F85="date","yyyy-mm-dd",IF(F85="select_one","stored-choice-name",IF(F85="sha256","odk-lexical-utf8-sha256","odk-canonical-scalar"))))</f>
        <v/>
      </c>
      <c r="H85">
        <f>IF(E85&lt;&gt;"INCLUDE","","{"&amp;CHAR(34)&amp;"path"&amp;CHAR(34)&amp;":"&amp;CHAR(34)&amp;B85&amp;CHAR(34)&amp;","&amp;CHAR(34)&amp;"type"&amp;CHAR(34)&amp;":"&amp;CHAR(34)&amp;F85&amp;CHAR(34)&amp;","&amp;CHAR(34)&amp;"xlsform_type"&amp;CHAR(34)&amp;":"&amp;CHAR(34)&amp;C85&amp;CHAR(34)&amp;","&amp;CHAR(34)&amp;"commitment"&amp;CHAR(34)&amp;":"&amp;CHAR(34)&amp;IF(F85="sha256","text-utf8-sha256","value")&amp;CHAR(34)&amp;","&amp;CHAR(34)&amp;"transform"&amp;CHAR(34)&amp;":"&amp;CHAR(34)&amp;G85&amp;CHAR(34)&amp;"}")</f>
        <v/>
      </c>
      <c r="I85">
        <f>IF(E85&lt;&gt;"INCLUDE","","'|"&amp;B85&amp;"=', "&amp;IF(F85="date","if(string-length(string(${"&amp;B85&amp;"})) &gt; 0, format-date(${"&amp;B85&amp;"}, '%Y-%m-%d'), '')",IF(F85="sha256","digest(string(${"&amp;B85&amp;"}), 'SHA-256', 'hex')","string(${"&amp;B85&amp;"})")))</f>
        <v/>
      </c>
      <c r="J85">
        <f>IF(E85="INCLUDE","Included by explicit yes","Not included")</f>
        <v/>
      </c>
      <c r="K85">
        <f>K84&amp;IF(H85="","",","&amp;H85)</f>
        <v/>
      </c>
      <c r="L85">
        <f>L84&amp;IF(I85="","",","&amp;I85)</f>
        <v/>
      </c>
    </row>
    <row r="86">
      <c r="A86" t="n">
        <v>103</v>
      </c>
      <c r="B86">
        <f>survey!B103</f>
        <v/>
      </c>
      <c r="C86">
        <f>survey!A103</f>
        <v/>
      </c>
      <c r="D86" t="inlineStr"/>
      <c r="E86">
        <f>IF(OR(B86="",C86=""),"",IF(LOWER(D86)="yes","INCLUDE","EXCLUDE"))</f>
        <v/>
      </c>
      <c r="F86">
        <f>IF(E86&lt;&gt;"INCLUDE","",IF(LEFT(LOWER(C86),10)="select_one ","select_one",IF(LOWER(C86)="date","date",IF(OR(LOWER(C86)="integer",LOWER(C86)="decimal",LOWER(C86)="range"),LOWER(C86),"sha256"))))</f>
        <v/>
      </c>
      <c r="G86">
        <f>IF(E86&lt;&gt;"INCLUDE","",IF(F86="date","yyyy-mm-dd",IF(F86="select_one","stored-choice-name",IF(F86="sha256","odk-lexical-utf8-sha256","odk-canonical-scalar"))))</f>
        <v/>
      </c>
      <c r="H86">
        <f>IF(E86&lt;&gt;"INCLUDE","","{"&amp;CHAR(34)&amp;"path"&amp;CHAR(34)&amp;":"&amp;CHAR(34)&amp;B86&amp;CHAR(34)&amp;","&amp;CHAR(34)&amp;"type"&amp;CHAR(34)&amp;":"&amp;CHAR(34)&amp;F86&amp;CHAR(34)&amp;","&amp;CHAR(34)&amp;"xlsform_type"&amp;CHAR(34)&amp;":"&amp;CHAR(34)&amp;C86&amp;CHAR(34)&amp;","&amp;CHAR(34)&amp;"commitment"&amp;CHAR(34)&amp;":"&amp;CHAR(34)&amp;IF(F86="sha256","text-utf8-sha256","value")&amp;CHAR(34)&amp;","&amp;CHAR(34)&amp;"transform"&amp;CHAR(34)&amp;":"&amp;CHAR(34)&amp;G86&amp;CHAR(34)&amp;"}")</f>
        <v/>
      </c>
      <c r="I86">
        <f>IF(E86&lt;&gt;"INCLUDE","","'|"&amp;B86&amp;"=', "&amp;IF(F86="date","if(string-length(string(${"&amp;B86&amp;"})) &gt; 0, format-date(${"&amp;B86&amp;"}, '%Y-%m-%d'), '')",IF(F86="sha256","digest(string(${"&amp;B86&amp;"}), 'SHA-256', 'hex')","string(${"&amp;B86&amp;"})")))</f>
        <v/>
      </c>
      <c r="J86">
        <f>IF(E86="INCLUDE","Included by explicit yes","Not included")</f>
        <v/>
      </c>
      <c r="K86">
        <f>K85&amp;IF(H86="","",","&amp;H86)</f>
        <v/>
      </c>
      <c r="L86">
        <f>L85&amp;IF(I86="","",","&amp;I86)</f>
        <v/>
      </c>
    </row>
    <row r="87">
      <c r="A87" t="n">
        <v>104</v>
      </c>
      <c r="B87">
        <f>survey!B104</f>
        <v/>
      </c>
      <c r="C87">
        <f>survey!A104</f>
        <v/>
      </c>
      <c r="D87" t="inlineStr"/>
      <c r="E87">
        <f>IF(OR(B87="",C87=""),"",IF(LOWER(D87)="yes","INCLUDE","EXCLUDE"))</f>
        <v/>
      </c>
      <c r="F87">
        <f>IF(E87&lt;&gt;"INCLUDE","",IF(LEFT(LOWER(C87),10)="select_one ","select_one",IF(LOWER(C87)="date","date",IF(OR(LOWER(C87)="integer",LOWER(C87)="decimal",LOWER(C87)="range"),LOWER(C87),"sha256"))))</f>
        <v/>
      </c>
      <c r="G87">
        <f>IF(E87&lt;&gt;"INCLUDE","",IF(F87="date","yyyy-mm-dd",IF(F87="select_one","stored-choice-name",IF(F87="sha256","odk-lexical-utf8-sha256","odk-canonical-scalar"))))</f>
        <v/>
      </c>
      <c r="H87">
        <f>IF(E87&lt;&gt;"INCLUDE","","{"&amp;CHAR(34)&amp;"path"&amp;CHAR(34)&amp;":"&amp;CHAR(34)&amp;B87&amp;CHAR(34)&amp;","&amp;CHAR(34)&amp;"type"&amp;CHAR(34)&amp;":"&amp;CHAR(34)&amp;F87&amp;CHAR(34)&amp;","&amp;CHAR(34)&amp;"xlsform_type"&amp;CHAR(34)&amp;":"&amp;CHAR(34)&amp;C87&amp;CHAR(34)&amp;","&amp;CHAR(34)&amp;"commitment"&amp;CHAR(34)&amp;":"&amp;CHAR(34)&amp;IF(F87="sha256","text-utf8-sha256","value")&amp;CHAR(34)&amp;","&amp;CHAR(34)&amp;"transform"&amp;CHAR(34)&amp;":"&amp;CHAR(34)&amp;G87&amp;CHAR(34)&amp;"}")</f>
        <v/>
      </c>
      <c r="I87">
        <f>IF(E87&lt;&gt;"INCLUDE","","'|"&amp;B87&amp;"=', "&amp;IF(F87="date","if(string-length(string(${"&amp;B87&amp;"})) &gt; 0, format-date(${"&amp;B87&amp;"}, '%Y-%m-%d'), '')",IF(F87="sha256","digest(string(${"&amp;B87&amp;"}), 'SHA-256', 'hex')","string(${"&amp;B87&amp;"})")))</f>
        <v/>
      </c>
      <c r="J87">
        <f>IF(E87="INCLUDE","Included by explicit yes","Not included")</f>
        <v/>
      </c>
      <c r="K87">
        <f>K86&amp;IF(H87="","",","&amp;H87)</f>
        <v/>
      </c>
      <c r="L87">
        <f>L86&amp;IF(I87="","",","&amp;I87)</f>
        <v/>
      </c>
    </row>
    <row r="88">
      <c r="A88" t="n">
        <v>105</v>
      </c>
      <c r="B88">
        <f>survey!B105</f>
        <v/>
      </c>
      <c r="C88">
        <f>survey!A105</f>
        <v/>
      </c>
      <c r="D88" t="inlineStr"/>
      <c r="E88">
        <f>IF(OR(B88="",C88=""),"",IF(LOWER(D88)="yes","INCLUDE","EXCLUDE"))</f>
        <v/>
      </c>
      <c r="F88">
        <f>IF(E88&lt;&gt;"INCLUDE","",IF(LEFT(LOWER(C88),10)="select_one ","select_one",IF(LOWER(C88)="date","date",IF(OR(LOWER(C88)="integer",LOWER(C88)="decimal",LOWER(C88)="range"),LOWER(C88),"sha256"))))</f>
        <v/>
      </c>
      <c r="G88">
        <f>IF(E88&lt;&gt;"INCLUDE","",IF(F88="date","yyyy-mm-dd",IF(F88="select_one","stored-choice-name",IF(F88="sha256","odk-lexical-utf8-sha256","odk-canonical-scalar"))))</f>
        <v/>
      </c>
      <c r="H88">
        <f>IF(E88&lt;&gt;"INCLUDE","","{"&amp;CHAR(34)&amp;"path"&amp;CHAR(34)&amp;":"&amp;CHAR(34)&amp;B88&amp;CHAR(34)&amp;","&amp;CHAR(34)&amp;"type"&amp;CHAR(34)&amp;":"&amp;CHAR(34)&amp;F88&amp;CHAR(34)&amp;","&amp;CHAR(34)&amp;"xlsform_type"&amp;CHAR(34)&amp;":"&amp;CHAR(34)&amp;C88&amp;CHAR(34)&amp;","&amp;CHAR(34)&amp;"commitment"&amp;CHAR(34)&amp;":"&amp;CHAR(34)&amp;IF(F88="sha256","text-utf8-sha256","value")&amp;CHAR(34)&amp;","&amp;CHAR(34)&amp;"transform"&amp;CHAR(34)&amp;":"&amp;CHAR(34)&amp;G88&amp;CHAR(34)&amp;"}")</f>
        <v/>
      </c>
      <c r="I88">
        <f>IF(E88&lt;&gt;"INCLUDE","","'|"&amp;B88&amp;"=', "&amp;IF(F88="date","if(string-length(string(${"&amp;B88&amp;"})) &gt; 0, format-date(${"&amp;B88&amp;"}, '%Y-%m-%d'), '')",IF(F88="sha256","digest(string(${"&amp;B88&amp;"}), 'SHA-256', 'hex')","string(${"&amp;B88&amp;"})")))</f>
        <v/>
      </c>
      <c r="J88">
        <f>IF(E88="INCLUDE","Included by explicit yes","Not included")</f>
        <v/>
      </c>
      <c r="K88">
        <f>K87&amp;IF(H88="","",","&amp;H88)</f>
        <v/>
      </c>
      <c r="L88">
        <f>L87&amp;IF(I88="","",","&amp;I88)</f>
        <v/>
      </c>
    </row>
    <row r="89">
      <c r="A89" t="n">
        <v>106</v>
      </c>
      <c r="B89">
        <f>survey!B106</f>
        <v/>
      </c>
      <c r="C89">
        <f>survey!A106</f>
        <v/>
      </c>
      <c r="D89" t="inlineStr"/>
      <c r="E89">
        <f>IF(OR(B89="",C89=""),"",IF(LOWER(D89)="yes","INCLUDE","EXCLUDE"))</f>
        <v/>
      </c>
      <c r="F89">
        <f>IF(E89&lt;&gt;"INCLUDE","",IF(LEFT(LOWER(C89),10)="select_one ","select_one",IF(LOWER(C89)="date","date",IF(OR(LOWER(C89)="integer",LOWER(C89)="decimal",LOWER(C89)="range"),LOWER(C89),"sha256"))))</f>
        <v/>
      </c>
      <c r="G89">
        <f>IF(E89&lt;&gt;"INCLUDE","",IF(F89="date","yyyy-mm-dd",IF(F89="select_one","stored-choice-name",IF(F89="sha256","odk-lexical-utf8-sha256","odk-canonical-scalar"))))</f>
        <v/>
      </c>
      <c r="H89">
        <f>IF(E89&lt;&gt;"INCLUDE","","{"&amp;CHAR(34)&amp;"path"&amp;CHAR(34)&amp;":"&amp;CHAR(34)&amp;B89&amp;CHAR(34)&amp;","&amp;CHAR(34)&amp;"type"&amp;CHAR(34)&amp;":"&amp;CHAR(34)&amp;F89&amp;CHAR(34)&amp;","&amp;CHAR(34)&amp;"xlsform_type"&amp;CHAR(34)&amp;":"&amp;CHAR(34)&amp;C89&amp;CHAR(34)&amp;","&amp;CHAR(34)&amp;"commitment"&amp;CHAR(34)&amp;":"&amp;CHAR(34)&amp;IF(F89="sha256","text-utf8-sha256","value")&amp;CHAR(34)&amp;","&amp;CHAR(34)&amp;"transform"&amp;CHAR(34)&amp;":"&amp;CHAR(34)&amp;G89&amp;CHAR(34)&amp;"}")</f>
        <v/>
      </c>
      <c r="I89">
        <f>IF(E89&lt;&gt;"INCLUDE","","'|"&amp;B89&amp;"=', "&amp;IF(F89="date","if(string-length(string(${"&amp;B89&amp;"})) &gt; 0, format-date(${"&amp;B89&amp;"}, '%Y-%m-%d'), '')",IF(F89="sha256","digest(string(${"&amp;B89&amp;"}), 'SHA-256', 'hex')","string(${"&amp;B89&amp;"})")))</f>
        <v/>
      </c>
      <c r="J89">
        <f>IF(E89="INCLUDE","Included by explicit yes","Not included")</f>
        <v/>
      </c>
      <c r="K89">
        <f>K88&amp;IF(H89="","",","&amp;H89)</f>
        <v/>
      </c>
      <c r="L89">
        <f>L88&amp;IF(I89="","",","&amp;I89)</f>
        <v/>
      </c>
    </row>
    <row r="90">
      <c r="A90" t="n">
        <v>107</v>
      </c>
      <c r="B90">
        <f>survey!B107</f>
        <v/>
      </c>
      <c r="C90">
        <f>survey!A107</f>
        <v/>
      </c>
      <c r="D90" t="inlineStr"/>
      <c r="E90">
        <f>IF(OR(B90="",C90=""),"",IF(LOWER(D90)="yes","INCLUDE","EXCLUDE"))</f>
        <v/>
      </c>
      <c r="F90">
        <f>IF(E90&lt;&gt;"INCLUDE","",IF(LEFT(LOWER(C90),10)="select_one ","select_one",IF(LOWER(C90)="date","date",IF(OR(LOWER(C90)="integer",LOWER(C90)="decimal",LOWER(C90)="range"),LOWER(C90),"sha256"))))</f>
        <v/>
      </c>
      <c r="G90">
        <f>IF(E90&lt;&gt;"INCLUDE","",IF(F90="date","yyyy-mm-dd",IF(F90="select_one","stored-choice-name",IF(F90="sha256","odk-lexical-utf8-sha256","odk-canonical-scalar"))))</f>
        <v/>
      </c>
      <c r="H90">
        <f>IF(E90&lt;&gt;"INCLUDE","","{"&amp;CHAR(34)&amp;"path"&amp;CHAR(34)&amp;":"&amp;CHAR(34)&amp;B90&amp;CHAR(34)&amp;","&amp;CHAR(34)&amp;"type"&amp;CHAR(34)&amp;":"&amp;CHAR(34)&amp;F90&amp;CHAR(34)&amp;","&amp;CHAR(34)&amp;"xlsform_type"&amp;CHAR(34)&amp;":"&amp;CHAR(34)&amp;C90&amp;CHAR(34)&amp;","&amp;CHAR(34)&amp;"commitment"&amp;CHAR(34)&amp;":"&amp;CHAR(34)&amp;IF(F90="sha256","text-utf8-sha256","value")&amp;CHAR(34)&amp;","&amp;CHAR(34)&amp;"transform"&amp;CHAR(34)&amp;":"&amp;CHAR(34)&amp;G90&amp;CHAR(34)&amp;"}")</f>
        <v/>
      </c>
      <c r="I90">
        <f>IF(E90&lt;&gt;"INCLUDE","","'|"&amp;B90&amp;"=', "&amp;IF(F90="date","if(string-length(string(${"&amp;B90&amp;"})) &gt; 0, format-date(${"&amp;B90&amp;"}, '%Y-%m-%d'), '')",IF(F90="sha256","digest(string(${"&amp;B90&amp;"}), 'SHA-256', 'hex')","string(${"&amp;B90&amp;"})")))</f>
        <v/>
      </c>
      <c r="J90">
        <f>IF(E90="INCLUDE","Included by explicit yes","Not included")</f>
        <v/>
      </c>
      <c r="K90">
        <f>K89&amp;IF(H90="","",","&amp;H90)</f>
        <v/>
      </c>
      <c r="L90">
        <f>L89&amp;IF(I90="","",","&amp;I90)</f>
        <v/>
      </c>
    </row>
    <row r="91">
      <c r="A91" t="n">
        <v>108</v>
      </c>
      <c r="B91">
        <f>survey!B108</f>
        <v/>
      </c>
      <c r="C91">
        <f>survey!A108</f>
        <v/>
      </c>
      <c r="D91" t="inlineStr"/>
      <c r="E91">
        <f>IF(OR(B91="",C91=""),"",IF(LOWER(D91)="yes","INCLUDE","EXCLUDE"))</f>
        <v/>
      </c>
      <c r="F91">
        <f>IF(E91&lt;&gt;"INCLUDE","",IF(LEFT(LOWER(C91),10)="select_one ","select_one",IF(LOWER(C91)="date","date",IF(OR(LOWER(C91)="integer",LOWER(C91)="decimal",LOWER(C91)="range"),LOWER(C91),"sha256"))))</f>
        <v/>
      </c>
      <c r="G91">
        <f>IF(E91&lt;&gt;"INCLUDE","",IF(F91="date","yyyy-mm-dd",IF(F91="select_one","stored-choice-name",IF(F91="sha256","odk-lexical-utf8-sha256","odk-canonical-scalar"))))</f>
        <v/>
      </c>
      <c r="H91">
        <f>IF(E91&lt;&gt;"INCLUDE","","{"&amp;CHAR(34)&amp;"path"&amp;CHAR(34)&amp;":"&amp;CHAR(34)&amp;B91&amp;CHAR(34)&amp;","&amp;CHAR(34)&amp;"type"&amp;CHAR(34)&amp;":"&amp;CHAR(34)&amp;F91&amp;CHAR(34)&amp;","&amp;CHAR(34)&amp;"xlsform_type"&amp;CHAR(34)&amp;":"&amp;CHAR(34)&amp;C91&amp;CHAR(34)&amp;","&amp;CHAR(34)&amp;"commitment"&amp;CHAR(34)&amp;":"&amp;CHAR(34)&amp;IF(F91="sha256","text-utf8-sha256","value")&amp;CHAR(34)&amp;","&amp;CHAR(34)&amp;"transform"&amp;CHAR(34)&amp;":"&amp;CHAR(34)&amp;G91&amp;CHAR(34)&amp;"}")</f>
        <v/>
      </c>
      <c r="I91">
        <f>IF(E91&lt;&gt;"INCLUDE","","'|"&amp;B91&amp;"=', "&amp;IF(F91="date","if(string-length(string(${"&amp;B91&amp;"})) &gt; 0, format-date(${"&amp;B91&amp;"}, '%Y-%m-%d'), '')",IF(F91="sha256","digest(string(${"&amp;B91&amp;"}), 'SHA-256', 'hex')","string(${"&amp;B91&amp;"})")))</f>
        <v/>
      </c>
      <c r="J91">
        <f>IF(E91="INCLUDE","Included by explicit yes","Not included")</f>
        <v/>
      </c>
      <c r="K91">
        <f>K90&amp;IF(H91="","",","&amp;H91)</f>
        <v/>
      </c>
      <c r="L91">
        <f>L90&amp;IF(I91="","",","&amp;I91)</f>
        <v/>
      </c>
    </row>
    <row r="92">
      <c r="A92" t="n">
        <v>109</v>
      </c>
      <c r="B92">
        <f>survey!B109</f>
        <v/>
      </c>
      <c r="C92">
        <f>survey!A109</f>
        <v/>
      </c>
      <c r="D92" t="inlineStr"/>
      <c r="E92">
        <f>IF(OR(B92="",C92=""),"",IF(LOWER(D92)="yes","INCLUDE","EXCLUDE"))</f>
        <v/>
      </c>
      <c r="F92">
        <f>IF(E92&lt;&gt;"INCLUDE","",IF(LEFT(LOWER(C92),10)="select_one ","select_one",IF(LOWER(C92)="date","date",IF(OR(LOWER(C92)="integer",LOWER(C92)="decimal",LOWER(C92)="range"),LOWER(C92),"sha256"))))</f>
        <v/>
      </c>
      <c r="G92">
        <f>IF(E92&lt;&gt;"INCLUDE","",IF(F92="date","yyyy-mm-dd",IF(F92="select_one","stored-choice-name",IF(F92="sha256","odk-lexical-utf8-sha256","odk-canonical-scalar"))))</f>
        <v/>
      </c>
      <c r="H92">
        <f>IF(E92&lt;&gt;"INCLUDE","","{"&amp;CHAR(34)&amp;"path"&amp;CHAR(34)&amp;":"&amp;CHAR(34)&amp;B92&amp;CHAR(34)&amp;","&amp;CHAR(34)&amp;"type"&amp;CHAR(34)&amp;":"&amp;CHAR(34)&amp;F92&amp;CHAR(34)&amp;","&amp;CHAR(34)&amp;"xlsform_type"&amp;CHAR(34)&amp;":"&amp;CHAR(34)&amp;C92&amp;CHAR(34)&amp;","&amp;CHAR(34)&amp;"commitment"&amp;CHAR(34)&amp;":"&amp;CHAR(34)&amp;IF(F92="sha256","text-utf8-sha256","value")&amp;CHAR(34)&amp;","&amp;CHAR(34)&amp;"transform"&amp;CHAR(34)&amp;":"&amp;CHAR(34)&amp;G92&amp;CHAR(34)&amp;"}")</f>
        <v/>
      </c>
      <c r="I92">
        <f>IF(E92&lt;&gt;"INCLUDE","","'|"&amp;B92&amp;"=', "&amp;IF(F92="date","if(string-length(string(${"&amp;B92&amp;"})) &gt; 0, format-date(${"&amp;B92&amp;"}, '%Y-%m-%d'), '')",IF(F92="sha256","digest(string(${"&amp;B92&amp;"}), 'SHA-256', 'hex')","string(${"&amp;B92&amp;"})")))</f>
        <v/>
      </c>
      <c r="J92">
        <f>IF(E92="INCLUDE","Included by explicit yes","Not included")</f>
        <v/>
      </c>
      <c r="K92">
        <f>K91&amp;IF(H92="","",","&amp;H92)</f>
        <v/>
      </c>
      <c r="L92">
        <f>L91&amp;IF(I92="","",","&amp;I92)</f>
        <v/>
      </c>
    </row>
    <row r="93">
      <c r="A93" t="n">
        <v>110</v>
      </c>
      <c r="B93">
        <f>survey!B110</f>
        <v/>
      </c>
      <c r="C93">
        <f>survey!A110</f>
        <v/>
      </c>
      <c r="D93" t="inlineStr"/>
      <c r="E93">
        <f>IF(OR(B93="",C93=""),"",IF(LOWER(D93)="yes","INCLUDE","EXCLUDE"))</f>
        <v/>
      </c>
      <c r="F93">
        <f>IF(E93&lt;&gt;"INCLUDE","",IF(LEFT(LOWER(C93),10)="select_one ","select_one",IF(LOWER(C93)="date","date",IF(OR(LOWER(C93)="integer",LOWER(C93)="decimal",LOWER(C93)="range"),LOWER(C93),"sha256"))))</f>
        <v/>
      </c>
      <c r="G93">
        <f>IF(E93&lt;&gt;"INCLUDE","",IF(F93="date","yyyy-mm-dd",IF(F93="select_one","stored-choice-name",IF(F93="sha256","odk-lexical-utf8-sha256","odk-canonical-scalar"))))</f>
        <v/>
      </c>
      <c r="H93">
        <f>IF(E93&lt;&gt;"INCLUDE","","{"&amp;CHAR(34)&amp;"path"&amp;CHAR(34)&amp;":"&amp;CHAR(34)&amp;B93&amp;CHAR(34)&amp;","&amp;CHAR(34)&amp;"type"&amp;CHAR(34)&amp;":"&amp;CHAR(34)&amp;F93&amp;CHAR(34)&amp;","&amp;CHAR(34)&amp;"xlsform_type"&amp;CHAR(34)&amp;":"&amp;CHAR(34)&amp;C93&amp;CHAR(34)&amp;","&amp;CHAR(34)&amp;"commitment"&amp;CHAR(34)&amp;":"&amp;CHAR(34)&amp;IF(F93="sha256","text-utf8-sha256","value")&amp;CHAR(34)&amp;","&amp;CHAR(34)&amp;"transform"&amp;CHAR(34)&amp;":"&amp;CHAR(34)&amp;G93&amp;CHAR(34)&amp;"}")</f>
        <v/>
      </c>
      <c r="I93">
        <f>IF(E93&lt;&gt;"INCLUDE","","'|"&amp;B93&amp;"=', "&amp;IF(F93="date","if(string-length(string(${"&amp;B93&amp;"})) &gt; 0, format-date(${"&amp;B93&amp;"}, '%Y-%m-%d'), '')",IF(F93="sha256","digest(string(${"&amp;B93&amp;"}), 'SHA-256', 'hex')","string(${"&amp;B93&amp;"})")))</f>
        <v/>
      </c>
      <c r="J93">
        <f>IF(E93="INCLUDE","Included by explicit yes","Not included")</f>
        <v/>
      </c>
      <c r="K93">
        <f>K92&amp;IF(H93="","",","&amp;H93)</f>
        <v/>
      </c>
      <c r="L93">
        <f>L92&amp;IF(I93="","",","&amp;I93)</f>
        <v/>
      </c>
    </row>
    <row r="94">
      <c r="A94" t="n">
        <v>111</v>
      </c>
      <c r="B94">
        <f>survey!B111</f>
        <v/>
      </c>
      <c r="C94">
        <f>survey!A111</f>
        <v/>
      </c>
      <c r="D94" t="inlineStr"/>
      <c r="E94">
        <f>IF(OR(B94="",C94=""),"",IF(LOWER(D94)="yes","INCLUDE","EXCLUDE"))</f>
        <v/>
      </c>
      <c r="F94">
        <f>IF(E94&lt;&gt;"INCLUDE","",IF(LEFT(LOWER(C94),10)="select_one ","select_one",IF(LOWER(C94)="date","date",IF(OR(LOWER(C94)="integer",LOWER(C94)="decimal",LOWER(C94)="range"),LOWER(C94),"sha256"))))</f>
        <v/>
      </c>
      <c r="G94">
        <f>IF(E94&lt;&gt;"INCLUDE","",IF(F94="date","yyyy-mm-dd",IF(F94="select_one","stored-choice-name",IF(F94="sha256","odk-lexical-utf8-sha256","odk-canonical-scalar"))))</f>
        <v/>
      </c>
      <c r="H94">
        <f>IF(E94&lt;&gt;"INCLUDE","","{"&amp;CHAR(34)&amp;"path"&amp;CHAR(34)&amp;":"&amp;CHAR(34)&amp;B94&amp;CHAR(34)&amp;","&amp;CHAR(34)&amp;"type"&amp;CHAR(34)&amp;":"&amp;CHAR(34)&amp;F94&amp;CHAR(34)&amp;","&amp;CHAR(34)&amp;"xlsform_type"&amp;CHAR(34)&amp;":"&amp;CHAR(34)&amp;C94&amp;CHAR(34)&amp;","&amp;CHAR(34)&amp;"commitment"&amp;CHAR(34)&amp;":"&amp;CHAR(34)&amp;IF(F94="sha256","text-utf8-sha256","value")&amp;CHAR(34)&amp;","&amp;CHAR(34)&amp;"transform"&amp;CHAR(34)&amp;":"&amp;CHAR(34)&amp;G94&amp;CHAR(34)&amp;"}")</f>
        <v/>
      </c>
      <c r="I94">
        <f>IF(E94&lt;&gt;"INCLUDE","","'|"&amp;B94&amp;"=', "&amp;IF(F94="date","if(string-length(string(${"&amp;B94&amp;"})) &gt; 0, format-date(${"&amp;B94&amp;"}, '%Y-%m-%d'), '')",IF(F94="sha256","digest(string(${"&amp;B94&amp;"}), 'SHA-256', 'hex')","string(${"&amp;B94&amp;"})")))</f>
        <v/>
      </c>
      <c r="J94">
        <f>IF(E94="INCLUDE","Included by explicit yes","Not included")</f>
        <v/>
      </c>
      <c r="K94">
        <f>K93&amp;IF(H94="","",","&amp;H94)</f>
        <v/>
      </c>
      <c r="L94">
        <f>L93&amp;IF(I94="","",","&amp;I94)</f>
        <v/>
      </c>
    </row>
    <row r="95">
      <c r="A95" t="n">
        <v>112</v>
      </c>
      <c r="B95">
        <f>survey!B112</f>
        <v/>
      </c>
      <c r="C95">
        <f>survey!A112</f>
        <v/>
      </c>
      <c r="D95" t="inlineStr"/>
      <c r="E95">
        <f>IF(OR(B95="",C95=""),"",IF(LOWER(D95)="yes","INCLUDE","EXCLUDE"))</f>
        <v/>
      </c>
      <c r="F95">
        <f>IF(E95&lt;&gt;"INCLUDE","",IF(LEFT(LOWER(C95),10)="select_one ","select_one",IF(LOWER(C95)="date","date",IF(OR(LOWER(C95)="integer",LOWER(C95)="decimal",LOWER(C95)="range"),LOWER(C95),"sha256"))))</f>
        <v/>
      </c>
      <c r="G95">
        <f>IF(E95&lt;&gt;"INCLUDE","",IF(F95="date","yyyy-mm-dd",IF(F95="select_one","stored-choice-name",IF(F95="sha256","odk-lexical-utf8-sha256","odk-canonical-scalar"))))</f>
        <v/>
      </c>
      <c r="H95">
        <f>IF(E95&lt;&gt;"INCLUDE","","{"&amp;CHAR(34)&amp;"path"&amp;CHAR(34)&amp;":"&amp;CHAR(34)&amp;B95&amp;CHAR(34)&amp;","&amp;CHAR(34)&amp;"type"&amp;CHAR(34)&amp;":"&amp;CHAR(34)&amp;F95&amp;CHAR(34)&amp;","&amp;CHAR(34)&amp;"xlsform_type"&amp;CHAR(34)&amp;":"&amp;CHAR(34)&amp;C95&amp;CHAR(34)&amp;","&amp;CHAR(34)&amp;"commitment"&amp;CHAR(34)&amp;":"&amp;CHAR(34)&amp;IF(F95="sha256","text-utf8-sha256","value")&amp;CHAR(34)&amp;","&amp;CHAR(34)&amp;"transform"&amp;CHAR(34)&amp;":"&amp;CHAR(34)&amp;G95&amp;CHAR(34)&amp;"}")</f>
        <v/>
      </c>
      <c r="I95">
        <f>IF(E95&lt;&gt;"INCLUDE","","'|"&amp;B95&amp;"=', "&amp;IF(F95="date","if(string-length(string(${"&amp;B95&amp;"})) &gt; 0, format-date(${"&amp;B95&amp;"}, '%Y-%m-%d'), '')",IF(F95="sha256","digest(string(${"&amp;B95&amp;"}), 'SHA-256', 'hex')","string(${"&amp;B95&amp;"})")))</f>
        <v/>
      </c>
      <c r="J95">
        <f>IF(E95="INCLUDE","Included by explicit yes","Not included")</f>
        <v/>
      </c>
      <c r="K95">
        <f>K94&amp;IF(H95="","",","&amp;H95)</f>
        <v/>
      </c>
      <c r="L95">
        <f>L94&amp;IF(I95="","",","&amp;I95)</f>
        <v/>
      </c>
    </row>
    <row r="96">
      <c r="A96" t="n">
        <v>113</v>
      </c>
      <c r="B96">
        <f>survey!B113</f>
        <v/>
      </c>
      <c r="C96">
        <f>survey!A113</f>
        <v/>
      </c>
      <c r="D96" t="inlineStr"/>
      <c r="E96">
        <f>IF(OR(B96="",C96=""),"",IF(LOWER(D96)="yes","INCLUDE","EXCLUDE"))</f>
        <v/>
      </c>
      <c r="F96">
        <f>IF(E96&lt;&gt;"INCLUDE","",IF(LEFT(LOWER(C96),10)="select_one ","select_one",IF(LOWER(C96)="date","date",IF(OR(LOWER(C96)="integer",LOWER(C96)="decimal",LOWER(C96)="range"),LOWER(C96),"sha256"))))</f>
        <v/>
      </c>
      <c r="G96">
        <f>IF(E96&lt;&gt;"INCLUDE","",IF(F96="date","yyyy-mm-dd",IF(F96="select_one","stored-choice-name",IF(F96="sha256","odk-lexical-utf8-sha256","odk-canonical-scalar"))))</f>
        <v/>
      </c>
      <c r="H96">
        <f>IF(E96&lt;&gt;"INCLUDE","","{"&amp;CHAR(34)&amp;"path"&amp;CHAR(34)&amp;":"&amp;CHAR(34)&amp;B96&amp;CHAR(34)&amp;","&amp;CHAR(34)&amp;"type"&amp;CHAR(34)&amp;":"&amp;CHAR(34)&amp;F96&amp;CHAR(34)&amp;","&amp;CHAR(34)&amp;"xlsform_type"&amp;CHAR(34)&amp;":"&amp;CHAR(34)&amp;C96&amp;CHAR(34)&amp;","&amp;CHAR(34)&amp;"commitment"&amp;CHAR(34)&amp;":"&amp;CHAR(34)&amp;IF(F96="sha256","text-utf8-sha256","value")&amp;CHAR(34)&amp;","&amp;CHAR(34)&amp;"transform"&amp;CHAR(34)&amp;":"&amp;CHAR(34)&amp;G96&amp;CHAR(34)&amp;"}")</f>
        <v/>
      </c>
      <c r="I96">
        <f>IF(E96&lt;&gt;"INCLUDE","","'|"&amp;B96&amp;"=', "&amp;IF(F96="date","if(string-length(string(${"&amp;B96&amp;"})) &gt; 0, format-date(${"&amp;B96&amp;"}, '%Y-%m-%d'), '')",IF(F96="sha256","digest(string(${"&amp;B96&amp;"}), 'SHA-256', 'hex')","string(${"&amp;B96&amp;"})")))</f>
        <v/>
      </c>
      <c r="J96">
        <f>IF(E96="INCLUDE","Included by explicit yes","Not included")</f>
        <v/>
      </c>
      <c r="K96">
        <f>K95&amp;IF(H96="","",","&amp;H96)</f>
        <v/>
      </c>
      <c r="L96">
        <f>L95&amp;IF(I96="","",","&amp;I96)</f>
        <v/>
      </c>
    </row>
    <row r="97">
      <c r="A97" t="n">
        <v>114</v>
      </c>
      <c r="B97">
        <f>survey!B114</f>
        <v/>
      </c>
      <c r="C97">
        <f>survey!A114</f>
        <v/>
      </c>
      <c r="D97" t="inlineStr"/>
      <c r="E97">
        <f>IF(OR(B97="",C97=""),"",IF(LOWER(D97)="yes","INCLUDE","EXCLUDE"))</f>
        <v/>
      </c>
      <c r="F97">
        <f>IF(E97&lt;&gt;"INCLUDE","",IF(LEFT(LOWER(C97),10)="select_one ","select_one",IF(LOWER(C97)="date","date",IF(OR(LOWER(C97)="integer",LOWER(C97)="decimal",LOWER(C97)="range"),LOWER(C97),"sha256"))))</f>
        <v/>
      </c>
      <c r="G97">
        <f>IF(E97&lt;&gt;"INCLUDE","",IF(F97="date","yyyy-mm-dd",IF(F97="select_one","stored-choice-name",IF(F97="sha256","odk-lexical-utf8-sha256","odk-canonical-scalar"))))</f>
        <v/>
      </c>
      <c r="H97">
        <f>IF(E97&lt;&gt;"INCLUDE","","{"&amp;CHAR(34)&amp;"path"&amp;CHAR(34)&amp;":"&amp;CHAR(34)&amp;B97&amp;CHAR(34)&amp;","&amp;CHAR(34)&amp;"type"&amp;CHAR(34)&amp;":"&amp;CHAR(34)&amp;F97&amp;CHAR(34)&amp;","&amp;CHAR(34)&amp;"xlsform_type"&amp;CHAR(34)&amp;":"&amp;CHAR(34)&amp;C97&amp;CHAR(34)&amp;","&amp;CHAR(34)&amp;"commitment"&amp;CHAR(34)&amp;":"&amp;CHAR(34)&amp;IF(F97="sha256","text-utf8-sha256","value")&amp;CHAR(34)&amp;","&amp;CHAR(34)&amp;"transform"&amp;CHAR(34)&amp;":"&amp;CHAR(34)&amp;G97&amp;CHAR(34)&amp;"}")</f>
        <v/>
      </c>
      <c r="I97">
        <f>IF(E97&lt;&gt;"INCLUDE","","'|"&amp;B97&amp;"=', "&amp;IF(F97="date","if(string-length(string(${"&amp;B97&amp;"})) &gt; 0, format-date(${"&amp;B97&amp;"}, '%Y-%m-%d'), '')",IF(F97="sha256","digest(string(${"&amp;B97&amp;"}), 'SHA-256', 'hex')","string(${"&amp;B97&amp;"})")))</f>
        <v/>
      </c>
      <c r="J97">
        <f>IF(E97="INCLUDE","Included by explicit yes","Not included")</f>
        <v/>
      </c>
      <c r="K97">
        <f>K96&amp;IF(H97="","",","&amp;H97)</f>
        <v/>
      </c>
      <c r="L97">
        <f>L96&amp;IF(I97="","",","&amp;I97)</f>
        <v/>
      </c>
    </row>
    <row r="98">
      <c r="A98" t="n">
        <v>115</v>
      </c>
      <c r="B98">
        <f>survey!B115</f>
        <v/>
      </c>
      <c r="C98">
        <f>survey!A115</f>
        <v/>
      </c>
      <c r="D98" t="inlineStr"/>
      <c r="E98">
        <f>IF(OR(B98="",C98=""),"",IF(LOWER(D98)="yes","INCLUDE","EXCLUDE"))</f>
        <v/>
      </c>
      <c r="F98">
        <f>IF(E98&lt;&gt;"INCLUDE","",IF(LEFT(LOWER(C98),10)="select_one ","select_one",IF(LOWER(C98)="date","date",IF(OR(LOWER(C98)="integer",LOWER(C98)="decimal",LOWER(C98)="range"),LOWER(C98),"sha256"))))</f>
        <v/>
      </c>
      <c r="G98">
        <f>IF(E98&lt;&gt;"INCLUDE","",IF(F98="date","yyyy-mm-dd",IF(F98="select_one","stored-choice-name",IF(F98="sha256","odk-lexical-utf8-sha256","odk-canonical-scalar"))))</f>
        <v/>
      </c>
      <c r="H98">
        <f>IF(E98&lt;&gt;"INCLUDE","","{"&amp;CHAR(34)&amp;"path"&amp;CHAR(34)&amp;":"&amp;CHAR(34)&amp;B98&amp;CHAR(34)&amp;","&amp;CHAR(34)&amp;"type"&amp;CHAR(34)&amp;":"&amp;CHAR(34)&amp;F98&amp;CHAR(34)&amp;","&amp;CHAR(34)&amp;"xlsform_type"&amp;CHAR(34)&amp;":"&amp;CHAR(34)&amp;C98&amp;CHAR(34)&amp;","&amp;CHAR(34)&amp;"commitment"&amp;CHAR(34)&amp;":"&amp;CHAR(34)&amp;IF(F98="sha256","text-utf8-sha256","value")&amp;CHAR(34)&amp;","&amp;CHAR(34)&amp;"transform"&amp;CHAR(34)&amp;":"&amp;CHAR(34)&amp;G98&amp;CHAR(34)&amp;"}")</f>
        <v/>
      </c>
      <c r="I98">
        <f>IF(E98&lt;&gt;"INCLUDE","","'|"&amp;B98&amp;"=', "&amp;IF(F98="date","if(string-length(string(${"&amp;B98&amp;"})) &gt; 0, format-date(${"&amp;B98&amp;"}, '%Y-%m-%d'), '')",IF(F98="sha256","digest(string(${"&amp;B98&amp;"}), 'SHA-256', 'hex')","string(${"&amp;B98&amp;"})")))</f>
        <v/>
      </c>
      <c r="J98">
        <f>IF(E98="INCLUDE","Included by explicit yes","Not included")</f>
        <v/>
      </c>
      <c r="K98">
        <f>K97&amp;IF(H98="","",","&amp;H98)</f>
        <v/>
      </c>
      <c r="L98">
        <f>L97&amp;IF(I98="","",","&amp;I98)</f>
        <v/>
      </c>
    </row>
    <row r="99">
      <c r="A99" t="n">
        <v>116</v>
      </c>
      <c r="B99">
        <f>survey!B116</f>
        <v/>
      </c>
      <c r="C99">
        <f>survey!A116</f>
        <v/>
      </c>
      <c r="D99" t="inlineStr"/>
      <c r="E99">
        <f>IF(OR(B99="",C99=""),"",IF(LOWER(D99)="yes","INCLUDE","EXCLUDE"))</f>
        <v/>
      </c>
      <c r="F99">
        <f>IF(E99&lt;&gt;"INCLUDE","",IF(LEFT(LOWER(C99),10)="select_one ","select_one",IF(LOWER(C99)="date","date",IF(OR(LOWER(C99)="integer",LOWER(C99)="decimal",LOWER(C99)="range"),LOWER(C99),"sha256"))))</f>
        <v/>
      </c>
      <c r="G99">
        <f>IF(E99&lt;&gt;"INCLUDE","",IF(F99="date","yyyy-mm-dd",IF(F99="select_one","stored-choice-name",IF(F99="sha256","odk-lexical-utf8-sha256","odk-canonical-scalar"))))</f>
        <v/>
      </c>
      <c r="H99">
        <f>IF(E99&lt;&gt;"INCLUDE","","{"&amp;CHAR(34)&amp;"path"&amp;CHAR(34)&amp;":"&amp;CHAR(34)&amp;B99&amp;CHAR(34)&amp;","&amp;CHAR(34)&amp;"type"&amp;CHAR(34)&amp;":"&amp;CHAR(34)&amp;F99&amp;CHAR(34)&amp;","&amp;CHAR(34)&amp;"xlsform_type"&amp;CHAR(34)&amp;":"&amp;CHAR(34)&amp;C99&amp;CHAR(34)&amp;","&amp;CHAR(34)&amp;"commitment"&amp;CHAR(34)&amp;":"&amp;CHAR(34)&amp;IF(F99="sha256","text-utf8-sha256","value")&amp;CHAR(34)&amp;","&amp;CHAR(34)&amp;"transform"&amp;CHAR(34)&amp;":"&amp;CHAR(34)&amp;G99&amp;CHAR(34)&amp;"}")</f>
        <v/>
      </c>
      <c r="I99">
        <f>IF(E99&lt;&gt;"INCLUDE","","'|"&amp;B99&amp;"=', "&amp;IF(F99="date","if(string-length(string(${"&amp;B99&amp;"})) &gt; 0, format-date(${"&amp;B99&amp;"}, '%Y-%m-%d'), '')",IF(F99="sha256","digest(string(${"&amp;B99&amp;"}), 'SHA-256', 'hex')","string(${"&amp;B99&amp;"})")))</f>
        <v/>
      </c>
      <c r="J99">
        <f>IF(E99="INCLUDE","Included by explicit yes","Not included")</f>
        <v/>
      </c>
      <c r="K99">
        <f>K98&amp;IF(H99="","",","&amp;H99)</f>
        <v/>
      </c>
      <c r="L99">
        <f>L98&amp;IF(I99="","",","&amp;I99)</f>
        <v/>
      </c>
    </row>
    <row r="100">
      <c r="A100" t="n">
        <v>117</v>
      </c>
      <c r="B100">
        <f>survey!B117</f>
        <v/>
      </c>
      <c r="C100">
        <f>survey!A117</f>
        <v/>
      </c>
      <c r="D100" t="inlineStr"/>
      <c r="E100">
        <f>IF(OR(B100="",C100=""),"",IF(LOWER(D100)="yes","INCLUDE","EXCLUDE"))</f>
        <v/>
      </c>
      <c r="F100">
        <f>IF(E100&lt;&gt;"INCLUDE","",IF(LEFT(LOWER(C100),10)="select_one ","select_one",IF(LOWER(C100)="date","date",IF(OR(LOWER(C100)="integer",LOWER(C100)="decimal",LOWER(C100)="range"),LOWER(C100),"sha256"))))</f>
        <v/>
      </c>
      <c r="G100">
        <f>IF(E100&lt;&gt;"INCLUDE","",IF(F100="date","yyyy-mm-dd",IF(F100="select_one","stored-choice-name",IF(F100="sha256","odk-lexical-utf8-sha256","odk-canonical-scalar"))))</f>
        <v/>
      </c>
      <c r="H100">
        <f>IF(E100&lt;&gt;"INCLUDE","","{"&amp;CHAR(34)&amp;"path"&amp;CHAR(34)&amp;":"&amp;CHAR(34)&amp;B100&amp;CHAR(34)&amp;","&amp;CHAR(34)&amp;"type"&amp;CHAR(34)&amp;":"&amp;CHAR(34)&amp;F100&amp;CHAR(34)&amp;","&amp;CHAR(34)&amp;"xlsform_type"&amp;CHAR(34)&amp;":"&amp;CHAR(34)&amp;C100&amp;CHAR(34)&amp;","&amp;CHAR(34)&amp;"commitment"&amp;CHAR(34)&amp;":"&amp;CHAR(34)&amp;IF(F100="sha256","text-utf8-sha256","value")&amp;CHAR(34)&amp;","&amp;CHAR(34)&amp;"transform"&amp;CHAR(34)&amp;":"&amp;CHAR(34)&amp;G100&amp;CHAR(34)&amp;"}")</f>
        <v/>
      </c>
      <c r="I100">
        <f>IF(E100&lt;&gt;"INCLUDE","","'|"&amp;B100&amp;"=', "&amp;IF(F100="date","if(string-length(string(${"&amp;B100&amp;"})) &gt; 0, format-date(${"&amp;B100&amp;"}, '%Y-%m-%d'), '')",IF(F100="sha256","digest(string(${"&amp;B100&amp;"}), 'SHA-256', 'hex')","string(${"&amp;B100&amp;"})")))</f>
        <v/>
      </c>
      <c r="J100">
        <f>IF(E100="INCLUDE","Included by explicit yes","Not included")</f>
        <v/>
      </c>
      <c r="K100">
        <f>K99&amp;IF(H100="","",","&amp;H100)</f>
        <v/>
      </c>
      <c r="L100">
        <f>L99&amp;IF(I100="","",","&amp;I100)</f>
        <v/>
      </c>
    </row>
    <row r="101">
      <c r="A101" t="n">
        <v>118</v>
      </c>
      <c r="B101">
        <f>survey!B118</f>
        <v/>
      </c>
      <c r="C101">
        <f>survey!A118</f>
        <v/>
      </c>
      <c r="D101" t="inlineStr"/>
      <c r="E101">
        <f>IF(OR(B101="",C101=""),"",IF(LOWER(D101)="yes","INCLUDE","EXCLUDE"))</f>
        <v/>
      </c>
      <c r="F101">
        <f>IF(E101&lt;&gt;"INCLUDE","",IF(LEFT(LOWER(C101),10)="select_one ","select_one",IF(LOWER(C101)="date","date",IF(OR(LOWER(C101)="integer",LOWER(C101)="decimal",LOWER(C101)="range"),LOWER(C101),"sha256"))))</f>
        <v/>
      </c>
      <c r="G101">
        <f>IF(E101&lt;&gt;"INCLUDE","",IF(F101="date","yyyy-mm-dd",IF(F101="select_one","stored-choice-name",IF(F101="sha256","odk-lexical-utf8-sha256","odk-canonical-scalar"))))</f>
        <v/>
      </c>
      <c r="H101">
        <f>IF(E101&lt;&gt;"INCLUDE","","{"&amp;CHAR(34)&amp;"path"&amp;CHAR(34)&amp;":"&amp;CHAR(34)&amp;B101&amp;CHAR(34)&amp;","&amp;CHAR(34)&amp;"type"&amp;CHAR(34)&amp;":"&amp;CHAR(34)&amp;F101&amp;CHAR(34)&amp;","&amp;CHAR(34)&amp;"xlsform_type"&amp;CHAR(34)&amp;":"&amp;CHAR(34)&amp;C101&amp;CHAR(34)&amp;","&amp;CHAR(34)&amp;"commitment"&amp;CHAR(34)&amp;":"&amp;CHAR(34)&amp;IF(F101="sha256","text-utf8-sha256","value")&amp;CHAR(34)&amp;","&amp;CHAR(34)&amp;"transform"&amp;CHAR(34)&amp;":"&amp;CHAR(34)&amp;G101&amp;CHAR(34)&amp;"}")</f>
        <v/>
      </c>
      <c r="I101">
        <f>IF(E101&lt;&gt;"INCLUDE","","'|"&amp;B101&amp;"=', "&amp;IF(F101="date","if(string-length(string(${"&amp;B101&amp;"})) &gt; 0, format-date(${"&amp;B101&amp;"}, '%Y-%m-%d'), '')",IF(F101="sha256","digest(string(${"&amp;B101&amp;"}), 'SHA-256', 'hex')","string(${"&amp;B101&amp;"})")))</f>
        <v/>
      </c>
      <c r="J101">
        <f>IF(E101="INCLUDE","Included by explicit yes","Not included")</f>
        <v/>
      </c>
      <c r="K101">
        <f>K100&amp;IF(H101="","",","&amp;H101)</f>
        <v/>
      </c>
      <c r="L101">
        <f>L100&amp;IF(I101="","",","&amp;I101)</f>
        <v/>
      </c>
    </row>
    <row r="102">
      <c r="A102" t="n">
        <v>119</v>
      </c>
      <c r="B102">
        <f>survey!B119</f>
        <v/>
      </c>
      <c r="C102">
        <f>survey!A119</f>
        <v/>
      </c>
      <c r="D102" t="inlineStr"/>
      <c r="E102">
        <f>IF(OR(B102="",C102=""),"",IF(LOWER(D102)="yes","INCLUDE","EXCLUDE"))</f>
        <v/>
      </c>
      <c r="F102">
        <f>IF(E102&lt;&gt;"INCLUDE","",IF(LEFT(LOWER(C102),10)="select_one ","select_one",IF(LOWER(C102)="date","date",IF(OR(LOWER(C102)="integer",LOWER(C102)="decimal",LOWER(C102)="range"),LOWER(C102),"sha256"))))</f>
        <v/>
      </c>
      <c r="G102">
        <f>IF(E102&lt;&gt;"INCLUDE","",IF(F102="date","yyyy-mm-dd",IF(F102="select_one","stored-choice-name",IF(F102="sha256","odk-lexical-utf8-sha256","odk-canonical-scalar"))))</f>
        <v/>
      </c>
      <c r="H102">
        <f>IF(E102&lt;&gt;"INCLUDE","","{"&amp;CHAR(34)&amp;"path"&amp;CHAR(34)&amp;":"&amp;CHAR(34)&amp;B102&amp;CHAR(34)&amp;","&amp;CHAR(34)&amp;"type"&amp;CHAR(34)&amp;":"&amp;CHAR(34)&amp;F102&amp;CHAR(34)&amp;","&amp;CHAR(34)&amp;"xlsform_type"&amp;CHAR(34)&amp;":"&amp;CHAR(34)&amp;C102&amp;CHAR(34)&amp;","&amp;CHAR(34)&amp;"commitment"&amp;CHAR(34)&amp;":"&amp;CHAR(34)&amp;IF(F102="sha256","text-utf8-sha256","value")&amp;CHAR(34)&amp;","&amp;CHAR(34)&amp;"transform"&amp;CHAR(34)&amp;":"&amp;CHAR(34)&amp;G102&amp;CHAR(34)&amp;"}")</f>
        <v/>
      </c>
      <c r="I102">
        <f>IF(E102&lt;&gt;"INCLUDE","","'|"&amp;B102&amp;"=', "&amp;IF(F102="date","if(string-length(string(${"&amp;B102&amp;"})) &gt; 0, format-date(${"&amp;B102&amp;"}, '%Y-%m-%d'), '')",IF(F102="sha256","digest(string(${"&amp;B102&amp;"}), 'SHA-256', 'hex')","string(${"&amp;B102&amp;"})")))</f>
        <v/>
      </c>
      <c r="J102">
        <f>IF(E102="INCLUDE","Included by explicit yes","Not included")</f>
        <v/>
      </c>
      <c r="K102">
        <f>K101&amp;IF(H102="","",","&amp;H102)</f>
        <v/>
      </c>
      <c r="L102">
        <f>L101&amp;IF(I102="","",","&amp;I102)</f>
        <v/>
      </c>
    </row>
    <row r="103">
      <c r="A103" t="n">
        <v>120</v>
      </c>
      <c r="B103">
        <f>survey!B120</f>
        <v/>
      </c>
      <c r="C103">
        <f>survey!A120</f>
        <v/>
      </c>
      <c r="D103" t="inlineStr"/>
      <c r="E103">
        <f>IF(OR(B103="",C103=""),"",IF(LOWER(D103)="yes","INCLUDE","EXCLUDE"))</f>
        <v/>
      </c>
      <c r="F103">
        <f>IF(E103&lt;&gt;"INCLUDE","",IF(LEFT(LOWER(C103),10)="select_one ","select_one",IF(LOWER(C103)="date","date",IF(OR(LOWER(C103)="integer",LOWER(C103)="decimal",LOWER(C103)="range"),LOWER(C103),"sha256"))))</f>
        <v/>
      </c>
      <c r="G103">
        <f>IF(E103&lt;&gt;"INCLUDE","",IF(F103="date","yyyy-mm-dd",IF(F103="select_one","stored-choice-name",IF(F103="sha256","odk-lexical-utf8-sha256","odk-canonical-scalar"))))</f>
        <v/>
      </c>
      <c r="H103">
        <f>IF(E103&lt;&gt;"INCLUDE","","{"&amp;CHAR(34)&amp;"path"&amp;CHAR(34)&amp;":"&amp;CHAR(34)&amp;B103&amp;CHAR(34)&amp;","&amp;CHAR(34)&amp;"type"&amp;CHAR(34)&amp;":"&amp;CHAR(34)&amp;F103&amp;CHAR(34)&amp;","&amp;CHAR(34)&amp;"xlsform_type"&amp;CHAR(34)&amp;":"&amp;CHAR(34)&amp;C103&amp;CHAR(34)&amp;","&amp;CHAR(34)&amp;"commitment"&amp;CHAR(34)&amp;":"&amp;CHAR(34)&amp;IF(F103="sha256","text-utf8-sha256","value")&amp;CHAR(34)&amp;","&amp;CHAR(34)&amp;"transform"&amp;CHAR(34)&amp;":"&amp;CHAR(34)&amp;G103&amp;CHAR(34)&amp;"}")</f>
        <v/>
      </c>
      <c r="I103">
        <f>IF(E103&lt;&gt;"INCLUDE","","'|"&amp;B103&amp;"=', "&amp;IF(F103="date","if(string-length(string(${"&amp;B103&amp;"})) &gt; 0, format-date(${"&amp;B103&amp;"}, '%Y-%m-%d'), '')",IF(F103="sha256","digest(string(${"&amp;B103&amp;"}), 'SHA-256', 'hex')","string(${"&amp;B103&amp;"})")))</f>
        <v/>
      </c>
      <c r="J103">
        <f>IF(E103="INCLUDE","Included by explicit yes","Not included")</f>
        <v/>
      </c>
      <c r="K103">
        <f>K102&amp;IF(H103="","",","&amp;H103)</f>
        <v/>
      </c>
      <c r="L103">
        <f>L102&amp;IF(I103="","",","&amp;I103)</f>
        <v/>
      </c>
    </row>
    <row r="104">
      <c r="A104" t="n">
        <v>121</v>
      </c>
      <c r="B104">
        <f>survey!B121</f>
        <v/>
      </c>
      <c r="C104">
        <f>survey!A121</f>
        <v/>
      </c>
      <c r="D104" t="inlineStr"/>
      <c r="E104">
        <f>IF(OR(B104="",C104=""),"",IF(LOWER(D104)="yes","INCLUDE","EXCLUDE"))</f>
        <v/>
      </c>
      <c r="F104">
        <f>IF(E104&lt;&gt;"INCLUDE","",IF(LEFT(LOWER(C104),10)="select_one ","select_one",IF(LOWER(C104)="date","date",IF(OR(LOWER(C104)="integer",LOWER(C104)="decimal",LOWER(C104)="range"),LOWER(C104),"sha256"))))</f>
        <v/>
      </c>
      <c r="G104">
        <f>IF(E104&lt;&gt;"INCLUDE","",IF(F104="date","yyyy-mm-dd",IF(F104="select_one","stored-choice-name",IF(F104="sha256","odk-lexical-utf8-sha256","odk-canonical-scalar"))))</f>
        <v/>
      </c>
      <c r="H104">
        <f>IF(E104&lt;&gt;"INCLUDE","","{"&amp;CHAR(34)&amp;"path"&amp;CHAR(34)&amp;":"&amp;CHAR(34)&amp;B104&amp;CHAR(34)&amp;","&amp;CHAR(34)&amp;"type"&amp;CHAR(34)&amp;":"&amp;CHAR(34)&amp;F104&amp;CHAR(34)&amp;","&amp;CHAR(34)&amp;"xlsform_type"&amp;CHAR(34)&amp;":"&amp;CHAR(34)&amp;C104&amp;CHAR(34)&amp;","&amp;CHAR(34)&amp;"commitment"&amp;CHAR(34)&amp;":"&amp;CHAR(34)&amp;IF(F104="sha256","text-utf8-sha256","value")&amp;CHAR(34)&amp;","&amp;CHAR(34)&amp;"transform"&amp;CHAR(34)&amp;":"&amp;CHAR(34)&amp;G104&amp;CHAR(34)&amp;"}")</f>
        <v/>
      </c>
      <c r="I104">
        <f>IF(E104&lt;&gt;"INCLUDE","","'|"&amp;B104&amp;"=', "&amp;IF(F104="date","if(string-length(string(${"&amp;B104&amp;"})) &gt; 0, format-date(${"&amp;B104&amp;"}, '%Y-%m-%d'), '')",IF(F104="sha256","digest(string(${"&amp;B104&amp;"}), 'SHA-256', 'hex')","string(${"&amp;B104&amp;"})")))</f>
        <v/>
      </c>
      <c r="J104">
        <f>IF(E104="INCLUDE","Included by explicit yes","Not included")</f>
        <v/>
      </c>
      <c r="K104">
        <f>K103&amp;IF(H104="","",","&amp;H104)</f>
        <v/>
      </c>
      <c r="L104">
        <f>L103&amp;IF(I104="","",","&amp;I104)</f>
        <v/>
      </c>
    </row>
    <row r="105">
      <c r="A105" t="n">
        <v>122</v>
      </c>
      <c r="B105">
        <f>survey!B122</f>
        <v/>
      </c>
      <c r="C105">
        <f>survey!A122</f>
        <v/>
      </c>
      <c r="D105" t="inlineStr"/>
      <c r="E105">
        <f>IF(OR(B105="",C105=""),"",IF(LOWER(D105)="yes","INCLUDE","EXCLUDE"))</f>
        <v/>
      </c>
      <c r="F105">
        <f>IF(E105&lt;&gt;"INCLUDE","",IF(LEFT(LOWER(C105),10)="select_one ","select_one",IF(LOWER(C105)="date","date",IF(OR(LOWER(C105)="integer",LOWER(C105)="decimal",LOWER(C105)="range"),LOWER(C105),"sha256"))))</f>
        <v/>
      </c>
      <c r="G105">
        <f>IF(E105&lt;&gt;"INCLUDE","",IF(F105="date","yyyy-mm-dd",IF(F105="select_one","stored-choice-name",IF(F105="sha256","odk-lexical-utf8-sha256","odk-canonical-scalar"))))</f>
        <v/>
      </c>
      <c r="H105">
        <f>IF(E105&lt;&gt;"INCLUDE","","{"&amp;CHAR(34)&amp;"path"&amp;CHAR(34)&amp;":"&amp;CHAR(34)&amp;B105&amp;CHAR(34)&amp;","&amp;CHAR(34)&amp;"type"&amp;CHAR(34)&amp;":"&amp;CHAR(34)&amp;F105&amp;CHAR(34)&amp;","&amp;CHAR(34)&amp;"xlsform_type"&amp;CHAR(34)&amp;":"&amp;CHAR(34)&amp;C105&amp;CHAR(34)&amp;","&amp;CHAR(34)&amp;"commitment"&amp;CHAR(34)&amp;":"&amp;CHAR(34)&amp;IF(F105="sha256","text-utf8-sha256","value")&amp;CHAR(34)&amp;","&amp;CHAR(34)&amp;"transform"&amp;CHAR(34)&amp;":"&amp;CHAR(34)&amp;G105&amp;CHAR(34)&amp;"}")</f>
        <v/>
      </c>
      <c r="I105">
        <f>IF(E105&lt;&gt;"INCLUDE","","'|"&amp;B105&amp;"=', "&amp;IF(F105="date","if(string-length(string(${"&amp;B105&amp;"})) &gt; 0, format-date(${"&amp;B105&amp;"}, '%Y-%m-%d'), '')",IF(F105="sha256","digest(string(${"&amp;B105&amp;"}), 'SHA-256', 'hex')","string(${"&amp;B105&amp;"})")))</f>
        <v/>
      </c>
      <c r="J105">
        <f>IF(E105="INCLUDE","Included by explicit yes","Not included")</f>
        <v/>
      </c>
      <c r="K105">
        <f>K104&amp;IF(H105="","",","&amp;H105)</f>
        <v/>
      </c>
      <c r="L105">
        <f>L104&amp;IF(I105="","",","&amp;I105)</f>
        <v/>
      </c>
    </row>
    <row r="106">
      <c r="A106" t="n">
        <v>123</v>
      </c>
      <c r="B106">
        <f>survey!B123</f>
        <v/>
      </c>
      <c r="C106">
        <f>survey!A123</f>
        <v/>
      </c>
      <c r="D106" t="inlineStr"/>
      <c r="E106">
        <f>IF(OR(B106="",C106=""),"",IF(LOWER(D106)="yes","INCLUDE","EXCLUDE"))</f>
        <v/>
      </c>
      <c r="F106">
        <f>IF(E106&lt;&gt;"INCLUDE","",IF(LEFT(LOWER(C106),10)="select_one ","select_one",IF(LOWER(C106)="date","date",IF(OR(LOWER(C106)="integer",LOWER(C106)="decimal",LOWER(C106)="range"),LOWER(C106),"sha256"))))</f>
        <v/>
      </c>
      <c r="G106">
        <f>IF(E106&lt;&gt;"INCLUDE","",IF(F106="date","yyyy-mm-dd",IF(F106="select_one","stored-choice-name",IF(F106="sha256","odk-lexical-utf8-sha256","odk-canonical-scalar"))))</f>
        <v/>
      </c>
      <c r="H106">
        <f>IF(E106&lt;&gt;"INCLUDE","","{"&amp;CHAR(34)&amp;"path"&amp;CHAR(34)&amp;":"&amp;CHAR(34)&amp;B106&amp;CHAR(34)&amp;","&amp;CHAR(34)&amp;"type"&amp;CHAR(34)&amp;":"&amp;CHAR(34)&amp;F106&amp;CHAR(34)&amp;","&amp;CHAR(34)&amp;"xlsform_type"&amp;CHAR(34)&amp;":"&amp;CHAR(34)&amp;C106&amp;CHAR(34)&amp;","&amp;CHAR(34)&amp;"commitment"&amp;CHAR(34)&amp;":"&amp;CHAR(34)&amp;IF(F106="sha256","text-utf8-sha256","value")&amp;CHAR(34)&amp;","&amp;CHAR(34)&amp;"transform"&amp;CHAR(34)&amp;":"&amp;CHAR(34)&amp;G106&amp;CHAR(34)&amp;"}")</f>
        <v/>
      </c>
      <c r="I106">
        <f>IF(E106&lt;&gt;"INCLUDE","","'|"&amp;B106&amp;"=', "&amp;IF(F106="date","if(string-length(string(${"&amp;B106&amp;"})) &gt; 0, format-date(${"&amp;B106&amp;"}, '%Y-%m-%d'), '')",IF(F106="sha256","digest(string(${"&amp;B106&amp;"}), 'SHA-256', 'hex')","string(${"&amp;B106&amp;"})")))</f>
        <v/>
      </c>
      <c r="J106">
        <f>IF(E106="INCLUDE","Included by explicit yes","Not included")</f>
        <v/>
      </c>
      <c r="K106">
        <f>K105&amp;IF(H106="","",","&amp;H106)</f>
        <v/>
      </c>
      <c r="L106">
        <f>L105&amp;IF(I106="","",","&amp;I106)</f>
        <v/>
      </c>
    </row>
    <row r="107">
      <c r="A107" t="n">
        <v>124</v>
      </c>
      <c r="B107">
        <f>survey!B124</f>
        <v/>
      </c>
      <c r="C107">
        <f>survey!A124</f>
        <v/>
      </c>
      <c r="D107" t="inlineStr"/>
      <c r="E107">
        <f>IF(OR(B107="",C107=""),"",IF(LOWER(D107)="yes","INCLUDE","EXCLUDE"))</f>
        <v/>
      </c>
      <c r="F107">
        <f>IF(E107&lt;&gt;"INCLUDE","",IF(LEFT(LOWER(C107),10)="select_one ","select_one",IF(LOWER(C107)="date","date",IF(OR(LOWER(C107)="integer",LOWER(C107)="decimal",LOWER(C107)="range"),LOWER(C107),"sha256"))))</f>
        <v/>
      </c>
      <c r="G107">
        <f>IF(E107&lt;&gt;"INCLUDE","",IF(F107="date","yyyy-mm-dd",IF(F107="select_one","stored-choice-name",IF(F107="sha256","odk-lexical-utf8-sha256","odk-canonical-scalar"))))</f>
        <v/>
      </c>
      <c r="H107">
        <f>IF(E107&lt;&gt;"INCLUDE","","{"&amp;CHAR(34)&amp;"path"&amp;CHAR(34)&amp;":"&amp;CHAR(34)&amp;B107&amp;CHAR(34)&amp;","&amp;CHAR(34)&amp;"type"&amp;CHAR(34)&amp;":"&amp;CHAR(34)&amp;F107&amp;CHAR(34)&amp;","&amp;CHAR(34)&amp;"xlsform_type"&amp;CHAR(34)&amp;":"&amp;CHAR(34)&amp;C107&amp;CHAR(34)&amp;","&amp;CHAR(34)&amp;"commitment"&amp;CHAR(34)&amp;":"&amp;CHAR(34)&amp;IF(F107="sha256","text-utf8-sha256","value")&amp;CHAR(34)&amp;","&amp;CHAR(34)&amp;"transform"&amp;CHAR(34)&amp;":"&amp;CHAR(34)&amp;G107&amp;CHAR(34)&amp;"}")</f>
        <v/>
      </c>
      <c r="I107">
        <f>IF(E107&lt;&gt;"INCLUDE","","'|"&amp;B107&amp;"=', "&amp;IF(F107="date","if(string-length(string(${"&amp;B107&amp;"})) &gt; 0, format-date(${"&amp;B107&amp;"}, '%Y-%m-%d'), '')",IF(F107="sha256","digest(string(${"&amp;B107&amp;"}), 'SHA-256', 'hex')","string(${"&amp;B107&amp;"})")))</f>
        <v/>
      </c>
      <c r="J107">
        <f>IF(E107="INCLUDE","Included by explicit yes","Not included")</f>
        <v/>
      </c>
      <c r="K107">
        <f>K106&amp;IF(H107="","",","&amp;H107)</f>
        <v/>
      </c>
      <c r="L107">
        <f>L106&amp;IF(I107="","",","&amp;I107)</f>
        <v/>
      </c>
    </row>
    <row r="108">
      <c r="A108" t="n">
        <v>125</v>
      </c>
      <c r="B108">
        <f>survey!B125</f>
        <v/>
      </c>
      <c r="C108">
        <f>survey!A125</f>
        <v/>
      </c>
      <c r="D108" t="inlineStr"/>
      <c r="E108">
        <f>IF(OR(B108="",C108=""),"",IF(LOWER(D108)="yes","INCLUDE","EXCLUDE"))</f>
        <v/>
      </c>
      <c r="F108">
        <f>IF(E108&lt;&gt;"INCLUDE","",IF(LEFT(LOWER(C108),10)="select_one ","select_one",IF(LOWER(C108)="date","date",IF(OR(LOWER(C108)="integer",LOWER(C108)="decimal",LOWER(C108)="range"),LOWER(C108),"sha256"))))</f>
        <v/>
      </c>
      <c r="G108">
        <f>IF(E108&lt;&gt;"INCLUDE","",IF(F108="date","yyyy-mm-dd",IF(F108="select_one","stored-choice-name",IF(F108="sha256","odk-lexical-utf8-sha256","odk-canonical-scalar"))))</f>
        <v/>
      </c>
      <c r="H108">
        <f>IF(E108&lt;&gt;"INCLUDE","","{"&amp;CHAR(34)&amp;"path"&amp;CHAR(34)&amp;":"&amp;CHAR(34)&amp;B108&amp;CHAR(34)&amp;","&amp;CHAR(34)&amp;"type"&amp;CHAR(34)&amp;":"&amp;CHAR(34)&amp;F108&amp;CHAR(34)&amp;","&amp;CHAR(34)&amp;"xlsform_type"&amp;CHAR(34)&amp;":"&amp;CHAR(34)&amp;C108&amp;CHAR(34)&amp;","&amp;CHAR(34)&amp;"commitment"&amp;CHAR(34)&amp;":"&amp;CHAR(34)&amp;IF(F108="sha256","text-utf8-sha256","value")&amp;CHAR(34)&amp;","&amp;CHAR(34)&amp;"transform"&amp;CHAR(34)&amp;":"&amp;CHAR(34)&amp;G108&amp;CHAR(34)&amp;"}")</f>
        <v/>
      </c>
      <c r="I108">
        <f>IF(E108&lt;&gt;"INCLUDE","","'|"&amp;B108&amp;"=', "&amp;IF(F108="date","if(string-length(string(${"&amp;B108&amp;"})) &gt; 0, format-date(${"&amp;B108&amp;"}, '%Y-%m-%d'), '')",IF(F108="sha256","digest(string(${"&amp;B108&amp;"}), 'SHA-256', 'hex')","string(${"&amp;B108&amp;"})")))</f>
        <v/>
      </c>
      <c r="J108">
        <f>IF(E108="INCLUDE","Included by explicit yes","Not included")</f>
        <v/>
      </c>
      <c r="K108">
        <f>K107&amp;IF(H108="","",","&amp;H108)</f>
        <v/>
      </c>
      <c r="L108">
        <f>L107&amp;IF(I108="","",","&amp;I108)</f>
        <v/>
      </c>
    </row>
    <row r="109">
      <c r="A109" t="n">
        <v>126</v>
      </c>
      <c r="B109">
        <f>survey!B126</f>
        <v/>
      </c>
      <c r="C109">
        <f>survey!A126</f>
        <v/>
      </c>
      <c r="D109" t="inlineStr"/>
      <c r="E109">
        <f>IF(OR(B109="",C109=""),"",IF(LOWER(D109)="yes","INCLUDE","EXCLUDE"))</f>
        <v/>
      </c>
      <c r="F109">
        <f>IF(E109&lt;&gt;"INCLUDE","",IF(LEFT(LOWER(C109),10)="select_one ","select_one",IF(LOWER(C109)="date","date",IF(OR(LOWER(C109)="integer",LOWER(C109)="decimal",LOWER(C109)="range"),LOWER(C109),"sha256"))))</f>
        <v/>
      </c>
      <c r="G109">
        <f>IF(E109&lt;&gt;"INCLUDE","",IF(F109="date","yyyy-mm-dd",IF(F109="select_one","stored-choice-name",IF(F109="sha256","odk-lexical-utf8-sha256","odk-canonical-scalar"))))</f>
        <v/>
      </c>
      <c r="H109">
        <f>IF(E109&lt;&gt;"INCLUDE","","{"&amp;CHAR(34)&amp;"path"&amp;CHAR(34)&amp;":"&amp;CHAR(34)&amp;B109&amp;CHAR(34)&amp;","&amp;CHAR(34)&amp;"type"&amp;CHAR(34)&amp;":"&amp;CHAR(34)&amp;F109&amp;CHAR(34)&amp;","&amp;CHAR(34)&amp;"xlsform_type"&amp;CHAR(34)&amp;":"&amp;CHAR(34)&amp;C109&amp;CHAR(34)&amp;","&amp;CHAR(34)&amp;"commitment"&amp;CHAR(34)&amp;":"&amp;CHAR(34)&amp;IF(F109="sha256","text-utf8-sha256","value")&amp;CHAR(34)&amp;","&amp;CHAR(34)&amp;"transform"&amp;CHAR(34)&amp;":"&amp;CHAR(34)&amp;G109&amp;CHAR(34)&amp;"}")</f>
        <v/>
      </c>
      <c r="I109">
        <f>IF(E109&lt;&gt;"INCLUDE","","'|"&amp;B109&amp;"=', "&amp;IF(F109="date","if(string-length(string(${"&amp;B109&amp;"})) &gt; 0, format-date(${"&amp;B109&amp;"}, '%Y-%m-%d'), '')",IF(F109="sha256","digest(string(${"&amp;B109&amp;"}), 'SHA-256', 'hex')","string(${"&amp;B109&amp;"})")))</f>
        <v/>
      </c>
      <c r="J109">
        <f>IF(E109="INCLUDE","Included by explicit yes","Not included")</f>
        <v/>
      </c>
      <c r="K109">
        <f>K108&amp;IF(H109="","",","&amp;H109)</f>
        <v/>
      </c>
      <c r="L109">
        <f>L108&amp;IF(I109="","",","&amp;I109)</f>
        <v/>
      </c>
    </row>
    <row r="110">
      <c r="A110" t="n">
        <v>127</v>
      </c>
      <c r="B110">
        <f>survey!B127</f>
        <v/>
      </c>
      <c r="C110">
        <f>survey!A127</f>
        <v/>
      </c>
      <c r="D110" t="inlineStr"/>
      <c r="E110">
        <f>IF(OR(B110="",C110=""),"",IF(LOWER(D110)="yes","INCLUDE","EXCLUDE"))</f>
        <v/>
      </c>
      <c r="F110">
        <f>IF(E110&lt;&gt;"INCLUDE","",IF(LEFT(LOWER(C110),10)="select_one ","select_one",IF(LOWER(C110)="date","date",IF(OR(LOWER(C110)="integer",LOWER(C110)="decimal",LOWER(C110)="range"),LOWER(C110),"sha256"))))</f>
        <v/>
      </c>
      <c r="G110">
        <f>IF(E110&lt;&gt;"INCLUDE","",IF(F110="date","yyyy-mm-dd",IF(F110="select_one","stored-choice-name",IF(F110="sha256","odk-lexical-utf8-sha256","odk-canonical-scalar"))))</f>
        <v/>
      </c>
      <c r="H110">
        <f>IF(E110&lt;&gt;"INCLUDE","","{"&amp;CHAR(34)&amp;"path"&amp;CHAR(34)&amp;":"&amp;CHAR(34)&amp;B110&amp;CHAR(34)&amp;","&amp;CHAR(34)&amp;"type"&amp;CHAR(34)&amp;":"&amp;CHAR(34)&amp;F110&amp;CHAR(34)&amp;","&amp;CHAR(34)&amp;"xlsform_type"&amp;CHAR(34)&amp;":"&amp;CHAR(34)&amp;C110&amp;CHAR(34)&amp;","&amp;CHAR(34)&amp;"commitment"&amp;CHAR(34)&amp;":"&amp;CHAR(34)&amp;IF(F110="sha256","text-utf8-sha256","value")&amp;CHAR(34)&amp;","&amp;CHAR(34)&amp;"transform"&amp;CHAR(34)&amp;":"&amp;CHAR(34)&amp;G110&amp;CHAR(34)&amp;"}")</f>
        <v/>
      </c>
      <c r="I110">
        <f>IF(E110&lt;&gt;"INCLUDE","","'|"&amp;B110&amp;"=', "&amp;IF(F110="date","if(string-length(string(${"&amp;B110&amp;"})) &gt; 0, format-date(${"&amp;B110&amp;"}, '%Y-%m-%d'), '')",IF(F110="sha256","digest(string(${"&amp;B110&amp;"}), 'SHA-256', 'hex')","string(${"&amp;B110&amp;"})")))</f>
        <v/>
      </c>
      <c r="J110">
        <f>IF(E110="INCLUDE","Included by explicit yes","Not included")</f>
        <v/>
      </c>
      <c r="K110">
        <f>K109&amp;IF(H110="","",","&amp;H110)</f>
        <v/>
      </c>
      <c r="L110">
        <f>L109&amp;IF(I110="","",","&amp;I110)</f>
        <v/>
      </c>
    </row>
    <row r="111">
      <c r="A111" t="n">
        <v>128</v>
      </c>
      <c r="B111">
        <f>survey!B128</f>
        <v/>
      </c>
      <c r="C111">
        <f>survey!A128</f>
        <v/>
      </c>
      <c r="D111" t="inlineStr"/>
      <c r="E111">
        <f>IF(OR(B111="",C111=""),"",IF(LOWER(D111)="yes","INCLUDE","EXCLUDE"))</f>
        <v/>
      </c>
      <c r="F111">
        <f>IF(E111&lt;&gt;"INCLUDE","",IF(LEFT(LOWER(C111),10)="select_one ","select_one",IF(LOWER(C111)="date","date",IF(OR(LOWER(C111)="integer",LOWER(C111)="decimal",LOWER(C111)="range"),LOWER(C111),"sha256"))))</f>
        <v/>
      </c>
      <c r="G111">
        <f>IF(E111&lt;&gt;"INCLUDE","",IF(F111="date","yyyy-mm-dd",IF(F111="select_one","stored-choice-name",IF(F111="sha256","odk-lexical-utf8-sha256","odk-canonical-scalar"))))</f>
        <v/>
      </c>
      <c r="H111">
        <f>IF(E111&lt;&gt;"INCLUDE","","{"&amp;CHAR(34)&amp;"path"&amp;CHAR(34)&amp;":"&amp;CHAR(34)&amp;B111&amp;CHAR(34)&amp;","&amp;CHAR(34)&amp;"type"&amp;CHAR(34)&amp;":"&amp;CHAR(34)&amp;F111&amp;CHAR(34)&amp;","&amp;CHAR(34)&amp;"xlsform_type"&amp;CHAR(34)&amp;":"&amp;CHAR(34)&amp;C111&amp;CHAR(34)&amp;","&amp;CHAR(34)&amp;"commitment"&amp;CHAR(34)&amp;":"&amp;CHAR(34)&amp;IF(F111="sha256","text-utf8-sha256","value")&amp;CHAR(34)&amp;","&amp;CHAR(34)&amp;"transform"&amp;CHAR(34)&amp;":"&amp;CHAR(34)&amp;G111&amp;CHAR(34)&amp;"}")</f>
        <v/>
      </c>
      <c r="I111">
        <f>IF(E111&lt;&gt;"INCLUDE","","'|"&amp;B111&amp;"=', "&amp;IF(F111="date","if(string-length(string(${"&amp;B111&amp;"})) &gt; 0, format-date(${"&amp;B111&amp;"}, '%Y-%m-%d'), '')",IF(F111="sha256","digest(string(${"&amp;B111&amp;"}), 'SHA-256', 'hex')","string(${"&amp;B111&amp;"})")))</f>
        <v/>
      </c>
      <c r="J111">
        <f>IF(E111="INCLUDE","Included by explicit yes","Not included")</f>
        <v/>
      </c>
      <c r="K111">
        <f>K110&amp;IF(H111="","",","&amp;H111)</f>
        <v/>
      </c>
      <c r="L111">
        <f>L110&amp;IF(I111="","",","&amp;I111)</f>
        <v/>
      </c>
    </row>
    <row r="112">
      <c r="A112" t="n">
        <v>129</v>
      </c>
      <c r="B112">
        <f>survey!B129</f>
        <v/>
      </c>
      <c r="C112">
        <f>survey!A129</f>
        <v/>
      </c>
      <c r="D112" t="inlineStr"/>
      <c r="E112">
        <f>IF(OR(B112="",C112=""),"",IF(LOWER(D112)="yes","INCLUDE","EXCLUDE"))</f>
        <v/>
      </c>
      <c r="F112">
        <f>IF(E112&lt;&gt;"INCLUDE","",IF(LEFT(LOWER(C112),10)="select_one ","select_one",IF(LOWER(C112)="date","date",IF(OR(LOWER(C112)="integer",LOWER(C112)="decimal",LOWER(C112)="range"),LOWER(C112),"sha256"))))</f>
        <v/>
      </c>
      <c r="G112">
        <f>IF(E112&lt;&gt;"INCLUDE","",IF(F112="date","yyyy-mm-dd",IF(F112="select_one","stored-choice-name",IF(F112="sha256","odk-lexical-utf8-sha256","odk-canonical-scalar"))))</f>
        <v/>
      </c>
      <c r="H112">
        <f>IF(E112&lt;&gt;"INCLUDE","","{"&amp;CHAR(34)&amp;"path"&amp;CHAR(34)&amp;":"&amp;CHAR(34)&amp;B112&amp;CHAR(34)&amp;","&amp;CHAR(34)&amp;"type"&amp;CHAR(34)&amp;":"&amp;CHAR(34)&amp;F112&amp;CHAR(34)&amp;","&amp;CHAR(34)&amp;"xlsform_type"&amp;CHAR(34)&amp;":"&amp;CHAR(34)&amp;C112&amp;CHAR(34)&amp;","&amp;CHAR(34)&amp;"commitment"&amp;CHAR(34)&amp;":"&amp;CHAR(34)&amp;IF(F112="sha256","text-utf8-sha256","value")&amp;CHAR(34)&amp;","&amp;CHAR(34)&amp;"transform"&amp;CHAR(34)&amp;":"&amp;CHAR(34)&amp;G112&amp;CHAR(34)&amp;"}")</f>
        <v/>
      </c>
      <c r="I112">
        <f>IF(E112&lt;&gt;"INCLUDE","","'|"&amp;B112&amp;"=', "&amp;IF(F112="date","if(string-length(string(${"&amp;B112&amp;"})) &gt; 0, format-date(${"&amp;B112&amp;"}, '%Y-%m-%d'), '')",IF(F112="sha256","digest(string(${"&amp;B112&amp;"}), 'SHA-256', 'hex')","string(${"&amp;B112&amp;"})")))</f>
        <v/>
      </c>
      <c r="J112">
        <f>IF(E112="INCLUDE","Included by explicit yes","Not included")</f>
        <v/>
      </c>
      <c r="K112">
        <f>K111&amp;IF(H112="","",","&amp;H112)</f>
        <v/>
      </c>
      <c r="L112">
        <f>L111&amp;IF(I112="","",","&amp;I112)</f>
        <v/>
      </c>
    </row>
    <row r="113">
      <c r="A113" t="n">
        <v>130</v>
      </c>
      <c r="B113">
        <f>survey!B130</f>
        <v/>
      </c>
      <c r="C113">
        <f>survey!A130</f>
        <v/>
      </c>
      <c r="D113" t="inlineStr"/>
      <c r="E113">
        <f>IF(OR(B113="",C113=""),"",IF(LOWER(D113)="yes","INCLUDE","EXCLUDE"))</f>
        <v/>
      </c>
      <c r="F113">
        <f>IF(E113&lt;&gt;"INCLUDE","",IF(LEFT(LOWER(C113),10)="select_one ","select_one",IF(LOWER(C113)="date","date",IF(OR(LOWER(C113)="integer",LOWER(C113)="decimal",LOWER(C113)="range"),LOWER(C113),"sha256"))))</f>
        <v/>
      </c>
      <c r="G113">
        <f>IF(E113&lt;&gt;"INCLUDE","",IF(F113="date","yyyy-mm-dd",IF(F113="select_one","stored-choice-name",IF(F113="sha256","odk-lexical-utf8-sha256","odk-canonical-scalar"))))</f>
        <v/>
      </c>
      <c r="H113">
        <f>IF(E113&lt;&gt;"INCLUDE","","{"&amp;CHAR(34)&amp;"path"&amp;CHAR(34)&amp;":"&amp;CHAR(34)&amp;B113&amp;CHAR(34)&amp;","&amp;CHAR(34)&amp;"type"&amp;CHAR(34)&amp;":"&amp;CHAR(34)&amp;F113&amp;CHAR(34)&amp;","&amp;CHAR(34)&amp;"xlsform_type"&amp;CHAR(34)&amp;":"&amp;CHAR(34)&amp;C113&amp;CHAR(34)&amp;","&amp;CHAR(34)&amp;"commitment"&amp;CHAR(34)&amp;":"&amp;CHAR(34)&amp;IF(F113="sha256","text-utf8-sha256","value")&amp;CHAR(34)&amp;","&amp;CHAR(34)&amp;"transform"&amp;CHAR(34)&amp;":"&amp;CHAR(34)&amp;G113&amp;CHAR(34)&amp;"}")</f>
        <v/>
      </c>
      <c r="I113">
        <f>IF(E113&lt;&gt;"INCLUDE","","'|"&amp;B113&amp;"=', "&amp;IF(F113="date","if(string-length(string(${"&amp;B113&amp;"})) &gt; 0, format-date(${"&amp;B113&amp;"}, '%Y-%m-%d'), '')",IF(F113="sha256","digest(string(${"&amp;B113&amp;"}), 'SHA-256', 'hex')","string(${"&amp;B113&amp;"})")))</f>
        <v/>
      </c>
      <c r="J113">
        <f>IF(E113="INCLUDE","Included by explicit yes","Not included")</f>
        <v/>
      </c>
      <c r="K113">
        <f>K112&amp;IF(H113="","",","&amp;H113)</f>
        <v/>
      </c>
      <c r="L113">
        <f>L112&amp;IF(I113="","",","&amp;I113)</f>
        <v/>
      </c>
    </row>
    <row r="114">
      <c r="A114" t="n">
        <v>131</v>
      </c>
      <c r="B114">
        <f>survey!B131</f>
        <v/>
      </c>
      <c r="C114">
        <f>survey!A131</f>
        <v/>
      </c>
      <c r="D114" t="inlineStr"/>
      <c r="E114">
        <f>IF(OR(B114="",C114=""),"",IF(LOWER(D114)="yes","INCLUDE","EXCLUDE"))</f>
        <v/>
      </c>
      <c r="F114">
        <f>IF(E114&lt;&gt;"INCLUDE","",IF(LEFT(LOWER(C114),10)="select_one ","select_one",IF(LOWER(C114)="date","date",IF(OR(LOWER(C114)="integer",LOWER(C114)="decimal",LOWER(C114)="range"),LOWER(C114),"sha256"))))</f>
        <v/>
      </c>
      <c r="G114">
        <f>IF(E114&lt;&gt;"INCLUDE","",IF(F114="date","yyyy-mm-dd",IF(F114="select_one","stored-choice-name",IF(F114="sha256","odk-lexical-utf8-sha256","odk-canonical-scalar"))))</f>
        <v/>
      </c>
      <c r="H114">
        <f>IF(E114&lt;&gt;"INCLUDE","","{"&amp;CHAR(34)&amp;"path"&amp;CHAR(34)&amp;":"&amp;CHAR(34)&amp;B114&amp;CHAR(34)&amp;","&amp;CHAR(34)&amp;"type"&amp;CHAR(34)&amp;":"&amp;CHAR(34)&amp;F114&amp;CHAR(34)&amp;","&amp;CHAR(34)&amp;"xlsform_type"&amp;CHAR(34)&amp;":"&amp;CHAR(34)&amp;C114&amp;CHAR(34)&amp;","&amp;CHAR(34)&amp;"commitment"&amp;CHAR(34)&amp;":"&amp;CHAR(34)&amp;IF(F114="sha256","text-utf8-sha256","value")&amp;CHAR(34)&amp;","&amp;CHAR(34)&amp;"transform"&amp;CHAR(34)&amp;":"&amp;CHAR(34)&amp;G114&amp;CHAR(34)&amp;"}")</f>
        <v/>
      </c>
      <c r="I114">
        <f>IF(E114&lt;&gt;"INCLUDE","","'|"&amp;B114&amp;"=', "&amp;IF(F114="date","if(string-length(string(${"&amp;B114&amp;"})) &gt; 0, format-date(${"&amp;B114&amp;"}, '%Y-%m-%d'), '')",IF(F114="sha256","digest(string(${"&amp;B114&amp;"}), 'SHA-256', 'hex')","string(${"&amp;B114&amp;"})")))</f>
        <v/>
      </c>
      <c r="J114">
        <f>IF(E114="INCLUDE","Included by explicit yes","Not included")</f>
        <v/>
      </c>
      <c r="K114">
        <f>K113&amp;IF(H114="","",","&amp;H114)</f>
        <v/>
      </c>
      <c r="L114">
        <f>L113&amp;IF(I114="","",","&amp;I114)</f>
        <v/>
      </c>
    </row>
    <row r="115">
      <c r="A115" t="n">
        <v>132</v>
      </c>
      <c r="B115">
        <f>survey!B132</f>
        <v/>
      </c>
      <c r="C115">
        <f>survey!A132</f>
        <v/>
      </c>
      <c r="D115" t="inlineStr"/>
      <c r="E115">
        <f>IF(OR(B115="",C115=""),"",IF(LOWER(D115)="yes","INCLUDE","EXCLUDE"))</f>
        <v/>
      </c>
      <c r="F115">
        <f>IF(E115&lt;&gt;"INCLUDE","",IF(LEFT(LOWER(C115),10)="select_one ","select_one",IF(LOWER(C115)="date","date",IF(OR(LOWER(C115)="integer",LOWER(C115)="decimal",LOWER(C115)="range"),LOWER(C115),"sha256"))))</f>
        <v/>
      </c>
      <c r="G115">
        <f>IF(E115&lt;&gt;"INCLUDE","",IF(F115="date","yyyy-mm-dd",IF(F115="select_one","stored-choice-name",IF(F115="sha256","odk-lexical-utf8-sha256","odk-canonical-scalar"))))</f>
        <v/>
      </c>
      <c r="H115">
        <f>IF(E115&lt;&gt;"INCLUDE","","{"&amp;CHAR(34)&amp;"path"&amp;CHAR(34)&amp;":"&amp;CHAR(34)&amp;B115&amp;CHAR(34)&amp;","&amp;CHAR(34)&amp;"type"&amp;CHAR(34)&amp;":"&amp;CHAR(34)&amp;F115&amp;CHAR(34)&amp;","&amp;CHAR(34)&amp;"xlsform_type"&amp;CHAR(34)&amp;":"&amp;CHAR(34)&amp;C115&amp;CHAR(34)&amp;","&amp;CHAR(34)&amp;"commitment"&amp;CHAR(34)&amp;":"&amp;CHAR(34)&amp;IF(F115="sha256","text-utf8-sha256","value")&amp;CHAR(34)&amp;","&amp;CHAR(34)&amp;"transform"&amp;CHAR(34)&amp;":"&amp;CHAR(34)&amp;G115&amp;CHAR(34)&amp;"}")</f>
        <v/>
      </c>
      <c r="I115">
        <f>IF(E115&lt;&gt;"INCLUDE","","'|"&amp;B115&amp;"=', "&amp;IF(F115="date","if(string-length(string(${"&amp;B115&amp;"})) &gt; 0, format-date(${"&amp;B115&amp;"}, '%Y-%m-%d'), '')",IF(F115="sha256","digest(string(${"&amp;B115&amp;"}), 'SHA-256', 'hex')","string(${"&amp;B115&amp;"})")))</f>
        <v/>
      </c>
      <c r="J115">
        <f>IF(E115="INCLUDE","Included by explicit yes","Not included")</f>
        <v/>
      </c>
      <c r="K115">
        <f>K114&amp;IF(H115="","",","&amp;H115)</f>
        <v/>
      </c>
      <c r="L115">
        <f>L114&amp;IF(I115="","",","&amp;I115)</f>
        <v/>
      </c>
    </row>
    <row r="116">
      <c r="A116" t="n">
        <v>133</v>
      </c>
      <c r="B116">
        <f>survey!B133</f>
        <v/>
      </c>
      <c r="C116">
        <f>survey!A133</f>
        <v/>
      </c>
      <c r="D116" t="inlineStr"/>
      <c r="E116">
        <f>IF(OR(B116="",C116=""),"",IF(LOWER(D116)="yes","INCLUDE","EXCLUDE"))</f>
        <v/>
      </c>
      <c r="F116">
        <f>IF(E116&lt;&gt;"INCLUDE","",IF(LEFT(LOWER(C116),10)="select_one ","select_one",IF(LOWER(C116)="date","date",IF(OR(LOWER(C116)="integer",LOWER(C116)="decimal",LOWER(C116)="range"),LOWER(C116),"sha256"))))</f>
        <v/>
      </c>
      <c r="G116">
        <f>IF(E116&lt;&gt;"INCLUDE","",IF(F116="date","yyyy-mm-dd",IF(F116="select_one","stored-choice-name",IF(F116="sha256","odk-lexical-utf8-sha256","odk-canonical-scalar"))))</f>
        <v/>
      </c>
      <c r="H116">
        <f>IF(E116&lt;&gt;"INCLUDE","","{"&amp;CHAR(34)&amp;"path"&amp;CHAR(34)&amp;":"&amp;CHAR(34)&amp;B116&amp;CHAR(34)&amp;","&amp;CHAR(34)&amp;"type"&amp;CHAR(34)&amp;":"&amp;CHAR(34)&amp;F116&amp;CHAR(34)&amp;","&amp;CHAR(34)&amp;"xlsform_type"&amp;CHAR(34)&amp;":"&amp;CHAR(34)&amp;C116&amp;CHAR(34)&amp;","&amp;CHAR(34)&amp;"commitment"&amp;CHAR(34)&amp;":"&amp;CHAR(34)&amp;IF(F116="sha256","text-utf8-sha256","value")&amp;CHAR(34)&amp;","&amp;CHAR(34)&amp;"transform"&amp;CHAR(34)&amp;":"&amp;CHAR(34)&amp;G116&amp;CHAR(34)&amp;"}")</f>
        <v/>
      </c>
      <c r="I116">
        <f>IF(E116&lt;&gt;"INCLUDE","","'|"&amp;B116&amp;"=', "&amp;IF(F116="date","if(string-length(string(${"&amp;B116&amp;"})) &gt; 0, format-date(${"&amp;B116&amp;"}, '%Y-%m-%d'), '')",IF(F116="sha256","digest(string(${"&amp;B116&amp;"}), 'SHA-256', 'hex')","string(${"&amp;B116&amp;"})")))</f>
        <v/>
      </c>
      <c r="J116">
        <f>IF(E116="INCLUDE","Included by explicit yes","Not included")</f>
        <v/>
      </c>
      <c r="K116">
        <f>K115&amp;IF(H116="","",","&amp;H116)</f>
        <v/>
      </c>
      <c r="L116">
        <f>L115&amp;IF(I116="","",","&amp;I116)</f>
        <v/>
      </c>
    </row>
    <row r="117">
      <c r="A117" t="n">
        <v>134</v>
      </c>
      <c r="B117">
        <f>survey!B134</f>
        <v/>
      </c>
      <c r="C117">
        <f>survey!A134</f>
        <v/>
      </c>
      <c r="D117" t="inlineStr"/>
      <c r="E117">
        <f>IF(OR(B117="",C117=""),"",IF(LOWER(D117)="yes","INCLUDE","EXCLUDE"))</f>
        <v/>
      </c>
      <c r="F117">
        <f>IF(E117&lt;&gt;"INCLUDE","",IF(LEFT(LOWER(C117),10)="select_one ","select_one",IF(LOWER(C117)="date","date",IF(OR(LOWER(C117)="integer",LOWER(C117)="decimal",LOWER(C117)="range"),LOWER(C117),"sha256"))))</f>
        <v/>
      </c>
      <c r="G117">
        <f>IF(E117&lt;&gt;"INCLUDE","",IF(F117="date","yyyy-mm-dd",IF(F117="select_one","stored-choice-name",IF(F117="sha256","odk-lexical-utf8-sha256","odk-canonical-scalar"))))</f>
        <v/>
      </c>
      <c r="H117">
        <f>IF(E117&lt;&gt;"INCLUDE","","{"&amp;CHAR(34)&amp;"path"&amp;CHAR(34)&amp;":"&amp;CHAR(34)&amp;B117&amp;CHAR(34)&amp;","&amp;CHAR(34)&amp;"type"&amp;CHAR(34)&amp;":"&amp;CHAR(34)&amp;F117&amp;CHAR(34)&amp;","&amp;CHAR(34)&amp;"xlsform_type"&amp;CHAR(34)&amp;":"&amp;CHAR(34)&amp;C117&amp;CHAR(34)&amp;","&amp;CHAR(34)&amp;"commitment"&amp;CHAR(34)&amp;":"&amp;CHAR(34)&amp;IF(F117="sha256","text-utf8-sha256","value")&amp;CHAR(34)&amp;","&amp;CHAR(34)&amp;"transform"&amp;CHAR(34)&amp;":"&amp;CHAR(34)&amp;G117&amp;CHAR(34)&amp;"}")</f>
        <v/>
      </c>
      <c r="I117">
        <f>IF(E117&lt;&gt;"INCLUDE","","'|"&amp;B117&amp;"=', "&amp;IF(F117="date","if(string-length(string(${"&amp;B117&amp;"})) &gt; 0, format-date(${"&amp;B117&amp;"}, '%Y-%m-%d'), '')",IF(F117="sha256","digest(string(${"&amp;B117&amp;"}), 'SHA-256', 'hex')","string(${"&amp;B117&amp;"})")))</f>
        <v/>
      </c>
      <c r="J117">
        <f>IF(E117="INCLUDE","Included by explicit yes","Not included")</f>
        <v/>
      </c>
      <c r="K117">
        <f>K116&amp;IF(H117="","",","&amp;H117)</f>
        <v/>
      </c>
      <c r="L117">
        <f>L116&amp;IF(I117="","",","&amp;I117)</f>
        <v/>
      </c>
    </row>
    <row r="118">
      <c r="A118" t="n">
        <v>135</v>
      </c>
      <c r="B118">
        <f>survey!B135</f>
        <v/>
      </c>
      <c r="C118">
        <f>survey!A135</f>
        <v/>
      </c>
      <c r="D118" t="inlineStr"/>
      <c r="E118">
        <f>IF(OR(B118="",C118=""),"",IF(LOWER(D118)="yes","INCLUDE","EXCLUDE"))</f>
        <v/>
      </c>
      <c r="F118">
        <f>IF(E118&lt;&gt;"INCLUDE","",IF(LEFT(LOWER(C118),10)="select_one ","select_one",IF(LOWER(C118)="date","date",IF(OR(LOWER(C118)="integer",LOWER(C118)="decimal",LOWER(C118)="range"),LOWER(C118),"sha256"))))</f>
        <v/>
      </c>
      <c r="G118">
        <f>IF(E118&lt;&gt;"INCLUDE","",IF(F118="date","yyyy-mm-dd",IF(F118="select_one","stored-choice-name",IF(F118="sha256","odk-lexical-utf8-sha256","odk-canonical-scalar"))))</f>
        <v/>
      </c>
      <c r="H118">
        <f>IF(E118&lt;&gt;"INCLUDE","","{"&amp;CHAR(34)&amp;"path"&amp;CHAR(34)&amp;":"&amp;CHAR(34)&amp;B118&amp;CHAR(34)&amp;","&amp;CHAR(34)&amp;"type"&amp;CHAR(34)&amp;":"&amp;CHAR(34)&amp;F118&amp;CHAR(34)&amp;","&amp;CHAR(34)&amp;"xlsform_type"&amp;CHAR(34)&amp;":"&amp;CHAR(34)&amp;C118&amp;CHAR(34)&amp;","&amp;CHAR(34)&amp;"commitment"&amp;CHAR(34)&amp;":"&amp;CHAR(34)&amp;IF(F118="sha256","text-utf8-sha256","value")&amp;CHAR(34)&amp;","&amp;CHAR(34)&amp;"transform"&amp;CHAR(34)&amp;":"&amp;CHAR(34)&amp;G118&amp;CHAR(34)&amp;"}")</f>
        <v/>
      </c>
      <c r="I118">
        <f>IF(E118&lt;&gt;"INCLUDE","","'|"&amp;B118&amp;"=', "&amp;IF(F118="date","if(string-length(string(${"&amp;B118&amp;"})) &gt; 0, format-date(${"&amp;B118&amp;"}, '%Y-%m-%d'), '')",IF(F118="sha256","digest(string(${"&amp;B118&amp;"}), 'SHA-256', 'hex')","string(${"&amp;B118&amp;"})")))</f>
        <v/>
      </c>
      <c r="J118">
        <f>IF(E118="INCLUDE","Included by explicit yes","Not included")</f>
        <v/>
      </c>
      <c r="K118">
        <f>K117&amp;IF(H118="","",","&amp;H118)</f>
        <v/>
      </c>
      <c r="L118">
        <f>L117&amp;IF(I118="","",","&amp;I118)</f>
        <v/>
      </c>
    </row>
    <row r="119">
      <c r="A119" t="n">
        <v>136</v>
      </c>
      <c r="B119">
        <f>survey!B136</f>
        <v/>
      </c>
      <c r="C119">
        <f>survey!A136</f>
        <v/>
      </c>
      <c r="D119" t="inlineStr"/>
      <c r="E119">
        <f>IF(OR(B119="",C119=""),"",IF(LOWER(D119)="yes","INCLUDE","EXCLUDE"))</f>
        <v/>
      </c>
      <c r="F119">
        <f>IF(E119&lt;&gt;"INCLUDE","",IF(LEFT(LOWER(C119),10)="select_one ","select_one",IF(LOWER(C119)="date","date",IF(OR(LOWER(C119)="integer",LOWER(C119)="decimal",LOWER(C119)="range"),LOWER(C119),"sha256"))))</f>
        <v/>
      </c>
      <c r="G119">
        <f>IF(E119&lt;&gt;"INCLUDE","",IF(F119="date","yyyy-mm-dd",IF(F119="select_one","stored-choice-name",IF(F119="sha256","odk-lexical-utf8-sha256","odk-canonical-scalar"))))</f>
        <v/>
      </c>
      <c r="H119">
        <f>IF(E119&lt;&gt;"INCLUDE","","{"&amp;CHAR(34)&amp;"path"&amp;CHAR(34)&amp;":"&amp;CHAR(34)&amp;B119&amp;CHAR(34)&amp;","&amp;CHAR(34)&amp;"type"&amp;CHAR(34)&amp;":"&amp;CHAR(34)&amp;F119&amp;CHAR(34)&amp;","&amp;CHAR(34)&amp;"xlsform_type"&amp;CHAR(34)&amp;":"&amp;CHAR(34)&amp;C119&amp;CHAR(34)&amp;","&amp;CHAR(34)&amp;"commitment"&amp;CHAR(34)&amp;":"&amp;CHAR(34)&amp;IF(F119="sha256","text-utf8-sha256","value")&amp;CHAR(34)&amp;","&amp;CHAR(34)&amp;"transform"&amp;CHAR(34)&amp;":"&amp;CHAR(34)&amp;G119&amp;CHAR(34)&amp;"}")</f>
        <v/>
      </c>
      <c r="I119">
        <f>IF(E119&lt;&gt;"INCLUDE","","'|"&amp;B119&amp;"=', "&amp;IF(F119="date","if(string-length(string(${"&amp;B119&amp;"})) &gt; 0, format-date(${"&amp;B119&amp;"}, '%Y-%m-%d'), '')",IF(F119="sha256","digest(string(${"&amp;B119&amp;"}), 'SHA-256', 'hex')","string(${"&amp;B119&amp;"})")))</f>
        <v/>
      </c>
      <c r="J119">
        <f>IF(E119="INCLUDE","Included by explicit yes","Not included")</f>
        <v/>
      </c>
      <c r="K119">
        <f>K118&amp;IF(H119="","",","&amp;H119)</f>
        <v/>
      </c>
      <c r="L119">
        <f>L118&amp;IF(I119="","",","&amp;I119)</f>
        <v/>
      </c>
    </row>
    <row r="120">
      <c r="A120" t="n">
        <v>137</v>
      </c>
      <c r="B120">
        <f>survey!B137</f>
        <v/>
      </c>
      <c r="C120">
        <f>survey!A137</f>
        <v/>
      </c>
      <c r="D120" t="inlineStr"/>
      <c r="E120">
        <f>IF(OR(B120="",C120=""),"",IF(LOWER(D120)="yes","INCLUDE","EXCLUDE"))</f>
        <v/>
      </c>
      <c r="F120">
        <f>IF(E120&lt;&gt;"INCLUDE","",IF(LEFT(LOWER(C120),10)="select_one ","select_one",IF(LOWER(C120)="date","date",IF(OR(LOWER(C120)="integer",LOWER(C120)="decimal",LOWER(C120)="range"),LOWER(C120),"sha256"))))</f>
        <v/>
      </c>
      <c r="G120">
        <f>IF(E120&lt;&gt;"INCLUDE","",IF(F120="date","yyyy-mm-dd",IF(F120="select_one","stored-choice-name",IF(F120="sha256","odk-lexical-utf8-sha256","odk-canonical-scalar"))))</f>
        <v/>
      </c>
      <c r="H120">
        <f>IF(E120&lt;&gt;"INCLUDE","","{"&amp;CHAR(34)&amp;"path"&amp;CHAR(34)&amp;":"&amp;CHAR(34)&amp;B120&amp;CHAR(34)&amp;","&amp;CHAR(34)&amp;"type"&amp;CHAR(34)&amp;":"&amp;CHAR(34)&amp;F120&amp;CHAR(34)&amp;","&amp;CHAR(34)&amp;"xlsform_type"&amp;CHAR(34)&amp;":"&amp;CHAR(34)&amp;C120&amp;CHAR(34)&amp;","&amp;CHAR(34)&amp;"commitment"&amp;CHAR(34)&amp;":"&amp;CHAR(34)&amp;IF(F120="sha256","text-utf8-sha256","value")&amp;CHAR(34)&amp;","&amp;CHAR(34)&amp;"transform"&amp;CHAR(34)&amp;":"&amp;CHAR(34)&amp;G120&amp;CHAR(34)&amp;"}")</f>
        <v/>
      </c>
      <c r="I120">
        <f>IF(E120&lt;&gt;"INCLUDE","","'|"&amp;B120&amp;"=', "&amp;IF(F120="date","if(string-length(string(${"&amp;B120&amp;"})) &gt; 0, format-date(${"&amp;B120&amp;"}, '%Y-%m-%d'), '')",IF(F120="sha256","digest(string(${"&amp;B120&amp;"}), 'SHA-256', 'hex')","string(${"&amp;B120&amp;"})")))</f>
        <v/>
      </c>
      <c r="J120">
        <f>IF(E120="INCLUDE","Included by explicit yes","Not included")</f>
        <v/>
      </c>
      <c r="K120">
        <f>K119&amp;IF(H120="","",","&amp;H120)</f>
        <v/>
      </c>
      <c r="L120">
        <f>L119&amp;IF(I120="","",","&amp;I120)</f>
        <v/>
      </c>
    </row>
    <row r="121">
      <c r="A121" t="n">
        <v>138</v>
      </c>
      <c r="B121">
        <f>survey!B138</f>
        <v/>
      </c>
      <c r="C121">
        <f>survey!A138</f>
        <v/>
      </c>
      <c r="D121" t="inlineStr"/>
      <c r="E121">
        <f>IF(OR(B121="",C121=""),"",IF(LOWER(D121)="yes","INCLUDE","EXCLUDE"))</f>
        <v/>
      </c>
      <c r="F121">
        <f>IF(E121&lt;&gt;"INCLUDE","",IF(LEFT(LOWER(C121),10)="select_one ","select_one",IF(LOWER(C121)="date","date",IF(OR(LOWER(C121)="integer",LOWER(C121)="decimal",LOWER(C121)="range"),LOWER(C121),"sha256"))))</f>
        <v/>
      </c>
      <c r="G121">
        <f>IF(E121&lt;&gt;"INCLUDE","",IF(F121="date","yyyy-mm-dd",IF(F121="select_one","stored-choice-name",IF(F121="sha256","odk-lexical-utf8-sha256","odk-canonical-scalar"))))</f>
        <v/>
      </c>
      <c r="H121">
        <f>IF(E121&lt;&gt;"INCLUDE","","{"&amp;CHAR(34)&amp;"path"&amp;CHAR(34)&amp;":"&amp;CHAR(34)&amp;B121&amp;CHAR(34)&amp;","&amp;CHAR(34)&amp;"type"&amp;CHAR(34)&amp;":"&amp;CHAR(34)&amp;F121&amp;CHAR(34)&amp;","&amp;CHAR(34)&amp;"xlsform_type"&amp;CHAR(34)&amp;":"&amp;CHAR(34)&amp;C121&amp;CHAR(34)&amp;","&amp;CHAR(34)&amp;"commitment"&amp;CHAR(34)&amp;":"&amp;CHAR(34)&amp;IF(F121="sha256","text-utf8-sha256","value")&amp;CHAR(34)&amp;","&amp;CHAR(34)&amp;"transform"&amp;CHAR(34)&amp;":"&amp;CHAR(34)&amp;G121&amp;CHAR(34)&amp;"}")</f>
        <v/>
      </c>
      <c r="I121">
        <f>IF(E121&lt;&gt;"INCLUDE","","'|"&amp;B121&amp;"=', "&amp;IF(F121="date","if(string-length(string(${"&amp;B121&amp;"})) &gt; 0, format-date(${"&amp;B121&amp;"}, '%Y-%m-%d'), '')",IF(F121="sha256","digest(string(${"&amp;B121&amp;"}), 'SHA-256', 'hex')","string(${"&amp;B121&amp;"})")))</f>
        <v/>
      </c>
      <c r="J121">
        <f>IF(E121="INCLUDE","Included by explicit yes","Not included")</f>
        <v/>
      </c>
      <c r="K121">
        <f>K120&amp;IF(H121="","",","&amp;H121)</f>
        <v/>
      </c>
      <c r="L121">
        <f>L120&amp;IF(I121="","",","&amp;I121)</f>
        <v/>
      </c>
    </row>
    <row r="122">
      <c r="A122" t="n">
        <v>139</v>
      </c>
      <c r="B122">
        <f>survey!B139</f>
        <v/>
      </c>
      <c r="C122">
        <f>survey!A139</f>
        <v/>
      </c>
      <c r="D122" t="inlineStr"/>
      <c r="E122">
        <f>IF(OR(B122="",C122=""),"",IF(LOWER(D122)="yes","INCLUDE","EXCLUDE"))</f>
        <v/>
      </c>
      <c r="F122">
        <f>IF(E122&lt;&gt;"INCLUDE","",IF(LEFT(LOWER(C122),10)="select_one ","select_one",IF(LOWER(C122)="date","date",IF(OR(LOWER(C122)="integer",LOWER(C122)="decimal",LOWER(C122)="range"),LOWER(C122),"sha256"))))</f>
        <v/>
      </c>
      <c r="G122">
        <f>IF(E122&lt;&gt;"INCLUDE","",IF(F122="date","yyyy-mm-dd",IF(F122="select_one","stored-choice-name",IF(F122="sha256","odk-lexical-utf8-sha256","odk-canonical-scalar"))))</f>
        <v/>
      </c>
      <c r="H122">
        <f>IF(E122&lt;&gt;"INCLUDE","","{"&amp;CHAR(34)&amp;"path"&amp;CHAR(34)&amp;":"&amp;CHAR(34)&amp;B122&amp;CHAR(34)&amp;","&amp;CHAR(34)&amp;"type"&amp;CHAR(34)&amp;":"&amp;CHAR(34)&amp;F122&amp;CHAR(34)&amp;","&amp;CHAR(34)&amp;"xlsform_type"&amp;CHAR(34)&amp;":"&amp;CHAR(34)&amp;C122&amp;CHAR(34)&amp;","&amp;CHAR(34)&amp;"commitment"&amp;CHAR(34)&amp;":"&amp;CHAR(34)&amp;IF(F122="sha256","text-utf8-sha256","value")&amp;CHAR(34)&amp;","&amp;CHAR(34)&amp;"transform"&amp;CHAR(34)&amp;":"&amp;CHAR(34)&amp;G122&amp;CHAR(34)&amp;"}")</f>
        <v/>
      </c>
      <c r="I122">
        <f>IF(E122&lt;&gt;"INCLUDE","","'|"&amp;B122&amp;"=', "&amp;IF(F122="date","if(string-length(string(${"&amp;B122&amp;"})) &gt; 0, format-date(${"&amp;B122&amp;"}, '%Y-%m-%d'), '')",IF(F122="sha256","digest(string(${"&amp;B122&amp;"}), 'SHA-256', 'hex')","string(${"&amp;B122&amp;"})")))</f>
        <v/>
      </c>
      <c r="J122">
        <f>IF(E122="INCLUDE","Included by explicit yes","Not included")</f>
        <v/>
      </c>
      <c r="K122">
        <f>K121&amp;IF(H122="","",","&amp;H122)</f>
        <v/>
      </c>
      <c r="L122">
        <f>L121&amp;IF(I122="","",","&amp;I122)</f>
        <v/>
      </c>
    </row>
    <row r="123">
      <c r="A123" t="n">
        <v>140</v>
      </c>
      <c r="B123">
        <f>survey!B140</f>
        <v/>
      </c>
      <c r="C123">
        <f>survey!A140</f>
        <v/>
      </c>
      <c r="D123" t="inlineStr"/>
      <c r="E123">
        <f>IF(OR(B123="",C123=""),"",IF(LOWER(D123)="yes","INCLUDE","EXCLUDE"))</f>
        <v/>
      </c>
      <c r="F123">
        <f>IF(E123&lt;&gt;"INCLUDE","",IF(LEFT(LOWER(C123),10)="select_one ","select_one",IF(LOWER(C123)="date","date",IF(OR(LOWER(C123)="integer",LOWER(C123)="decimal",LOWER(C123)="range"),LOWER(C123),"sha256"))))</f>
        <v/>
      </c>
      <c r="G123">
        <f>IF(E123&lt;&gt;"INCLUDE","",IF(F123="date","yyyy-mm-dd",IF(F123="select_one","stored-choice-name",IF(F123="sha256","odk-lexical-utf8-sha256","odk-canonical-scalar"))))</f>
        <v/>
      </c>
      <c r="H123">
        <f>IF(E123&lt;&gt;"INCLUDE","","{"&amp;CHAR(34)&amp;"path"&amp;CHAR(34)&amp;":"&amp;CHAR(34)&amp;B123&amp;CHAR(34)&amp;","&amp;CHAR(34)&amp;"type"&amp;CHAR(34)&amp;":"&amp;CHAR(34)&amp;F123&amp;CHAR(34)&amp;","&amp;CHAR(34)&amp;"xlsform_type"&amp;CHAR(34)&amp;":"&amp;CHAR(34)&amp;C123&amp;CHAR(34)&amp;","&amp;CHAR(34)&amp;"commitment"&amp;CHAR(34)&amp;":"&amp;CHAR(34)&amp;IF(F123="sha256","text-utf8-sha256","value")&amp;CHAR(34)&amp;","&amp;CHAR(34)&amp;"transform"&amp;CHAR(34)&amp;":"&amp;CHAR(34)&amp;G123&amp;CHAR(34)&amp;"}")</f>
        <v/>
      </c>
      <c r="I123">
        <f>IF(E123&lt;&gt;"INCLUDE","","'|"&amp;B123&amp;"=', "&amp;IF(F123="date","if(string-length(string(${"&amp;B123&amp;"})) &gt; 0, format-date(${"&amp;B123&amp;"}, '%Y-%m-%d'), '')",IF(F123="sha256","digest(string(${"&amp;B123&amp;"}), 'SHA-256', 'hex')","string(${"&amp;B123&amp;"})")))</f>
        <v/>
      </c>
      <c r="J123">
        <f>IF(E123="INCLUDE","Included by explicit yes","Not included")</f>
        <v/>
      </c>
      <c r="K123">
        <f>K122&amp;IF(H123="","",","&amp;H123)</f>
        <v/>
      </c>
      <c r="L123">
        <f>L122&amp;IF(I123="","",","&amp;I123)</f>
        <v/>
      </c>
    </row>
    <row r="124">
      <c r="A124" t="n">
        <v>141</v>
      </c>
      <c r="B124">
        <f>survey!B141</f>
        <v/>
      </c>
      <c r="C124">
        <f>survey!A141</f>
        <v/>
      </c>
      <c r="D124" t="inlineStr"/>
      <c r="E124">
        <f>IF(OR(B124="",C124=""),"",IF(LOWER(D124)="yes","INCLUDE","EXCLUDE"))</f>
        <v/>
      </c>
      <c r="F124">
        <f>IF(E124&lt;&gt;"INCLUDE","",IF(LEFT(LOWER(C124),10)="select_one ","select_one",IF(LOWER(C124)="date","date",IF(OR(LOWER(C124)="integer",LOWER(C124)="decimal",LOWER(C124)="range"),LOWER(C124),"sha256"))))</f>
        <v/>
      </c>
      <c r="G124">
        <f>IF(E124&lt;&gt;"INCLUDE","",IF(F124="date","yyyy-mm-dd",IF(F124="select_one","stored-choice-name",IF(F124="sha256","odk-lexical-utf8-sha256","odk-canonical-scalar"))))</f>
        <v/>
      </c>
      <c r="H124">
        <f>IF(E124&lt;&gt;"INCLUDE","","{"&amp;CHAR(34)&amp;"path"&amp;CHAR(34)&amp;":"&amp;CHAR(34)&amp;B124&amp;CHAR(34)&amp;","&amp;CHAR(34)&amp;"type"&amp;CHAR(34)&amp;":"&amp;CHAR(34)&amp;F124&amp;CHAR(34)&amp;","&amp;CHAR(34)&amp;"xlsform_type"&amp;CHAR(34)&amp;":"&amp;CHAR(34)&amp;C124&amp;CHAR(34)&amp;","&amp;CHAR(34)&amp;"commitment"&amp;CHAR(34)&amp;":"&amp;CHAR(34)&amp;IF(F124="sha256","text-utf8-sha256","value")&amp;CHAR(34)&amp;","&amp;CHAR(34)&amp;"transform"&amp;CHAR(34)&amp;":"&amp;CHAR(34)&amp;G124&amp;CHAR(34)&amp;"}")</f>
        <v/>
      </c>
      <c r="I124">
        <f>IF(E124&lt;&gt;"INCLUDE","","'|"&amp;B124&amp;"=', "&amp;IF(F124="date","if(string-length(string(${"&amp;B124&amp;"})) &gt; 0, format-date(${"&amp;B124&amp;"}, '%Y-%m-%d'), '')",IF(F124="sha256","digest(string(${"&amp;B124&amp;"}), 'SHA-256', 'hex')","string(${"&amp;B124&amp;"})")))</f>
        <v/>
      </c>
      <c r="J124">
        <f>IF(E124="INCLUDE","Included by explicit yes","Not included")</f>
        <v/>
      </c>
      <c r="K124">
        <f>K123&amp;IF(H124="","",","&amp;H124)</f>
        <v/>
      </c>
      <c r="L124">
        <f>L123&amp;IF(I124="","",","&amp;I124)</f>
        <v/>
      </c>
    </row>
    <row r="125">
      <c r="A125" t="n">
        <v>142</v>
      </c>
      <c r="B125">
        <f>survey!B142</f>
        <v/>
      </c>
      <c r="C125">
        <f>survey!A142</f>
        <v/>
      </c>
      <c r="D125" t="inlineStr"/>
      <c r="E125">
        <f>IF(OR(B125="",C125=""),"",IF(LOWER(D125)="yes","INCLUDE","EXCLUDE"))</f>
        <v/>
      </c>
      <c r="F125">
        <f>IF(E125&lt;&gt;"INCLUDE","",IF(LEFT(LOWER(C125),10)="select_one ","select_one",IF(LOWER(C125)="date","date",IF(OR(LOWER(C125)="integer",LOWER(C125)="decimal",LOWER(C125)="range"),LOWER(C125),"sha256"))))</f>
        <v/>
      </c>
      <c r="G125">
        <f>IF(E125&lt;&gt;"INCLUDE","",IF(F125="date","yyyy-mm-dd",IF(F125="select_one","stored-choice-name",IF(F125="sha256","odk-lexical-utf8-sha256","odk-canonical-scalar"))))</f>
        <v/>
      </c>
      <c r="H125">
        <f>IF(E125&lt;&gt;"INCLUDE","","{"&amp;CHAR(34)&amp;"path"&amp;CHAR(34)&amp;":"&amp;CHAR(34)&amp;B125&amp;CHAR(34)&amp;","&amp;CHAR(34)&amp;"type"&amp;CHAR(34)&amp;":"&amp;CHAR(34)&amp;F125&amp;CHAR(34)&amp;","&amp;CHAR(34)&amp;"xlsform_type"&amp;CHAR(34)&amp;":"&amp;CHAR(34)&amp;C125&amp;CHAR(34)&amp;","&amp;CHAR(34)&amp;"commitment"&amp;CHAR(34)&amp;":"&amp;CHAR(34)&amp;IF(F125="sha256","text-utf8-sha256","value")&amp;CHAR(34)&amp;","&amp;CHAR(34)&amp;"transform"&amp;CHAR(34)&amp;":"&amp;CHAR(34)&amp;G125&amp;CHAR(34)&amp;"}")</f>
        <v/>
      </c>
      <c r="I125">
        <f>IF(E125&lt;&gt;"INCLUDE","","'|"&amp;B125&amp;"=', "&amp;IF(F125="date","if(string-length(string(${"&amp;B125&amp;"})) &gt; 0, format-date(${"&amp;B125&amp;"}, '%Y-%m-%d'), '')",IF(F125="sha256","digest(string(${"&amp;B125&amp;"}), 'SHA-256', 'hex')","string(${"&amp;B125&amp;"})")))</f>
        <v/>
      </c>
      <c r="J125">
        <f>IF(E125="INCLUDE","Included by explicit yes","Not included")</f>
        <v/>
      </c>
      <c r="K125">
        <f>K124&amp;IF(H125="","",","&amp;H125)</f>
        <v/>
      </c>
      <c r="L125">
        <f>L124&amp;IF(I125="","",","&amp;I125)</f>
        <v/>
      </c>
    </row>
    <row r="126">
      <c r="A126" t="n">
        <v>143</v>
      </c>
      <c r="B126">
        <f>survey!B143</f>
        <v/>
      </c>
      <c r="C126">
        <f>survey!A143</f>
        <v/>
      </c>
      <c r="D126" t="inlineStr"/>
      <c r="E126">
        <f>IF(OR(B126="",C126=""),"",IF(LOWER(D126)="yes","INCLUDE","EXCLUDE"))</f>
        <v/>
      </c>
      <c r="F126">
        <f>IF(E126&lt;&gt;"INCLUDE","",IF(LEFT(LOWER(C126),10)="select_one ","select_one",IF(LOWER(C126)="date","date",IF(OR(LOWER(C126)="integer",LOWER(C126)="decimal",LOWER(C126)="range"),LOWER(C126),"sha256"))))</f>
        <v/>
      </c>
      <c r="G126">
        <f>IF(E126&lt;&gt;"INCLUDE","",IF(F126="date","yyyy-mm-dd",IF(F126="select_one","stored-choice-name",IF(F126="sha256","odk-lexical-utf8-sha256","odk-canonical-scalar"))))</f>
        <v/>
      </c>
      <c r="H126">
        <f>IF(E126&lt;&gt;"INCLUDE","","{"&amp;CHAR(34)&amp;"path"&amp;CHAR(34)&amp;":"&amp;CHAR(34)&amp;B126&amp;CHAR(34)&amp;","&amp;CHAR(34)&amp;"type"&amp;CHAR(34)&amp;":"&amp;CHAR(34)&amp;F126&amp;CHAR(34)&amp;","&amp;CHAR(34)&amp;"xlsform_type"&amp;CHAR(34)&amp;":"&amp;CHAR(34)&amp;C126&amp;CHAR(34)&amp;","&amp;CHAR(34)&amp;"commitment"&amp;CHAR(34)&amp;":"&amp;CHAR(34)&amp;IF(F126="sha256","text-utf8-sha256","value")&amp;CHAR(34)&amp;","&amp;CHAR(34)&amp;"transform"&amp;CHAR(34)&amp;":"&amp;CHAR(34)&amp;G126&amp;CHAR(34)&amp;"}")</f>
        <v/>
      </c>
      <c r="I126">
        <f>IF(E126&lt;&gt;"INCLUDE","","'|"&amp;B126&amp;"=', "&amp;IF(F126="date","if(string-length(string(${"&amp;B126&amp;"})) &gt; 0, format-date(${"&amp;B126&amp;"}, '%Y-%m-%d'), '')",IF(F126="sha256","digest(string(${"&amp;B126&amp;"}), 'SHA-256', 'hex')","string(${"&amp;B126&amp;"})")))</f>
        <v/>
      </c>
      <c r="J126">
        <f>IF(E126="INCLUDE","Included by explicit yes","Not included")</f>
        <v/>
      </c>
      <c r="K126">
        <f>K125&amp;IF(H126="","",","&amp;H126)</f>
        <v/>
      </c>
      <c r="L126">
        <f>L125&amp;IF(I126="","",","&amp;I126)</f>
        <v/>
      </c>
    </row>
    <row r="127">
      <c r="A127" t="n">
        <v>144</v>
      </c>
      <c r="B127">
        <f>survey!B144</f>
        <v/>
      </c>
      <c r="C127">
        <f>survey!A144</f>
        <v/>
      </c>
      <c r="D127" t="inlineStr"/>
      <c r="E127">
        <f>IF(OR(B127="",C127=""),"",IF(LOWER(D127)="yes","INCLUDE","EXCLUDE"))</f>
        <v/>
      </c>
      <c r="F127">
        <f>IF(E127&lt;&gt;"INCLUDE","",IF(LEFT(LOWER(C127),10)="select_one ","select_one",IF(LOWER(C127)="date","date",IF(OR(LOWER(C127)="integer",LOWER(C127)="decimal",LOWER(C127)="range"),LOWER(C127),"sha256"))))</f>
        <v/>
      </c>
      <c r="G127">
        <f>IF(E127&lt;&gt;"INCLUDE","",IF(F127="date","yyyy-mm-dd",IF(F127="select_one","stored-choice-name",IF(F127="sha256","odk-lexical-utf8-sha256","odk-canonical-scalar"))))</f>
        <v/>
      </c>
      <c r="H127">
        <f>IF(E127&lt;&gt;"INCLUDE","","{"&amp;CHAR(34)&amp;"path"&amp;CHAR(34)&amp;":"&amp;CHAR(34)&amp;B127&amp;CHAR(34)&amp;","&amp;CHAR(34)&amp;"type"&amp;CHAR(34)&amp;":"&amp;CHAR(34)&amp;F127&amp;CHAR(34)&amp;","&amp;CHAR(34)&amp;"xlsform_type"&amp;CHAR(34)&amp;":"&amp;CHAR(34)&amp;C127&amp;CHAR(34)&amp;","&amp;CHAR(34)&amp;"commitment"&amp;CHAR(34)&amp;":"&amp;CHAR(34)&amp;IF(F127="sha256","text-utf8-sha256","value")&amp;CHAR(34)&amp;","&amp;CHAR(34)&amp;"transform"&amp;CHAR(34)&amp;":"&amp;CHAR(34)&amp;G127&amp;CHAR(34)&amp;"}")</f>
        <v/>
      </c>
      <c r="I127">
        <f>IF(E127&lt;&gt;"INCLUDE","","'|"&amp;B127&amp;"=', "&amp;IF(F127="date","if(string-length(string(${"&amp;B127&amp;"})) &gt; 0, format-date(${"&amp;B127&amp;"}, '%Y-%m-%d'), '')",IF(F127="sha256","digest(string(${"&amp;B127&amp;"}), 'SHA-256', 'hex')","string(${"&amp;B127&amp;"})")))</f>
        <v/>
      </c>
      <c r="J127">
        <f>IF(E127="INCLUDE","Included by explicit yes","Not included")</f>
        <v/>
      </c>
      <c r="K127">
        <f>K126&amp;IF(H127="","",","&amp;H127)</f>
        <v/>
      </c>
      <c r="L127">
        <f>L126&amp;IF(I127="","",","&amp;I127)</f>
        <v/>
      </c>
    </row>
    <row r="128">
      <c r="A128" t="n">
        <v>145</v>
      </c>
      <c r="B128">
        <f>survey!B145</f>
        <v/>
      </c>
      <c r="C128">
        <f>survey!A145</f>
        <v/>
      </c>
      <c r="D128" t="inlineStr"/>
      <c r="E128">
        <f>IF(OR(B128="",C128=""),"",IF(LOWER(D128)="yes","INCLUDE","EXCLUDE"))</f>
        <v/>
      </c>
      <c r="F128">
        <f>IF(E128&lt;&gt;"INCLUDE","",IF(LEFT(LOWER(C128),10)="select_one ","select_one",IF(LOWER(C128)="date","date",IF(OR(LOWER(C128)="integer",LOWER(C128)="decimal",LOWER(C128)="range"),LOWER(C128),"sha256"))))</f>
        <v/>
      </c>
      <c r="G128">
        <f>IF(E128&lt;&gt;"INCLUDE","",IF(F128="date","yyyy-mm-dd",IF(F128="select_one","stored-choice-name",IF(F128="sha256","odk-lexical-utf8-sha256","odk-canonical-scalar"))))</f>
        <v/>
      </c>
      <c r="H128">
        <f>IF(E128&lt;&gt;"INCLUDE","","{"&amp;CHAR(34)&amp;"path"&amp;CHAR(34)&amp;":"&amp;CHAR(34)&amp;B128&amp;CHAR(34)&amp;","&amp;CHAR(34)&amp;"type"&amp;CHAR(34)&amp;":"&amp;CHAR(34)&amp;F128&amp;CHAR(34)&amp;","&amp;CHAR(34)&amp;"xlsform_type"&amp;CHAR(34)&amp;":"&amp;CHAR(34)&amp;C128&amp;CHAR(34)&amp;","&amp;CHAR(34)&amp;"commitment"&amp;CHAR(34)&amp;":"&amp;CHAR(34)&amp;IF(F128="sha256","text-utf8-sha256","value")&amp;CHAR(34)&amp;","&amp;CHAR(34)&amp;"transform"&amp;CHAR(34)&amp;":"&amp;CHAR(34)&amp;G128&amp;CHAR(34)&amp;"}")</f>
        <v/>
      </c>
      <c r="I128">
        <f>IF(E128&lt;&gt;"INCLUDE","","'|"&amp;B128&amp;"=', "&amp;IF(F128="date","if(string-length(string(${"&amp;B128&amp;"})) &gt; 0, format-date(${"&amp;B128&amp;"}, '%Y-%m-%d'), '')",IF(F128="sha256","digest(string(${"&amp;B128&amp;"}), 'SHA-256', 'hex')","string(${"&amp;B128&amp;"})")))</f>
        <v/>
      </c>
      <c r="J128">
        <f>IF(E128="INCLUDE","Included by explicit yes","Not included")</f>
        <v/>
      </c>
      <c r="K128">
        <f>K127&amp;IF(H128="","",","&amp;H128)</f>
        <v/>
      </c>
      <c r="L128">
        <f>L127&amp;IF(I128="","",","&amp;I128)</f>
        <v/>
      </c>
    </row>
    <row r="129">
      <c r="A129" t="n">
        <v>146</v>
      </c>
      <c r="B129">
        <f>survey!B146</f>
        <v/>
      </c>
      <c r="C129">
        <f>survey!A146</f>
        <v/>
      </c>
      <c r="D129" t="inlineStr"/>
      <c r="E129">
        <f>IF(OR(B129="",C129=""),"",IF(LOWER(D129)="yes","INCLUDE","EXCLUDE"))</f>
        <v/>
      </c>
      <c r="F129">
        <f>IF(E129&lt;&gt;"INCLUDE","",IF(LEFT(LOWER(C129),10)="select_one ","select_one",IF(LOWER(C129)="date","date",IF(OR(LOWER(C129)="integer",LOWER(C129)="decimal",LOWER(C129)="range"),LOWER(C129),"sha256"))))</f>
        <v/>
      </c>
      <c r="G129">
        <f>IF(E129&lt;&gt;"INCLUDE","",IF(F129="date","yyyy-mm-dd",IF(F129="select_one","stored-choice-name",IF(F129="sha256","odk-lexical-utf8-sha256","odk-canonical-scalar"))))</f>
        <v/>
      </c>
      <c r="H129">
        <f>IF(E129&lt;&gt;"INCLUDE","","{"&amp;CHAR(34)&amp;"path"&amp;CHAR(34)&amp;":"&amp;CHAR(34)&amp;B129&amp;CHAR(34)&amp;","&amp;CHAR(34)&amp;"type"&amp;CHAR(34)&amp;":"&amp;CHAR(34)&amp;F129&amp;CHAR(34)&amp;","&amp;CHAR(34)&amp;"xlsform_type"&amp;CHAR(34)&amp;":"&amp;CHAR(34)&amp;C129&amp;CHAR(34)&amp;","&amp;CHAR(34)&amp;"commitment"&amp;CHAR(34)&amp;":"&amp;CHAR(34)&amp;IF(F129="sha256","text-utf8-sha256","value")&amp;CHAR(34)&amp;","&amp;CHAR(34)&amp;"transform"&amp;CHAR(34)&amp;":"&amp;CHAR(34)&amp;G129&amp;CHAR(34)&amp;"}")</f>
        <v/>
      </c>
      <c r="I129">
        <f>IF(E129&lt;&gt;"INCLUDE","","'|"&amp;B129&amp;"=', "&amp;IF(F129="date","if(string-length(string(${"&amp;B129&amp;"})) &gt; 0, format-date(${"&amp;B129&amp;"}, '%Y-%m-%d'), '')",IF(F129="sha256","digest(string(${"&amp;B129&amp;"}), 'SHA-256', 'hex')","string(${"&amp;B129&amp;"})")))</f>
        <v/>
      </c>
      <c r="J129">
        <f>IF(E129="INCLUDE","Included by explicit yes","Not included")</f>
        <v/>
      </c>
      <c r="K129">
        <f>K128&amp;IF(H129="","",","&amp;H129)</f>
        <v/>
      </c>
      <c r="L129">
        <f>L128&amp;IF(I129="","",","&amp;I129)</f>
        <v/>
      </c>
    </row>
    <row r="130">
      <c r="A130" t="n">
        <v>147</v>
      </c>
      <c r="B130">
        <f>survey!B147</f>
        <v/>
      </c>
      <c r="C130">
        <f>survey!A147</f>
        <v/>
      </c>
      <c r="D130" t="inlineStr"/>
      <c r="E130">
        <f>IF(OR(B130="",C130=""),"",IF(LOWER(D130)="yes","INCLUDE","EXCLUDE"))</f>
        <v/>
      </c>
      <c r="F130">
        <f>IF(E130&lt;&gt;"INCLUDE","",IF(LEFT(LOWER(C130),10)="select_one ","select_one",IF(LOWER(C130)="date","date",IF(OR(LOWER(C130)="integer",LOWER(C130)="decimal",LOWER(C130)="range"),LOWER(C130),"sha256"))))</f>
        <v/>
      </c>
      <c r="G130">
        <f>IF(E130&lt;&gt;"INCLUDE","",IF(F130="date","yyyy-mm-dd",IF(F130="select_one","stored-choice-name",IF(F130="sha256","odk-lexical-utf8-sha256","odk-canonical-scalar"))))</f>
        <v/>
      </c>
      <c r="H130">
        <f>IF(E130&lt;&gt;"INCLUDE","","{"&amp;CHAR(34)&amp;"path"&amp;CHAR(34)&amp;":"&amp;CHAR(34)&amp;B130&amp;CHAR(34)&amp;","&amp;CHAR(34)&amp;"type"&amp;CHAR(34)&amp;":"&amp;CHAR(34)&amp;F130&amp;CHAR(34)&amp;","&amp;CHAR(34)&amp;"xlsform_type"&amp;CHAR(34)&amp;":"&amp;CHAR(34)&amp;C130&amp;CHAR(34)&amp;","&amp;CHAR(34)&amp;"commitment"&amp;CHAR(34)&amp;":"&amp;CHAR(34)&amp;IF(F130="sha256","text-utf8-sha256","value")&amp;CHAR(34)&amp;","&amp;CHAR(34)&amp;"transform"&amp;CHAR(34)&amp;":"&amp;CHAR(34)&amp;G130&amp;CHAR(34)&amp;"}")</f>
        <v/>
      </c>
      <c r="I130">
        <f>IF(E130&lt;&gt;"INCLUDE","","'|"&amp;B130&amp;"=', "&amp;IF(F130="date","if(string-length(string(${"&amp;B130&amp;"})) &gt; 0, format-date(${"&amp;B130&amp;"}, '%Y-%m-%d'), '')",IF(F130="sha256","digest(string(${"&amp;B130&amp;"}), 'SHA-256', 'hex')","string(${"&amp;B130&amp;"})")))</f>
        <v/>
      </c>
      <c r="J130">
        <f>IF(E130="INCLUDE","Included by explicit yes","Not included")</f>
        <v/>
      </c>
      <c r="K130">
        <f>K129&amp;IF(H130="","",","&amp;H130)</f>
        <v/>
      </c>
      <c r="L130">
        <f>L129&amp;IF(I130="","",","&amp;I130)</f>
        <v/>
      </c>
    </row>
    <row r="131">
      <c r="A131" t="n">
        <v>148</v>
      </c>
      <c r="B131">
        <f>survey!B148</f>
        <v/>
      </c>
      <c r="C131">
        <f>survey!A148</f>
        <v/>
      </c>
      <c r="D131" t="inlineStr"/>
      <c r="E131">
        <f>IF(OR(B131="",C131=""),"",IF(LOWER(D131)="yes","INCLUDE","EXCLUDE"))</f>
        <v/>
      </c>
      <c r="F131">
        <f>IF(E131&lt;&gt;"INCLUDE","",IF(LEFT(LOWER(C131),10)="select_one ","select_one",IF(LOWER(C131)="date","date",IF(OR(LOWER(C131)="integer",LOWER(C131)="decimal",LOWER(C131)="range"),LOWER(C131),"sha256"))))</f>
        <v/>
      </c>
      <c r="G131">
        <f>IF(E131&lt;&gt;"INCLUDE","",IF(F131="date","yyyy-mm-dd",IF(F131="select_one","stored-choice-name",IF(F131="sha256","odk-lexical-utf8-sha256","odk-canonical-scalar"))))</f>
        <v/>
      </c>
      <c r="H131">
        <f>IF(E131&lt;&gt;"INCLUDE","","{"&amp;CHAR(34)&amp;"path"&amp;CHAR(34)&amp;":"&amp;CHAR(34)&amp;B131&amp;CHAR(34)&amp;","&amp;CHAR(34)&amp;"type"&amp;CHAR(34)&amp;":"&amp;CHAR(34)&amp;F131&amp;CHAR(34)&amp;","&amp;CHAR(34)&amp;"xlsform_type"&amp;CHAR(34)&amp;":"&amp;CHAR(34)&amp;C131&amp;CHAR(34)&amp;","&amp;CHAR(34)&amp;"commitment"&amp;CHAR(34)&amp;":"&amp;CHAR(34)&amp;IF(F131="sha256","text-utf8-sha256","value")&amp;CHAR(34)&amp;","&amp;CHAR(34)&amp;"transform"&amp;CHAR(34)&amp;":"&amp;CHAR(34)&amp;G131&amp;CHAR(34)&amp;"}")</f>
        <v/>
      </c>
      <c r="I131">
        <f>IF(E131&lt;&gt;"INCLUDE","","'|"&amp;B131&amp;"=', "&amp;IF(F131="date","if(string-length(string(${"&amp;B131&amp;"})) &gt; 0, format-date(${"&amp;B131&amp;"}, '%Y-%m-%d'), '')",IF(F131="sha256","digest(string(${"&amp;B131&amp;"}), 'SHA-256', 'hex')","string(${"&amp;B131&amp;"})")))</f>
        <v/>
      </c>
      <c r="J131">
        <f>IF(E131="INCLUDE","Included by explicit yes","Not included")</f>
        <v/>
      </c>
      <c r="K131">
        <f>K130&amp;IF(H131="","",","&amp;H131)</f>
        <v/>
      </c>
      <c r="L131">
        <f>L130&amp;IF(I131="","",","&amp;I131)</f>
        <v/>
      </c>
    </row>
    <row r="132">
      <c r="A132" t="n">
        <v>149</v>
      </c>
      <c r="B132">
        <f>survey!B149</f>
        <v/>
      </c>
      <c r="C132">
        <f>survey!A149</f>
        <v/>
      </c>
      <c r="D132" t="inlineStr"/>
      <c r="E132">
        <f>IF(OR(B132="",C132=""),"",IF(LOWER(D132)="yes","INCLUDE","EXCLUDE"))</f>
        <v/>
      </c>
      <c r="F132">
        <f>IF(E132&lt;&gt;"INCLUDE","",IF(LEFT(LOWER(C132),10)="select_one ","select_one",IF(LOWER(C132)="date","date",IF(OR(LOWER(C132)="integer",LOWER(C132)="decimal",LOWER(C132)="range"),LOWER(C132),"sha256"))))</f>
        <v/>
      </c>
      <c r="G132">
        <f>IF(E132&lt;&gt;"INCLUDE","",IF(F132="date","yyyy-mm-dd",IF(F132="select_one","stored-choice-name",IF(F132="sha256","odk-lexical-utf8-sha256","odk-canonical-scalar"))))</f>
        <v/>
      </c>
      <c r="H132">
        <f>IF(E132&lt;&gt;"INCLUDE","","{"&amp;CHAR(34)&amp;"path"&amp;CHAR(34)&amp;":"&amp;CHAR(34)&amp;B132&amp;CHAR(34)&amp;","&amp;CHAR(34)&amp;"type"&amp;CHAR(34)&amp;":"&amp;CHAR(34)&amp;F132&amp;CHAR(34)&amp;","&amp;CHAR(34)&amp;"xlsform_type"&amp;CHAR(34)&amp;":"&amp;CHAR(34)&amp;C132&amp;CHAR(34)&amp;","&amp;CHAR(34)&amp;"commitment"&amp;CHAR(34)&amp;":"&amp;CHAR(34)&amp;IF(F132="sha256","text-utf8-sha256","value")&amp;CHAR(34)&amp;","&amp;CHAR(34)&amp;"transform"&amp;CHAR(34)&amp;":"&amp;CHAR(34)&amp;G132&amp;CHAR(34)&amp;"}")</f>
        <v/>
      </c>
      <c r="I132">
        <f>IF(E132&lt;&gt;"INCLUDE","","'|"&amp;B132&amp;"=', "&amp;IF(F132="date","if(string-length(string(${"&amp;B132&amp;"})) &gt; 0, format-date(${"&amp;B132&amp;"}, '%Y-%m-%d'), '')",IF(F132="sha256","digest(string(${"&amp;B132&amp;"}), 'SHA-256', 'hex')","string(${"&amp;B132&amp;"})")))</f>
        <v/>
      </c>
      <c r="J132">
        <f>IF(E132="INCLUDE","Included by explicit yes","Not included")</f>
        <v/>
      </c>
      <c r="K132">
        <f>K131&amp;IF(H132="","",","&amp;H132)</f>
        <v/>
      </c>
      <c r="L132">
        <f>L131&amp;IF(I132="","",","&amp;I132)</f>
        <v/>
      </c>
    </row>
    <row r="133">
      <c r="A133" t="n">
        <v>150</v>
      </c>
      <c r="B133">
        <f>survey!B150</f>
        <v/>
      </c>
      <c r="C133">
        <f>survey!A150</f>
        <v/>
      </c>
      <c r="D133" t="inlineStr"/>
      <c r="E133">
        <f>IF(OR(B133="",C133=""),"",IF(LOWER(D133)="yes","INCLUDE","EXCLUDE"))</f>
        <v/>
      </c>
      <c r="F133">
        <f>IF(E133&lt;&gt;"INCLUDE","",IF(LEFT(LOWER(C133),10)="select_one ","select_one",IF(LOWER(C133)="date","date",IF(OR(LOWER(C133)="integer",LOWER(C133)="decimal",LOWER(C133)="range"),LOWER(C133),"sha256"))))</f>
        <v/>
      </c>
      <c r="G133">
        <f>IF(E133&lt;&gt;"INCLUDE","",IF(F133="date","yyyy-mm-dd",IF(F133="select_one","stored-choice-name",IF(F133="sha256","odk-lexical-utf8-sha256","odk-canonical-scalar"))))</f>
        <v/>
      </c>
      <c r="H133">
        <f>IF(E133&lt;&gt;"INCLUDE","","{"&amp;CHAR(34)&amp;"path"&amp;CHAR(34)&amp;":"&amp;CHAR(34)&amp;B133&amp;CHAR(34)&amp;","&amp;CHAR(34)&amp;"type"&amp;CHAR(34)&amp;":"&amp;CHAR(34)&amp;F133&amp;CHAR(34)&amp;","&amp;CHAR(34)&amp;"xlsform_type"&amp;CHAR(34)&amp;":"&amp;CHAR(34)&amp;C133&amp;CHAR(34)&amp;","&amp;CHAR(34)&amp;"commitment"&amp;CHAR(34)&amp;":"&amp;CHAR(34)&amp;IF(F133="sha256","text-utf8-sha256","value")&amp;CHAR(34)&amp;","&amp;CHAR(34)&amp;"transform"&amp;CHAR(34)&amp;":"&amp;CHAR(34)&amp;G133&amp;CHAR(34)&amp;"}")</f>
        <v/>
      </c>
      <c r="I133">
        <f>IF(E133&lt;&gt;"INCLUDE","","'|"&amp;B133&amp;"=', "&amp;IF(F133="date","if(string-length(string(${"&amp;B133&amp;"})) &gt; 0, format-date(${"&amp;B133&amp;"}, '%Y-%m-%d'), '')",IF(F133="sha256","digest(string(${"&amp;B133&amp;"}), 'SHA-256', 'hex')","string(${"&amp;B133&amp;"})")))</f>
        <v/>
      </c>
      <c r="J133">
        <f>IF(E133="INCLUDE","Included by explicit yes","Not included")</f>
        <v/>
      </c>
      <c r="K133">
        <f>K132&amp;IF(H133="","",","&amp;H133)</f>
        <v/>
      </c>
      <c r="L133">
        <f>L132&amp;IF(I133="","",","&amp;I133)</f>
        <v/>
      </c>
    </row>
    <row r="134">
      <c r="A134" t="n">
        <v>151</v>
      </c>
      <c r="B134">
        <f>survey!B151</f>
        <v/>
      </c>
      <c r="C134">
        <f>survey!A151</f>
        <v/>
      </c>
      <c r="D134" t="inlineStr"/>
      <c r="E134">
        <f>IF(OR(B134="",C134=""),"",IF(LOWER(D134)="yes","INCLUDE","EXCLUDE"))</f>
        <v/>
      </c>
      <c r="F134">
        <f>IF(E134&lt;&gt;"INCLUDE","",IF(LEFT(LOWER(C134),10)="select_one ","select_one",IF(LOWER(C134)="date","date",IF(OR(LOWER(C134)="integer",LOWER(C134)="decimal",LOWER(C134)="range"),LOWER(C134),"sha256"))))</f>
        <v/>
      </c>
      <c r="G134">
        <f>IF(E134&lt;&gt;"INCLUDE","",IF(F134="date","yyyy-mm-dd",IF(F134="select_one","stored-choice-name",IF(F134="sha256","odk-lexical-utf8-sha256","odk-canonical-scalar"))))</f>
        <v/>
      </c>
      <c r="H134">
        <f>IF(E134&lt;&gt;"INCLUDE","","{"&amp;CHAR(34)&amp;"path"&amp;CHAR(34)&amp;":"&amp;CHAR(34)&amp;B134&amp;CHAR(34)&amp;","&amp;CHAR(34)&amp;"type"&amp;CHAR(34)&amp;":"&amp;CHAR(34)&amp;F134&amp;CHAR(34)&amp;","&amp;CHAR(34)&amp;"xlsform_type"&amp;CHAR(34)&amp;":"&amp;CHAR(34)&amp;C134&amp;CHAR(34)&amp;","&amp;CHAR(34)&amp;"commitment"&amp;CHAR(34)&amp;":"&amp;CHAR(34)&amp;IF(F134="sha256","text-utf8-sha256","value")&amp;CHAR(34)&amp;","&amp;CHAR(34)&amp;"transform"&amp;CHAR(34)&amp;":"&amp;CHAR(34)&amp;G134&amp;CHAR(34)&amp;"}")</f>
        <v/>
      </c>
      <c r="I134">
        <f>IF(E134&lt;&gt;"INCLUDE","","'|"&amp;B134&amp;"=', "&amp;IF(F134="date","if(string-length(string(${"&amp;B134&amp;"})) &gt; 0, format-date(${"&amp;B134&amp;"}, '%Y-%m-%d'), '')",IF(F134="sha256","digest(string(${"&amp;B134&amp;"}), 'SHA-256', 'hex')","string(${"&amp;B134&amp;"})")))</f>
        <v/>
      </c>
      <c r="J134">
        <f>IF(E134="INCLUDE","Included by explicit yes","Not included")</f>
        <v/>
      </c>
      <c r="K134">
        <f>K133&amp;IF(H134="","",","&amp;H134)</f>
        <v/>
      </c>
      <c r="L134">
        <f>L133&amp;IF(I134="","",","&amp;I134)</f>
        <v/>
      </c>
    </row>
    <row r="135">
      <c r="A135" t="n">
        <v>152</v>
      </c>
      <c r="B135">
        <f>survey!B152</f>
        <v/>
      </c>
      <c r="C135">
        <f>survey!A152</f>
        <v/>
      </c>
      <c r="D135" t="inlineStr"/>
      <c r="E135">
        <f>IF(OR(B135="",C135=""),"",IF(LOWER(D135)="yes","INCLUDE","EXCLUDE"))</f>
        <v/>
      </c>
      <c r="F135">
        <f>IF(E135&lt;&gt;"INCLUDE","",IF(LEFT(LOWER(C135),10)="select_one ","select_one",IF(LOWER(C135)="date","date",IF(OR(LOWER(C135)="integer",LOWER(C135)="decimal",LOWER(C135)="range"),LOWER(C135),"sha256"))))</f>
        <v/>
      </c>
      <c r="G135">
        <f>IF(E135&lt;&gt;"INCLUDE","",IF(F135="date","yyyy-mm-dd",IF(F135="select_one","stored-choice-name",IF(F135="sha256","odk-lexical-utf8-sha256","odk-canonical-scalar"))))</f>
        <v/>
      </c>
      <c r="H135">
        <f>IF(E135&lt;&gt;"INCLUDE","","{"&amp;CHAR(34)&amp;"path"&amp;CHAR(34)&amp;":"&amp;CHAR(34)&amp;B135&amp;CHAR(34)&amp;","&amp;CHAR(34)&amp;"type"&amp;CHAR(34)&amp;":"&amp;CHAR(34)&amp;F135&amp;CHAR(34)&amp;","&amp;CHAR(34)&amp;"xlsform_type"&amp;CHAR(34)&amp;":"&amp;CHAR(34)&amp;C135&amp;CHAR(34)&amp;","&amp;CHAR(34)&amp;"commitment"&amp;CHAR(34)&amp;":"&amp;CHAR(34)&amp;IF(F135="sha256","text-utf8-sha256","value")&amp;CHAR(34)&amp;","&amp;CHAR(34)&amp;"transform"&amp;CHAR(34)&amp;":"&amp;CHAR(34)&amp;G135&amp;CHAR(34)&amp;"}")</f>
        <v/>
      </c>
      <c r="I135">
        <f>IF(E135&lt;&gt;"INCLUDE","","'|"&amp;B135&amp;"=', "&amp;IF(F135="date","if(string-length(string(${"&amp;B135&amp;"})) &gt; 0, format-date(${"&amp;B135&amp;"}, '%Y-%m-%d'), '')",IF(F135="sha256","digest(string(${"&amp;B135&amp;"}), 'SHA-256', 'hex')","string(${"&amp;B135&amp;"})")))</f>
        <v/>
      </c>
      <c r="J135">
        <f>IF(E135="INCLUDE","Included by explicit yes","Not included")</f>
        <v/>
      </c>
      <c r="K135">
        <f>K134&amp;IF(H135="","",","&amp;H135)</f>
        <v/>
      </c>
      <c r="L135">
        <f>L134&amp;IF(I135="","",","&amp;I135)</f>
        <v/>
      </c>
    </row>
    <row r="136">
      <c r="A136" t="n">
        <v>153</v>
      </c>
      <c r="B136">
        <f>survey!B153</f>
        <v/>
      </c>
      <c r="C136">
        <f>survey!A153</f>
        <v/>
      </c>
      <c r="D136" t="inlineStr"/>
      <c r="E136">
        <f>IF(OR(B136="",C136=""),"",IF(LOWER(D136)="yes","INCLUDE","EXCLUDE"))</f>
        <v/>
      </c>
      <c r="F136">
        <f>IF(E136&lt;&gt;"INCLUDE","",IF(LEFT(LOWER(C136),10)="select_one ","select_one",IF(LOWER(C136)="date","date",IF(OR(LOWER(C136)="integer",LOWER(C136)="decimal",LOWER(C136)="range"),LOWER(C136),"sha256"))))</f>
        <v/>
      </c>
      <c r="G136">
        <f>IF(E136&lt;&gt;"INCLUDE","",IF(F136="date","yyyy-mm-dd",IF(F136="select_one","stored-choice-name",IF(F136="sha256","odk-lexical-utf8-sha256","odk-canonical-scalar"))))</f>
        <v/>
      </c>
      <c r="H136">
        <f>IF(E136&lt;&gt;"INCLUDE","","{"&amp;CHAR(34)&amp;"path"&amp;CHAR(34)&amp;":"&amp;CHAR(34)&amp;B136&amp;CHAR(34)&amp;","&amp;CHAR(34)&amp;"type"&amp;CHAR(34)&amp;":"&amp;CHAR(34)&amp;F136&amp;CHAR(34)&amp;","&amp;CHAR(34)&amp;"xlsform_type"&amp;CHAR(34)&amp;":"&amp;CHAR(34)&amp;C136&amp;CHAR(34)&amp;","&amp;CHAR(34)&amp;"commitment"&amp;CHAR(34)&amp;":"&amp;CHAR(34)&amp;IF(F136="sha256","text-utf8-sha256","value")&amp;CHAR(34)&amp;","&amp;CHAR(34)&amp;"transform"&amp;CHAR(34)&amp;":"&amp;CHAR(34)&amp;G136&amp;CHAR(34)&amp;"}")</f>
        <v/>
      </c>
      <c r="I136">
        <f>IF(E136&lt;&gt;"INCLUDE","","'|"&amp;B136&amp;"=', "&amp;IF(F136="date","if(string-length(string(${"&amp;B136&amp;"})) &gt; 0, format-date(${"&amp;B136&amp;"}, '%Y-%m-%d'), '')",IF(F136="sha256","digest(string(${"&amp;B136&amp;"}), 'SHA-256', 'hex')","string(${"&amp;B136&amp;"})")))</f>
        <v/>
      </c>
      <c r="J136">
        <f>IF(E136="INCLUDE","Included by explicit yes","Not included")</f>
        <v/>
      </c>
      <c r="K136">
        <f>K135&amp;IF(H136="","",","&amp;H136)</f>
        <v/>
      </c>
      <c r="L136">
        <f>L135&amp;IF(I136="","",","&amp;I136)</f>
        <v/>
      </c>
    </row>
    <row r="137">
      <c r="A137" t="n">
        <v>154</v>
      </c>
      <c r="B137">
        <f>survey!B154</f>
        <v/>
      </c>
      <c r="C137">
        <f>survey!A154</f>
        <v/>
      </c>
      <c r="D137" t="inlineStr"/>
      <c r="E137">
        <f>IF(OR(B137="",C137=""),"",IF(LOWER(D137)="yes","INCLUDE","EXCLUDE"))</f>
        <v/>
      </c>
      <c r="F137">
        <f>IF(E137&lt;&gt;"INCLUDE","",IF(LEFT(LOWER(C137),10)="select_one ","select_one",IF(LOWER(C137)="date","date",IF(OR(LOWER(C137)="integer",LOWER(C137)="decimal",LOWER(C137)="range"),LOWER(C137),"sha256"))))</f>
        <v/>
      </c>
      <c r="G137">
        <f>IF(E137&lt;&gt;"INCLUDE","",IF(F137="date","yyyy-mm-dd",IF(F137="select_one","stored-choice-name",IF(F137="sha256","odk-lexical-utf8-sha256","odk-canonical-scalar"))))</f>
        <v/>
      </c>
      <c r="H137">
        <f>IF(E137&lt;&gt;"INCLUDE","","{"&amp;CHAR(34)&amp;"path"&amp;CHAR(34)&amp;":"&amp;CHAR(34)&amp;B137&amp;CHAR(34)&amp;","&amp;CHAR(34)&amp;"type"&amp;CHAR(34)&amp;":"&amp;CHAR(34)&amp;F137&amp;CHAR(34)&amp;","&amp;CHAR(34)&amp;"xlsform_type"&amp;CHAR(34)&amp;":"&amp;CHAR(34)&amp;C137&amp;CHAR(34)&amp;","&amp;CHAR(34)&amp;"commitment"&amp;CHAR(34)&amp;":"&amp;CHAR(34)&amp;IF(F137="sha256","text-utf8-sha256","value")&amp;CHAR(34)&amp;","&amp;CHAR(34)&amp;"transform"&amp;CHAR(34)&amp;":"&amp;CHAR(34)&amp;G137&amp;CHAR(34)&amp;"}")</f>
        <v/>
      </c>
      <c r="I137">
        <f>IF(E137&lt;&gt;"INCLUDE","","'|"&amp;B137&amp;"=', "&amp;IF(F137="date","if(string-length(string(${"&amp;B137&amp;"})) &gt; 0, format-date(${"&amp;B137&amp;"}, '%Y-%m-%d'), '')",IF(F137="sha256","digest(string(${"&amp;B137&amp;"}), 'SHA-256', 'hex')","string(${"&amp;B137&amp;"})")))</f>
        <v/>
      </c>
      <c r="J137">
        <f>IF(E137="INCLUDE","Included by explicit yes","Not included")</f>
        <v/>
      </c>
      <c r="K137">
        <f>K136&amp;IF(H137="","",","&amp;H137)</f>
        <v/>
      </c>
      <c r="L137">
        <f>L136&amp;IF(I137="","",","&amp;I137)</f>
        <v/>
      </c>
    </row>
    <row r="138">
      <c r="A138" t="n">
        <v>155</v>
      </c>
      <c r="B138">
        <f>survey!B155</f>
        <v/>
      </c>
      <c r="C138">
        <f>survey!A155</f>
        <v/>
      </c>
      <c r="D138" t="inlineStr"/>
      <c r="E138">
        <f>IF(OR(B138="",C138=""),"",IF(LOWER(D138)="yes","INCLUDE","EXCLUDE"))</f>
        <v/>
      </c>
      <c r="F138">
        <f>IF(E138&lt;&gt;"INCLUDE","",IF(LEFT(LOWER(C138),10)="select_one ","select_one",IF(LOWER(C138)="date","date",IF(OR(LOWER(C138)="integer",LOWER(C138)="decimal",LOWER(C138)="range"),LOWER(C138),"sha256"))))</f>
        <v/>
      </c>
      <c r="G138">
        <f>IF(E138&lt;&gt;"INCLUDE","",IF(F138="date","yyyy-mm-dd",IF(F138="select_one","stored-choice-name",IF(F138="sha256","odk-lexical-utf8-sha256","odk-canonical-scalar"))))</f>
        <v/>
      </c>
      <c r="H138">
        <f>IF(E138&lt;&gt;"INCLUDE","","{"&amp;CHAR(34)&amp;"path"&amp;CHAR(34)&amp;":"&amp;CHAR(34)&amp;B138&amp;CHAR(34)&amp;","&amp;CHAR(34)&amp;"type"&amp;CHAR(34)&amp;":"&amp;CHAR(34)&amp;F138&amp;CHAR(34)&amp;","&amp;CHAR(34)&amp;"xlsform_type"&amp;CHAR(34)&amp;":"&amp;CHAR(34)&amp;C138&amp;CHAR(34)&amp;","&amp;CHAR(34)&amp;"commitment"&amp;CHAR(34)&amp;":"&amp;CHAR(34)&amp;IF(F138="sha256","text-utf8-sha256","value")&amp;CHAR(34)&amp;","&amp;CHAR(34)&amp;"transform"&amp;CHAR(34)&amp;":"&amp;CHAR(34)&amp;G138&amp;CHAR(34)&amp;"}")</f>
        <v/>
      </c>
      <c r="I138">
        <f>IF(E138&lt;&gt;"INCLUDE","","'|"&amp;B138&amp;"=', "&amp;IF(F138="date","if(string-length(string(${"&amp;B138&amp;"})) &gt; 0, format-date(${"&amp;B138&amp;"}, '%Y-%m-%d'), '')",IF(F138="sha256","digest(string(${"&amp;B138&amp;"}), 'SHA-256', 'hex')","string(${"&amp;B138&amp;"})")))</f>
        <v/>
      </c>
      <c r="J138">
        <f>IF(E138="INCLUDE","Included by explicit yes","Not included")</f>
        <v/>
      </c>
      <c r="K138">
        <f>K137&amp;IF(H138="","",","&amp;H138)</f>
        <v/>
      </c>
      <c r="L138">
        <f>L137&amp;IF(I138="","",","&amp;I138)</f>
        <v/>
      </c>
    </row>
    <row r="139">
      <c r="A139" t="n">
        <v>156</v>
      </c>
      <c r="B139">
        <f>survey!B156</f>
        <v/>
      </c>
      <c r="C139">
        <f>survey!A156</f>
        <v/>
      </c>
      <c r="D139" t="inlineStr"/>
      <c r="E139">
        <f>IF(OR(B139="",C139=""),"",IF(LOWER(D139)="yes","INCLUDE","EXCLUDE"))</f>
        <v/>
      </c>
      <c r="F139">
        <f>IF(E139&lt;&gt;"INCLUDE","",IF(LEFT(LOWER(C139),10)="select_one ","select_one",IF(LOWER(C139)="date","date",IF(OR(LOWER(C139)="integer",LOWER(C139)="decimal",LOWER(C139)="range"),LOWER(C139),"sha256"))))</f>
        <v/>
      </c>
      <c r="G139">
        <f>IF(E139&lt;&gt;"INCLUDE","",IF(F139="date","yyyy-mm-dd",IF(F139="select_one","stored-choice-name",IF(F139="sha256","odk-lexical-utf8-sha256","odk-canonical-scalar"))))</f>
        <v/>
      </c>
      <c r="H139">
        <f>IF(E139&lt;&gt;"INCLUDE","","{"&amp;CHAR(34)&amp;"path"&amp;CHAR(34)&amp;":"&amp;CHAR(34)&amp;B139&amp;CHAR(34)&amp;","&amp;CHAR(34)&amp;"type"&amp;CHAR(34)&amp;":"&amp;CHAR(34)&amp;F139&amp;CHAR(34)&amp;","&amp;CHAR(34)&amp;"xlsform_type"&amp;CHAR(34)&amp;":"&amp;CHAR(34)&amp;C139&amp;CHAR(34)&amp;","&amp;CHAR(34)&amp;"commitment"&amp;CHAR(34)&amp;":"&amp;CHAR(34)&amp;IF(F139="sha256","text-utf8-sha256","value")&amp;CHAR(34)&amp;","&amp;CHAR(34)&amp;"transform"&amp;CHAR(34)&amp;":"&amp;CHAR(34)&amp;G139&amp;CHAR(34)&amp;"}")</f>
        <v/>
      </c>
      <c r="I139">
        <f>IF(E139&lt;&gt;"INCLUDE","","'|"&amp;B139&amp;"=', "&amp;IF(F139="date","if(string-length(string(${"&amp;B139&amp;"})) &gt; 0, format-date(${"&amp;B139&amp;"}, '%Y-%m-%d'), '')",IF(F139="sha256","digest(string(${"&amp;B139&amp;"}), 'SHA-256', 'hex')","string(${"&amp;B139&amp;"})")))</f>
        <v/>
      </c>
      <c r="J139">
        <f>IF(E139="INCLUDE","Included by explicit yes","Not included")</f>
        <v/>
      </c>
      <c r="K139">
        <f>K138&amp;IF(H139="","",","&amp;H139)</f>
        <v/>
      </c>
      <c r="L139">
        <f>L138&amp;IF(I139="","",","&amp;I139)</f>
        <v/>
      </c>
    </row>
    <row r="140">
      <c r="A140" t="n">
        <v>157</v>
      </c>
      <c r="B140">
        <f>survey!B157</f>
        <v/>
      </c>
      <c r="C140">
        <f>survey!A157</f>
        <v/>
      </c>
      <c r="D140" t="inlineStr"/>
      <c r="E140">
        <f>IF(OR(B140="",C140=""),"",IF(LOWER(D140)="yes","INCLUDE","EXCLUDE"))</f>
        <v/>
      </c>
      <c r="F140">
        <f>IF(E140&lt;&gt;"INCLUDE","",IF(LEFT(LOWER(C140),10)="select_one ","select_one",IF(LOWER(C140)="date","date",IF(OR(LOWER(C140)="integer",LOWER(C140)="decimal",LOWER(C140)="range"),LOWER(C140),"sha256"))))</f>
        <v/>
      </c>
      <c r="G140">
        <f>IF(E140&lt;&gt;"INCLUDE","",IF(F140="date","yyyy-mm-dd",IF(F140="select_one","stored-choice-name",IF(F140="sha256","odk-lexical-utf8-sha256","odk-canonical-scalar"))))</f>
        <v/>
      </c>
      <c r="H140">
        <f>IF(E140&lt;&gt;"INCLUDE","","{"&amp;CHAR(34)&amp;"path"&amp;CHAR(34)&amp;":"&amp;CHAR(34)&amp;B140&amp;CHAR(34)&amp;","&amp;CHAR(34)&amp;"type"&amp;CHAR(34)&amp;":"&amp;CHAR(34)&amp;F140&amp;CHAR(34)&amp;","&amp;CHAR(34)&amp;"xlsform_type"&amp;CHAR(34)&amp;":"&amp;CHAR(34)&amp;C140&amp;CHAR(34)&amp;","&amp;CHAR(34)&amp;"commitment"&amp;CHAR(34)&amp;":"&amp;CHAR(34)&amp;IF(F140="sha256","text-utf8-sha256","value")&amp;CHAR(34)&amp;","&amp;CHAR(34)&amp;"transform"&amp;CHAR(34)&amp;":"&amp;CHAR(34)&amp;G140&amp;CHAR(34)&amp;"}")</f>
        <v/>
      </c>
      <c r="I140">
        <f>IF(E140&lt;&gt;"INCLUDE","","'|"&amp;B140&amp;"=', "&amp;IF(F140="date","if(string-length(string(${"&amp;B140&amp;"})) &gt; 0, format-date(${"&amp;B140&amp;"}, '%Y-%m-%d'), '')",IF(F140="sha256","digest(string(${"&amp;B140&amp;"}), 'SHA-256', 'hex')","string(${"&amp;B140&amp;"})")))</f>
        <v/>
      </c>
      <c r="J140">
        <f>IF(E140="INCLUDE","Included by explicit yes","Not included")</f>
        <v/>
      </c>
      <c r="K140">
        <f>K139&amp;IF(H140="","",","&amp;H140)</f>
        <v/>
      </c>
      <c r="L140">
        <f>L139&amp;IF(I140="","",","&amp;I140)</f>
        <v/>
      </c>
    </row>
    <row r="141">
      <c r="A141" t="n">
        <v>158</v>
      </c>
      <c r="B141">
        <f>survey!B158</f>
        <v/>
      </c>
      <c r="C141">
        <f>survey!A158</f>
        <v/>
      </c>
      <c r="D141" t="inlineStr"/>
      <c r="E141">
        <f>IF(OR(B141="",C141=""),"",IF(LOWER(D141)="yes","INCLUDE","EXCLUDE"))</f>
        <v/>
      </c>
      <c r="F141">
        <f>IF(E141&lt;&gt;"INCLUDE","",IF(LEFT(LOWER(C141),10)="select_one ","select_one",IF(LOWER(C141)="date","date",IF(OR(LOWER(C141)="integer",LOWER(C141)="decimal",LOWER(C141)="range"),LOWER(C141),"sha256"))))</f>
        <v/>
      </c>
      <c r="G141">
        <f>IF(E141&lt;&gt;"INCLUDE","",IF(F141="date","yyyy-mm-dd",IF(F141="select_one","stored-choice-name",IF(F141="sha256","odk-lexical-utf8-sha256","odk-canonical-scalar"))))</f>
        <v/>
      </c>
      <c r="H141">
        <f>IF(E141&lt;&gt;"INCLUDE","","{"&amp;CHAR(34)&amp;"path"&amp;CHAR(34)&amp;":"&amp;CHAR(34)&amp;B141&amp;CHAR(34)&amp;","&amp;CHAR(34)&amp;"type"&amp;CHAR(34)&amp;":"&amp;CHAR(34)&amp;F141&amp;CHAR(34)&amp;","&amp;CHAR(34)&amp;"xlsform_type"&amp;CHAR(34)&amp;":"&amp;CHAR(34)&amp;C141&amp;CHAR(34)&amp;","&amp;CHAR(34)&amp;"commitment"&amp;CHAR(34)&amp;":"&amp;CHAR(34)&amp;IF(F141="sha256","text-utf8-sha256","value")&amp;CHAR(34)&amp;","&amp;CHAR(34)&amp;"transform"&amp;CHAR(34)&amp;":"&amp;CHAR(34)&amp;G141&amp;CHAR(34)&amp;"}")</f>
        <v/>
      </c>
      <c r="I141">
        <f>IF(E141&lt;&gt;"INCLUDE","","'|"&amp;B141&amp;"=', "&amp;IF(F141="date","if(string-length(string(${"&amp;B141&amp;"})) &gt; 0, format-date(${"&amp;B141&amp;"}, '%Y-%m-%d'), '')",IF(F141="sha256","digest(string(${"&amp;B141&amp;"}), 'SHA-256', 'hex')","string(${"&amp;B141&amp;"})")))</f>
        <v/>
      </c>
      <c r="J141">
        <f>IF(E141="INCLUDE","Included by explicit yes","Not included")</f>
        <v/>
      </c>
      <c r="K141">
        <f>K140&amp;IF(H141="","",","&amp;H141)</f>
        <v/>
      </c>
      <c r="L141">
        <f>L140&amp;IF(I141="","",","&amp;I141)</f>
        <v/>
      </c>
    </row>
    <row r="142">
      <c r="A142" t="n">
        <v>159</v>
      </c>
      <c r="B142">
        <f>survey!B159</f>
        <v/>
      </c>
      <c r="C142">
        <f>survey!A159</f>
        <v/>
      </c>
      <c r="D142" t="inlineStr"/>
      <c r="E142">
        <f>IF(OR(B142="",C142=""),"",IF(LOWER(D142)="yes","INCLUDE","EXCLUDE"))</f>
        <v/>
      </c>
      <c r="F142">
        <f>IF(E142&lt;&gt;"INCLUDE","",IF(LEFT(LOWER(C142),10)="select_one ","select_one",IF(LOWER(C142)="date","date",IF(OR(LOWER(C142)="integer",LOWER(C142)="decimal",LOWER(C142)="range"),LOWER(C142),"sha256"))))</f>
        <v/>
      </c>
      <c r="G142">
        <f>IF(E142&lt;&gt;"INCLUDE","",IF(F142="date","yyyy-mm-dd",IF(F142="select_one","stored-choice-name",IF(F142="sha256","odk-lexical-utf8-sha256","odk-canonical-scalar"))))</f>
        <v/>
      </c>
      <c r="H142">
        <f>IF(E142&lt;&gt;"INCLUDE","","{"&amp;CHAR(34)&amp;"path"&amp;CHAR(34)&amp;":"&amp;CHAR(34)&amp;B142&amp;CHAR(34)&amp;","&amp;CHAR(34)&amp;"type"&amp;CHAR(34)&amp;":"&amp;CHAR(34)&amp;F142&amp;CHAR(34)&amp;","&amp;CHAR(34)&amp;"xlsform_type"&amp;CHAR(34)&amp;":"&amp;CHAR(34)&amp;C142&amp;CHAR(34)&amp;","&amp;CHAR(34)&amp;"commitment"&amp;CHAR(34)&amp;":"&amp;CHAR(34)&amp;IF(F142="sha256","text-utf8-sha256","value")&amp;CHAR(34)&amp;","&amp;CHAR(34)&amp;"transform"&amp;CHAR(34)&amp;":"&amp;CHAR(34)&amp;G142&amp;CHAR(34)&amp;"}")</f>
        <v/>
      </c>
      <c r="I142">
        <f>IF(E142&lt;&gt;"INCLUDE","","'|"&amp;B142&amp;"=', "&amp;IF(F142="date","if(string-length(string(${"&amp;B142&amp;"})) &gt; 0, format-date(${"&amp;B142&amp;"}, '%Y-%m-%d'), '')",IF(F142="sha256","digest(string(${"&amp;B142&amp;"}), 'SHA-256', 'hex')","string(${"&amp;B142&amp;"})")))</f>
        <v/>
      </c>
      <c r="J142">
        <f>IF(E142="INCLUDE","Included by explicit yes","Not included")</f>
        <v/>
      </c>
      <c r="K142">
        <f>K141&amp;IF(H142="","",","&amp;H142)</f>
        <v/>
      </c>
      <c r="L142">
        <f>L141&amp;IF(I142="","",","&amp;I142)</f>
        <v/>
      </c>
    </row>
    <row r="143">
      <c r="A143" t="n">
        <v>160</v>
      </c>
      <c r="B143">
        <f>survey!B160</f>
        <v/>
      </c>
      <c r="C143">
        <f>survey!A160</f>
        <v/>
      </c>
      <c r="D143" t="inlineStr"/>
      <c r="E143">
        <f>IF(OR(B143="",C143=""),"",IF(LOWER(D143)="yes","INCLUDE","EXCLUDE"))</f>
        <v/>
      </c>
      <c r="F143">
        <f>IF(E143&lt;&gt;"INCLUDE","",IF(LEFT(LOWER(C143),10)="select_one ","select_one",IF(LOWER(C143)="date","date",IF(OR(LOWER(C143)="integer",LOWER(C143)="decimal",LOWER(C143)="range"),LOWER(C143),"sha256"))))</f>
        <v/>
      </c>
      <c r="G143">
        <f>IF(E143&lt;&gt;"INCLUDE","",IF(F143="date","yyyy-mm-dd",IF(F143="select_one","stored-choice-name",IF(F143="sha256","odk-lexical-utf8-sha256","odk-canonical-scalar"))))</f>
        <v/>
      </c>
      <c r="H143">
        <f>IF(E143&lt;&gt;"INCLUDE","","{"&amp;CHAR(34)&amp;"path"&amp;CHAR(34)&amp;":"&amp;CHAR(34)&amp;B143&amp;CHAR(34)&amp;","&amp;CHAR(34)&amp;"type"&amp;CHAR(34)&amp;":"&amp;CHAR(34)&amp;F143&amp;CHAR(34)&amp;","&amp;CHAR(34)&amp;"xlsform_type"&amp;CHAR(34)&amp;":"&amp;CHAR(34)&amp;C143&amp;CHAR(34)&amp;","&amp;CHAR(34)&amp;"commitment"&amp;CHAR(34)&amp;":"&amp;CHAR(34)&amp;IF(F143="sha256","text-utf8-sha256","value")&amp;CHAR(34)&amp;","&amp;CHAR(34)&amp;"transform"&amp;CHAR(34)&amp;":"&amp;CHAR(34)&amp;G143&amp;CHAR(34)&amp;"}")</f>
        <v/>
      </c>
      <c r="I143">
        <f>IF(E143&lt;&gt;"INCLUDE","","'|"&amp;B143&amp;"=', "&amp;IF(F143="date","if(string-length(string(${"&amp;B143&amp;"})) &gt; 0, format-date(${"&amp;B143&amp;"}, '%Y-%m-%d'), '')",IF(F143="sha256","digest(string(${"&amp;B143&amp;"}), 'SHA-256', 'hex')","string(${"&amp;B143&amp;"})")))</f>
        <v/>
      </c>
      <c r="J143">
        <f>IF(E143="INCLUDE","Included by explicit yes","Not included")</f>
        <v/>
      </c>
      <c r="K143">
        <f>K142&amp;IF(H143="","",","&amp;H143)</f>
        <v/>
      </c>
      <c r="L143">
        <f>L142&amp;IF(I143="","",","&amp;I143)</f>
        <v/>
      </c>
    </row>
    <row r="144">
      <c r="A144" t="n">
        <v>161</v>
      </c>
      <c r="B144">
        <f>survey!B161</f>
        <v/>
      </c>
      <c r="C144">
        <f>survey!A161</f>
        <v/>
      </c>
      <c r="D144" t="inlineStr"/>
      <c r="E144">
        <f>IF(OR(B144="",C144=""),"",IF(LOWER(D144)="yes","INCLUDE","EXCLUDE"))</f>
        <v/>
      </c>
      <c r="F144">
        <f>IF(E144&lt;&gt;"INCLUDE","",IF(LEFT(LOWER(C144),10)="select_one ","select_one",IF(LOWER(C144)="date","date",IF(OR(LOWER(C144)="integer",LOWER(C144)="decimal",LOWER(C144)="range"),LOWER(C144),"sha256"))))</f>
        <v/>
      </c>
      <c r="G144">
        <f>IF(E144&lt;&gt;"INCLUDE","",IF(F144="date","yyyy-mm-dd",IF(F144="select_one","stored-choice-name",IF(F144="sha256","odk-lexical-utf8-sha256","odk-canonical-scalar"))))</f>
        <v/>
      </c>
      <c r="H144">
        <f>IF(E144&lt;&gt;"INCLUDE","","{"&amp;CHAR(34)&amp;"path"&amp;CHAR(34)&amp;":"&amp;CHAR(34)&amp;B144&amp;CHAR(34)&amp;","&amp;CHAR(34)&amp;"type"&amp;CHAR(34)&amp;":"&amp;CHAR(34)&amp;F144&amp;CHAR(34)&amp;","&amp;CHAR(34)&amp;"xlsform_type"&amp;CHAR(34)&amp;":"&amp;CHAR(34)&amp;C144&amp;CHAR(34)&amp;","&amp;CHAR(34)&amp;"commitment"&amp;CHAR(34)&amp;":"&amp;CHAR(34)&amp;IF(F144="sha256","text-utf8-sha256","value")&amp;CHAR(34)&amp;","&amp;CHAR(34)&amp;"transform"&amp;CHAR(34)&amp;":"&amp;CHAR(34)&amp;G144&amp;CHAR(34)&amp;"}")</f>
        <v/>
      </c>
      <c r="I144">
        <f>IF(E144&lt;&gt;"INCLUDE","","'|"&amp;B144&amp;"=', "&amp;IF(F144="date","if(string-length(string(${"&amp;B144&amp;"})) &gt; 0, format-date(${"&amp;B144&amp;"}, '%Y-%m-%d'), '')",IF(F144="sha256","digest(string(${"&amp;B144&amp;"}), 'SHA-256', 'hex')","string(${"&amp;B144&amp;"})")))</f>
        <v/>
      </c>
      <c r="J144">
        <f>IF(E144="INCLUDE","Included by explicit yes","Not included")</f>
        <v/>
      </c>
      <c r="K144">
        <f>K143&amp;IF(H144="","",","&amp;H144)</f>
        <v/>
      </c>
      <c r="L144">
        <f>L143&amp;IF(I144="","",","&amp;I144)</f>
        <v/>
      </c>
    </row>
    <row r="145">
      <c r="A145" t="n">
        <v>162</v>
      </c>
      <c r="B145">
        <f>survey!B162</f>
        <v/>
      </c>
      <c r="C145">
        <f>survey!A162</f>
        <v/>
      </c>
      <c r="D145" t="inlineStr"/>
      <c r="E145">
        <f>IF(OR(B145="",C145=""),"",IF(LOWER(D145)="yes","INCLUDE","EXCLUDE"))</f>
        <v/>
      </c>
      <c r="F145">
        <f>IF(E145&lt;&gt;"INCLUDE","",IF(LEFT(LOWER(C145),10)="select_one ","select_one",IF(LOWER(C145)="date","date",IF(OR(LOWER(C145)="integer",LOWER(C145)="decimal",LOWER(C145)="range"),LOWER(C145),"sha256"))))</f>
        <v/>
      </c>
      <c r="G145">
        <f>IF(E145&lt;&gt;"INCLUDE","",IF(F145="date","yyyy-mm-dd",IF(F145="select_one","stored-choice-name",IF(F145="sha256","odk-lexical-utf8-sha256","odk-canonical-scalar"))))</f>
        <v/>
      </c>
      <c r="H145">
        <f>IF(E145&lt;&gt;"INCLUDE","","{"&amp;CHAR(34)&amp;"path"&amp;CHAR(34)&amp;":"&amp;CHAR(34)&amp;B145&amp;CHAR(34)&amp;","&amp;CHAR(34)&amp;"type"&amp;CHAR(34)&amp;":"&amp;CHAR(34)&amp;F145&amp;CHAR(34)&amp;","&amp;CHAR(34)&amp;"xlsform_type"&amp;CHAR(34)&amp;":"&amp;CHAR(34)&amp;C145&amp;CHAR(34)&amp;","&amp;CHAR(34)&amp;"commitment"&amp;CHAR(34)&amp;":"&amp;CHAR(34)&amp;IF(F145="sha256","text-utf8-sha256","value")&amp;CHAR(34)&amp;","&amp;CHAR(34)&amp;"transform"&amp;CHAR(34)&amp;":"&amp;CHAR(34)&amp;G145&amp;CHAR(34)&amp;"}")</f>
        <v/>
      </c>
      <c r="I145">
        <f>IF(E145&lt;&gt;"INCLUDE","","'|"&amp;B145&amp;"=', "&amp;IF(F145="date","if(string-length(string(${"&amp;B145&amp;"})) &gt; 0, format-date(${"&amp;B145&amp;"}, '%Y-%m-%d'), '')",IF(F145="sha256","digest(string(${"&amp;B145&amp;"}), 'SHA-256', 'hex')","string(${"&amp;B145&amp;"})")))</f>
        <v/>
      </c>
      <c r="J145">
        <f>IF(E145="INCLUDE","Included by explicit yes","Not included")</f>
        <v/>
      </c>
      <c r="K145">
        <f>K144&amp;IF(H145="","",","&amp;H145)</f>
        <v/>
      </c>
      <c r="L145">
        <f>L144&amp;IF(I145="","",","&amp;I145)</f>
        <v/>
      </c>
    </row>
    <row r="146">
      <c r="A146" t="n">
        <v>163</v>
      </c>
      <c r="B146">
        <f>survey!B163</f>
        <v/>
      </c>
      <c r="C146">
        <f>survey!A163</f>
        <v/>
      </c>
      <c r="D146" t="inlineStr"/>
      <c r="E146">
        <f>IF(OR(B146="",C146=""),"",IF(LOWER(D146)="yes","INCLUDE","EXCLUDE"))</f>
        <v/>
      </c>
      <c r="F146">
        <f>IF(E146&lt;&gt;"INCLUDE","",IF(LEFT(LOWER(C146),10)="select_one ","select_one",IF(LOWER(C146)="date","date",IF(OR(LOWER(C146)="integer",LOWER(C146)="decimal",LOWER(C146)="range"),LOWER(C146),"sha256"))))</f>
        <v/>
      </c>
      <c r="G146">
        <f>IF(E146&lt;&gt;"INCLUDE","",IF(F146="date","yyyy-mm-dd",IF(F146="select_one","stored-choice-name",IF(F146="sha256","odk-lexical-utf8-sha256","odk-canonical-scalar"))))</f>
        <v/>
      </c>
      <c r="H146">
        <f>IF(E146&lt;&gt;"INCLUDE","","{"&amp;CHAR(34)&amp;"path"&amp;CHAR(34)&amp;":"&amp;CHAR(34)&amp;B146&amp;CHAR(34)&amp;","&amp;CHAR(34)&amp;"type"&amp;CHAR(34)&amp;":"&amp;CHAR(34)&amp;F146&amp;CHAR(34)&amp;","&amp;CHAR(34)&amp;"xlsform_type"&amp;CHAR(34)&amp;":"&amp;CHAR(34)&amp;C146&amp;CHAR(34)&amp;","&amp;CHAR(34)&amp;"commitment"&amp;CHAR(34)&amp;":"&amp;CHAR(34)&amp;IF(F146="sha256","text-utf8-sha256","value")&amp;CHAR(34)&amp;","&amp;CHAR(34)&amp;"transform"&amp;CHAR(34)&amp;":"&amp;CHAR(34)&amp;G146&amp;CHAR(34)&amp;"}")</f>
        <v/>
      </c>
      <c r="I146">
        <f>IF(E146&lt;&gt;"INCLUDE","","'|"&amp;B146&amp;"=', "&amp;IF(F146="date","if(string-length(string(${"&amp;B146&amp;"})) &gt; 0, format-date(${"&amp;B146&amp;"}, '%Y-%m-%d'), '')",IF(F146="sha256","digest(string(${"&amp;B146&amp;"}), 'SHA-256', 'hex')","string(${"&amp;B146&amp;"})")))</f>
        <v/>
      </c>
      <c r="J146">
        <f>IF(E146="INCLUDE","Included by explicit yes","Not included")</f>
        <v/>
      </c>
      <c r="K146">
        <f>K145&amp;IF(H146="","",","&amp;H146)</f>
        <v/>
      </c>
      <c r="L146">
        <f>L145&amp;IF(I146="","",","&amp;I146)</f>
        <v/>
      </c>
    </row>
    <row r="147">
      <c r="A147" t="n">
        <v>164</v>
      </c>
      <c r="B147">
        <f>survey!B164</f>
        <v/>
      </c>
      <c r="C147">
        <f>survey!A164</f>
        <v/>
      </c>
      <c r="D147" t="inlineStr"/>
      <c r="E147">
        <f>IF(OR(B147="",C147=""),"",IF(LOWER(D147)="yes","INCLUDE","EXCLUDE"))</f>
        <v/>
      </c>
      <c r="F147">
        <f>IF(E147&lt;&gt;"INCLUDE","",IF(LEFT(LOWER(C147),10)="select_one ","select_one",IF(LOWER(C147)="date","date",IF(OR(LOWER(C147)="integer",LOWER(C147)="decimal",LOWER(C147)="range"),LOWER(C147),"sha256"))))</f>
        <v/>
      </c>
      <c r="G147">
        <f>IF(E147&lt;&gt;"INCLUDE","",IF(F147="date","yyyy-mm-dd",IF(F147="select_one","stored-choice-name",IF(F147="sha256","odk-lexical-utf8-sha256","odk-canonical-scalar"))))</f>
        <v/>
      </c>
      <c r="H147">
        <f>IF(E147&lt;&gt;"INCLUDE","","{"&amp;CHAR(34)&amp;"path"&amp;CHAR(34)&amp;":"&amp;CHAR(34)&amp;B147&amp;CHAR(34)&amp;","&amp;CHAR(34)&amp;"type"&amp;CHAR(34)&amp;":"&amp;CHAR(34)&amp;F147&amp;CHAR(34)&amp;","&amp;CHAR(34)&amp;"xlsform_type"&amp;CHAR(34)&amp;":"&amp;CHAR(34)&amp;C147&amp;CHAR(34)&amp;","&amp;CHAR(34)&amp;"commitment"&amp;CHAR(34)&amp;":"&amp;CHAR(34)&amp;IF(F147="sha256","text-utf8-sha256","value")&amp;CHAR(34)&amp;","&amp;CHAR(34)&amp;"transform"&amp;CHAR(34)&amp;":"&amp;CHAR(34)&amp;G147&amp;CHAR(34)&amp;"}")</f>
        <v/>
      </c>
      <c r="I147">
        <f>IF(E147&lt;&gt;"INCLUDE","","'|"&amp;B147&amp;"=', "&amp;IF(F147="date","if(string-length(string(${"&amp;B147&amp;"})) &gt; 0, format-date(${"&amp;B147&amp;"}, '%Y-%m-%d'), '')",IF(F147="sha256","digest(string(${"&amp;B147&amp;"}), 'SHA-256', 'hex')","string(${"&amp;B147&amp;"})")))</f>
        <v/>
      </c>
      <c r="J147">
        <f>IF(E147="INCLUDE","Included by explicit yes","Not included")</f>
        <v/>
      </c>
      <c r="K147">
        <f>K146&amp;IF(H147="","",","&amp;H147)</f>
        <v/>
      </c>
      <c r="L147">
        <f>L146&amp;IF(I147="","",","&amp;I147)</f>
        <v/>
      </c>
    </row>
    <row r="148">
      <c r="A148" t="n">
        <v>165</v>
      </c>
      <c r="B148">
        <f>survey!B165</f>
        <v/>
      </c>
      <c r="C148">
        <f>survey!A165</f>
        <v/>
      </c>
      <c r="D148" t="inlineStr"/>
      <c r="E148">
        <f>IF(OR(B148="",C148=""),"",IF(LOWER(D148)="yes","INCLUDE","EXCLUDE"))</f>
        <v/>
      </c>
      <c r="F148">
        <f>IF(E148&lt;&gt;"INCLUDE","",IF(LEFT(LOWER(C148),10)="select_one ","select_one",IF(LOWER(C148)="date","date",IF(OR(LOWER(C148)="integer",LOWER(C148)="decimal",LOWER(C148)="range"),LOWER(C148),"sha256"))))</f>
        <v/>
      </c>
      <c r="G148">
        <f>IF(E148&lt;&gt;"INCLUDE","",IF(F148="date","yyyy-mm-dd",IF(F148="select_one","stored-choice-name",IF(F148="sha256","odk-lexical-utf8-sha256","odk-canonical-scalar"))))</f>
        <v/>
      </c>
      <c r="H148">
        <f>IF(E148&lt;&gt;"INCLUDE","","{"&amp;CHAR(34)&amp;"path"&amp;CHAR(34)&amp;":"&amp;CHAR(34)&amp;B148&amp;CHAR(34)&amp;","&amp;CHAR(34)&amp;"type"&amp;CHAR(34)&amp;":"&amp;CHAR(34)&amp;F148&amp;CHAR(34)&amp;","&amp;CHAR(34)&amp;"xlsform_type"&amp;CHAR(34)&amp;":"&amp;CHAR(34)&amp;C148&amp;CHAR(34)&amp;","&amp;CHAR(34)&amp;"commitment"&amp;CHAR(34)&amp;":"&amp;CHAR(34)&amp;IF(F148="sha256","text-utf8-sha256","value")&amp;CHAR(34)&amp;","&amp;CHAR(34)&amp;"transform"&amp;CHAR(34)&amp;":"&amp;CHAR(34)&amp;G148&amp;CHAR(34)&amp;"}")</f>
        <v/>
      </c>
      <c r="I148">
        <f>IF(E148&lt;&gt;"INCLUDE","","'|"&amp;B148&amp;"=', "&amp;IF(F148="date","if(string-length(string(${"&amp;B148&amp;"})) &gt; 0, format-date(${"&amp;B148&amp;"}, '%Y-%m-%d'), '')",IF(F148="sha256","digest(string(${"&amp;B148&amp;"}), 'SHA-256', 'hex')","string(${"&amp;B148&amp;"})")))</f>
        <v/>
      </c>
      <c r="J148">
        <f>IF(E148="INCLUDE","Included by explicit yes","Not included")</f>
        <v/>
      </c>
      <c r="K148">
        <f>K147&amp;IF(H148="","",","&amp;H148)</f>
        <v/>
      </c>
      <c r="L148">
        <f>L147&amp;IF(I148="","",","&amp;I148)</f>
        <v/>
      </c>
    </row>
    <row r="149">
      <c r="A149" t="n">
        <v>166</v>
      </c>
      <c r="B149">
        <f>survey!B166</f>
        <v/>
      </c>
      <c r="C149">
        <f>survey!A166</f>
        <v/>
      </c>
      <c r="D149" t="inlineStr"/>
      <c r="E149">
        <f>IF(OR(B149="",C149=""),"",IF(LOWER(D149)="yes","INCLUDE","EXCLUDE"))</f>
        <v/>
      </c>
      <c r="F149">
        <f>IF(E149&lt;&gt;"INCLUDE","",IF(LEFT(LOWER(C149),10)="select_one ","select_one",IF(LOWER(C149)="date","date",IF(OR(LOWER(C149)="integer",LOWER(C149)="decimal",LOWER(C149)="range"),LOWER(C149),"sha256"))))</f>
        <v/>
      </c>
      <c r="G149">
        <f>IF(E149&lt;&gt;"INCLUDE","",IF(F149="date","yyyy-mm-dd",IF(F149="select_one","stored-choice-name",IF(F149="sha256","odk-lexical-utf8-sha256","odk-canonical-scalar"))))</f>
        <v/>
      </c>
      <c r="H149">
        <f>IF(E149&lt;&gt;"INCLUDE","","{"&amp;CHAR(34)&amp;"path"&amp;CHAR(34)&amp;":"&amp;CHAR(34)&amp;B149&amp;CHAR(34)&amp;","&amp;CHAR(34)&amp;"type"&amp;CHAR(34)&amp;":"&amp;CHAR(34)&amp;F149&amp;CHAR(34)&amp;","&amp;CHAR(34)&amp;"xlsform_type"&amp;CHAR(34)&amp;":"&amp;CHAR(34)&amp;C149&amp;CHAR(34)&amp;","&amp;CHAR(34)&amp;"commitment"&amp;CHAR(34)&amp;":"&amp;CHAR(34)&amp;IF(F149="sha256","text-utf8-sha256","value")&amp;CHAR(34)&amp;","&amp;CHAR(34)&amp;"transform"&amp;CHAR(34)&amp;":"&amp;CHAR(34)&amp;G149&amp;CHAR(34)&amp;"}")</f>
        <v/>
      </c>
      <c r="I149">
        <f>IF(E149&lt;&gt;"INCLUDE","","'|"&amp;B149&amp;"=', "&amp;IF(F149="date","if(string-length(string(${"&amp;B149&amp;"})) &gt; 0, format-date(${"&amp;B149&amp;"}, '%Y-%m-%d'), '')",IF(F149="sha256","digest(string(${"&amp;B149&amp;"}), 'SHA-256', 'hex')","string(${"&amp;B149&amp;"})")))</f>
        <v/>
      </c>
      <c r="J149">
        <f>IF(E149="INCLUDE","Included by explicit yes","Not included")</f>
        <v/>
      </c>
      <c r="K149">
        <f>K148&amp;IF(H149="","",","&amp;H149)</f>
        <v/>
      </c>
      <c r="L149">
        <f>L148&amp;IF(I149="","",","&amp;I149)</f>
        <v/>
      </c>
    </row>
    <row r="150">
      <c r="A150" t="n">
        <v>167</v>
      </c>
      <c r="B150">
        <f>survey!B167</f>
        <v/>
      </c>
      <c r="C150">
        <f>survey!A167</f>
        <v/>
      </c>
      <c r="D150" t="inlineStr"/>
      <c r="E150">
        <f>IF(OR(B150="",C150=""),"",IF(LOWER(D150)="yes","INCLUDE","EXCLUDE"))</f>
        <v/>
      </c>
      <c r="F150">
        <f>IF(E150&lt;&gt;"INCLUDE","",IF(LEFT(LOWER(C150),10)="select_one ","select_one",IF(LOWER(C150)="date","date",IF(OR(LOWER(C150)="integer",LOWER(C150)="decimal",LOWER(C150)="range"),LOWER(C150),"sha256"))))</f>
        <v/>
      </c>
      <c r="G150">
        <f>IF(E150&lt;&gt;"INCLUDE","",IF(F150="date","yyyy-mm-dd",IF(F150="select_one","stored-choice-name",IF(F150="sha256","odk-lexical-utf8-sha256","odk-canonical-scalar"))))</f>
        <v/>
      </c>
      <c r="H150">
        <f>IF(E150&lt;&gt;"INCLUDE","","{"&amp;CHAR(34)&amp;"path"&amp;CHAR(34)&amp;":"&amp;CHAR(34)&amp;B150&amp;CHAR(34)&amp;","&amp;CHAR(34)&amp;"type"&amp;CHAR(34)&amp;":"&amp;CHAR(34)&amp;F150&amp;CHAR(34)&amp;","&amp;CHAR(34)&amp;"xlsform_type"&amp;CHAR(34)&amp;":"&amp;CHAR(34)&amp;C150&amp;CHAR(34)&amp;","&amp;CHAR(34)&amp;"commitment"&amp;CHAR(34)&amp;":"&amp;CHAR(34)&amp;IF(F150="sha256","text-utf8-sha256","value")&amp;CHAR(34)&amp;","&amp;CHAR(34)&amp;"transform"&amp;CHAR(34)&amp;":"&amp;CHAR(34)&amp;G150&amp;CHAR(34)&amp;"}")</f>
        <v/>
      </c>
      <c r="I150">
        <f>IF(E150&lt;&gt;"INCLUDE","","'|"&amp;B150&amp;"=', "&amp;IF(F150="date","if(string-length(string(${"&amp;B150&amp;"})) &gt; 0, format-date(${"&amp;B150&amp;"}, '%Y-%m-%d'), '')",IF(F150="sha256","digest(string(${"&amp;B150&amp;"}), 'SHA-256', 'hex')","string(${"&amp;B150&amp;"})")))</f>
        <v/>
      </c>
      <c r="J150">
        <f>IF(E150="INCLUDE","Included by explicit yes","Not included")</f>
        <v/>
      </c>
      <c r="K150">
        <f>K149&amp;IF(H150="","",","&amp;H150)</f>
        <v/>
      </c>
      <c r="L150">
        <f>L149&amp;IF(I150="","",","&amp;I150)</f>
        <v/>
      </c>
    </row>
    <row r="151">
      <c r="A151" t="n">
        <v>168</v>
      </c>
      <c r="B151">
        <f>survey!B168</f>
        <v/>
      </c>
      <c r="C151">
        <f>survey!A168</f>
        <v/>
      </c>
      <c r="D151" t="inlineStr"/>
      <c r="E151">
        <f>IF(OR(B151="",C151=""),"",IF(LOWER(D151)="yes","INCLUDE","EXCLUDE"))</f>
        <v/>
      </c>
      <c r="F151">
        <f>IF(E151&lt;&gt;"INCLUDE","",IF(LEFT(LOWER(C151),10)="select_one ","select_one",IF(LOWER(C151)="date","date",IF(OR(LOWER(C151)="integer",LOWER(C151)="decimal",LOWER(C151)="range"),LOWER(C151),"sha256"))))</f>
        <v/>
      </c>
      <c r="G151">
        <f>IF(E151&lt;&gt;"INCLUDE","",IF(F151="date","yyyy-mm-dd",IF(F151="select_one","stored-choice-name",IF(F151="sha256","odk-lexical-utf8-sha256","odk-canonical-scalar"))))</f>
        <v/>
      </c>
      <c r="H151">
        <f>IF(E151&lt;&gt;"INCLUDE","","{"&amp;CHAR(34)&amp;"path"&amp;CHAR(34)&amp;":"&amp;CHAR(34)&amp;B151&amp;CHAR(34)&amp;","&amp;CHAR(34)&amp;"type"&amp;CHAR(34)&amp;":"&amp;CHAR(34)&amp;F151&amp;CHAR(34)&amp;","&amp;CHAR(34)&amp;"xlsform_type"&amp;CHAR(34)&amp;":"&amp;CHAR(34)&amp;C151&amp;CHAR(34)&amp;","&amp;CHAR(34)&amp;"commitment"&amp;CHAR(34)&amp;":"&amp;CHAR(34)&amp;IF(F151="sha256","text-utf8-sha256","value")&amp;CHAR(34)&amp;","&amp;CHAR(34)&amp;"transform"&amp;CHAR(34)&amp;":"&amp;CHAR(34)&amp;G151&amp;CHAR(34)&amp;"}")</f>
        <v/>
      </c>
      <c r="I151">
        <f>IF(E151&lt;&gt;"INCLUDE","","'|"&amp;B151&amp;"=', "&amp;IF(F151="date","if(string-length(string(${"&amp;B151&amp;"})) &gt; 0, format-date(${"&amp;B151&amp;"}, '%Y-%m-%d'), '')",IF(F151="sha256","digest(string(${"&amp;B151&amp;"}), 'SHA-256', 'hex')","string(${"&amp;B151&amp;"})")))</f>
        <v/>
      </c>
      <c r="J151">
        <f>IF(E151="INCLUDE","Included by explicit yes","Not included")</f>
        <v/>
      </c>
      <c r="K151">
        <f>K150&amp;IF(H151="","",","&amp;H151)</f>
        <v/>
      </c>
      <c r="L151">
        <f>L150&amp;IF(I151="","",","&amp;I151)</f>
        <v/>
      </c>
    </row>
    <row r="152">
      <c r="A152" t="n">
        <v>169</v>
      </c>
      <c r="B152">
        <f>survey!B169</f>
        <v/>
      </c>
      <c r="C152">
        <f>survey!A169</f>
        <v/>
      </c>
      <c r="D152" t="inlineStr"/>
      <c r="E152">
        <f>IF(OR(B152="",C152=""),"",IF(LOWER(D152)="yes","INCLUDE","EXCLUDE"))</f>
        <v/>
      </c>
      <c r="F152">
        <f>IF(E152&lt;&gt;"INCLUDE","",IF(LEFT(LOWER(C152),10)="select_one ","select_one",IF(LOWER(C152)="date","date",IF(OR(LOWER(C152)="integer",LOWER(C152)="decimal",LOWER(C152)="range"),LOWER(C152),"sha256"))))</f>
        <v/>
      </c>
      <c r="G152">
        <f>IF(E152&lt;&gt;"INCLUDE","",IF(F152="date","yyyy-mm-dd",IF(F152="select_one","stored-choice-name",IF(F152="sha256","odk-lexical-utf8-sha256","odk-canonical-scalar"))))</f>
        <v/>
      </c>
      <c r="H152">
        <f>IF(E152&lt;&gt;"INCLUDE","","{"&amp;CHAR(34)&amp;"path"&amp;CHAR(34)&amp;":"&amp;CHAR(34)&amp;B152&amp;CHAR(34)&amp;","&amp;CHAR(34)&amp;"type"&amp;CHAR(34)&amp;":"&amp;CHAR(34)&amp;F152&amp;CHAR(34)&amp;","&amp;CHAR(34)&amp;"xlsform_type"&amp;CHAR(34)&amp;":"&amp;CHAR(34)&amp;C152&amp;CHAR(34)&amp;","&amp;CHAR(34)&amp;"commitment"&amp;CHAR(34)&amp;":"&amp;CHAR(34)&amp;IF(F152="sha256","text-utf8-sha256","value")&amp;CHAR(34)&amp;","&amp;CHAR(34)&amp;"transform"&amp;CHAR(34)&amp;":"&amp;CHAR(34)&amp;G152&amp;CHAR(34)&amp;"}")</f>
        <v/>
      </c>
      <c r="I152">
        <f>IF(E152&lt;&gt;"INCLUDE","","'|"&amp;B152&amp;"=', "&amp;IF(F152="date","if(string-length(string(${"&amp;B152&amp;"})) &gt; 0, format-date(${"&amp;B152&amp;"}, '%Y-%m-%d'), '')",IF(F152="sha256","digest(string(${"&amp;B152&amp;"}), 'SHA-256', 'hex')","string(${"&amp;B152&amp;"})")))</f>
        <v/>
      </c>
      <c r="J152">
        <f>IF(E152="INCLUDE","Included by explicit yes","Not included")</f>
        <v/>
      </c>
      <c r="K152">
        <f>K151&amp;IF(H152="","",","&amp;H152)</f>
        <v/>
      </c>
      <c r="L152">
        <f>L151&amp;IF(I152="","",","&amp;I152)</f>
        <v/>
      </c>
    </row>
    <row r="153">
      <c r="A153" t="n">
        <v>170</v>
      </c>
      <c r="B153">
        <f>survey!B170</f>
        <v/>
      </c>
      <c r="C153">
        <f>survey!A170</f>
        <v/>
      </c>
      <c r="D153" t="inlineStr"/>
      <c r="E153">
        <f>IF(OR(B153="",C153=""),"",IF(LOWER(D153)="yes","INCLUDE","EXCLUDE"))</f>
        <v/>
      </c>
      <c r="F153">
        <f>IF(E153&lt;&gt;"INCLUDE","",IF(LEFT(LOWER(C153),10)="select_one ","select_one",IF(LOWER(C153)="date","date",IF(OR(LOWER(C153)="integer",LOWER(C153)="decimal",LOWER(C153)="range"),LOWER(C153),"sha256"))))</f>
        <v/>
      </c>
      <c r="G153">
        <f>IF(E153&lt;&gt;"INCLUDE","",IF(F153="date","yyyy-mm-dd",IF(F153="select_one","stored-choice-name",IF(F153="sha256","odk-lexical-utf8-sha256","odk-canonical-scalar"))))</f>
        <v/>
      </c>
      <c r="H153">
        <f>IF(E153&lt;&gt;"INCLUDE","","{"&amp;CHAR(34)&amp;"path"&amp;CHAR(34)&amp;":"&amp;CHAR(34)&amp;B153&amp;CHAR(34)&amp;","&amp;CHAR(34)&amp;"type"&amp;CHAR(34)&amp;":"&amp;CHAR(34)&amp;F153&amp;CHAR(34)&amp;","&amp;CHAR(34)&amp;"xlsform_type"&amp;CHAR(34)&amp;":"&amp;CHAR(34)&amp;C153&amp;CHAR(34)&amp;","&amp;CHAR(34)&amp;"commitment"&amp;CHAR(34)&amp;":"&amp;CHAR(34)&amp;IF(F153="sha256","text-utf8-sha256","value")&amp;CHAR(34)&amp;","&amp;CHAR(34)&amp;"transform"&amp;CHAR(34)&amp;":"&amp;CHAR(34)&amp;G153&amp;CHAR(34)&amp;"}")</f>
        <v/>
      </c>
      <c r="I153">
        <f>IF(E153&lt;&gt;"INCLUDE","","'|"&amp;B153&amp;"=', "&amp;IF(F153="date","if(string-length(string(${"&amp;B153&amp;"})) &gt; 0, format-date(${"&amp;B153&amp;"}, '%Y-%m-%d'), '')",IF(F153="sha256","digest(string(${"&amp;B153&amp;"}), 'SHA-256', 'hex')","string(${"&amp;B153&amp;"})")))</f>
        <v/>
      </c>
      <c r="J153">
        <f>IF(E153="INCLUDE","Included by explicit yes","Not included")</f>
        <v/>
      </c>
      <c r="K153">
        <f>K152&amp;IF(H153="","",","&amp;H153)</f>
        <v/>
      </c>
      <c r="L153">
        <f>L152&amp;IF(I153="","",","&amp;I153)</f>
        <v/>
      </c>
    </row>
    <row r="154">
      <c r="A154" t="n">
        <v>171</v>
      </c>
      <c r="B154">
        <f>survey!B171</f>
        <v/>
      </c>
      <c r="C154">
        <f>survey!A171</f>
        <v/>
      </c>
      <c r="D154" t="inlineStr"/>
      <c r="E154">
        <f>IF(OR(B154="",C154=""),"",IF(LOWER(D154)="yes","INCLUDE","EXCLUDE"))</f>
        <v/>
      </c>
      <c r="F154">
        <f>IF(E154&lt;&gt;"INCLUDE","",IF(LEFT(LOWER(C154),10)="select_one ","select_one",IF(LOWER(C154)="date","date",IF(OR(LOWER(C154)="integer",LOWER(C154)="decimal",LOWER(C154)="range"),LOWER(C154),"sha256"))))</f>
        <v/>
      </c>
      <c r="G154">
        <f>IF(E154&lt;&gt;"INCLUDE","",IF(F154="date","yyyy-mm-dd",IF(F154="select_one","stored-choice-name",IF(F154="sha256","odk-lexical-utf8-sha256","odk-canonical-scalar"))))</f>
        <v/>
      </c>
      <c r="H154">
        <f>IF(E154&lt;&gt;"INCLUDE","","{"&amp;CHAR(34)&amp;"path"&amp;CHAR(34)&amp;":"&amp;CHAR(34)&amp;B154&amp;CHAR(34)&amp;","&amp;CHAR(34)&amp;"type"&amp;CHAR(34)&amp;":"&amp;CHAR(34)&amp;F154&amp;CHAR(34)&amp;","&amp;CHAR(34)&amp;"xlsform_type"&amp;CHAR(34)&amp;":"&amp;CHAR(34)&amp;C154&amp;CHAR(34)&amp;","&amp;CHAR(34)&amp;"commitment"&amp;CHAR(34)&amp;":"&amp;CHAR(34)&amp;IF(F154="sha256","text-utf8-sha256","value")&amp;CHAR(34)&amp;","&amp;CHAR(34)&amp;"transform"&amp;CHAR(34)&amp;":"&amp;CHAR(34)&amp;G154&amp;CHAR(34)&amp;"}")</f>
        <v/>
      </c>
      <c r="I154">
        <f>IF(E154&lt;&gt;"INCLUDE","","'|"&amp;B154&amp;"=', "&amp;IF(F154="date","if(string-length(string(${"&amp;B154&amp;"})) &gt; 0, format-date(${"&amp;B154&amp;"}, '%Y-%m-%d'), '')",IF(F154="sha256","digest(string(${"&amp;B154&amp;"}), 'SHA-256', 'hex')","string(${"&amp;B154&amp;"})")))</f>
        <v/>
      </c>
      <c r="J154">
        <f>IF(E154="INCLUDE","Included by explicit yes","Not included")</f>
        <v/>
      </c>
      <c r="K154">
        <f>K153&amp;IF(H154="","",","&amp;H154)</f>
        <v/>
      </c>
      <c r="L154">
        <f>L153&amp;IF(I154="","",","&amp;I154)</f>
        <v/>
      </c>
    </row>
    <row r="155">
      <c r="A155" t="n">
        <v>172</v>
      </c>
      <c r="B155">
        <f>survey!B172</f>
        <v/>
      </c>
      <c r="C155">
        <f>survey!A172</f>
        <v/>
      </c>
      <c r="D155" t="inlineStr"/>
      <c r="E155">
        <f>IF(OR(B155="",C155=""),"",IF(LOWER(D155)="yes","INCLUDE","EXCLUDE"))</f>
        <v/>
      </c>
      <c r="F155">
        <f>IF(E155&lt;&gt;"INCLUDE","",IF(LEFT(LOWER(C155),10)="select_one ","select_one",IF(LOWER(C155)="date","date",IF(OR(LOWER(C155)="integer",LOWER(C155)="decimal",LOWER(C155)="range"),LOWER(C155),"sha256"))))</f>
        <v/>
      </c>
      <c r="G155">
        <f>IF(E155&lt;&gt;"INCLUDE","",IF(F155="date","yyyy-mm-dd",IF(F155="select_one","stored-choice-name",IF(F155="sha256","odk-lexical-utf8-sha256","odk-canonical-scalar"))))</f>
        <v/>
      </c>
      <c r="H155">
        <f>IF(E155&lt;&gt;"INCLUDE","","{"&amp;CHAR(34)&amp;"path"&amp;CHAR(34)&amp;":"&amp;CHAR(34)&amp;B155&amp;CHAR(34)&amp;","&amp;CHAR(34)&amp;"type"&amp;CHAR(34)&amp;":"&amp;CHAR(34)&amp;F155&amp;CHAR(34)&amp;","&amp;CHAR(34)&amp;"xlsform_type"&amp;CHAR(34)&amp;":"&amp;CHAR(34)&amp;C155&amp;CHAR(34)&amp;","&amp;CHAR(34)&amp;"commitment"&amp;CHAR(34)&amp;":"&amp;CHAR(34)&amp;IF(F155="sha256","text-utf8-sha256","value")&amp;CHAR(34)&amp;","&amp;CHAR(34)&amp;"transform"&amp;CHAR(34)&amp;":"&amp;CHAR(34)&amp;G155&amp;CHAR(34)&amp;"}")</f>
        <v/>
      </c>
      <c r="I155">
        <f>IF(E155&lt;&gt;"INCLUDE","","'|"&amp;B155&amp;"=', "&amp;IF(F155="date","if(string-length(string(${"&amp;B155&amp;"})) &gt; 0, format-date(${"&amp;B155&amp;"}, '%Y-%m-%d'), '')",IF(F155="sha256","digest(string(${"&amp;B155&amp;"}), 'SHA-256', 'hex')","string(${"&amp;B155&amp;"})")))</f>
        <v/>
      </c>
      <c r="J155">
        <f>IF(E155="INCLUDE","Included by explicit yes","Not included")</f>
        <v/>
      </c>
      <c r="K155">
        <f>K154&amp;IF(H155="","",","&amp;H155)</f>
        <v/>
      </c>
      <c r="L155">
        <f>L154&amp;IF(I155="","",","&amp;I155)</f>
        <v/>
      </c>
    </row>
    <row r="156">
      <c r="A156" t="n">
        <v>173</v>
      </c>
      <c r="B156">
        <f>survey!B173</f>
        <v/>
      </c>
      <c r="C156">
        <f>survey!A173</f>
        <v/>
      </c>
      <c r="D156" t="inlineStr"/>
      <c r="E156">
        <f>IF(OR(B156="",C156=""),"",IF(LOWER(D156)="yes","INCLUDE","EXCLUDE"))</f>
        <v/>
      </c>
      <c r="F156">
        <f>IF(E156&lt;&gt;"INCLUDE","",IF(LEFT(LOWER(C156),10)="select_one ","select_one",IF(LOWER(C156)="date","date",IF(OR(LOWER(C156)="integer",LOWER(C156)="decimal",LOWER(C156)="range"),LOWER(C156),"sha256"))))</f>
        <v/>
      </c>
      <c r="G156">
        <f>IF(E156&lt;&gt;"INCLUDE","",IF(F156="date","yyyy-mm-dd",IF(F156="select_one","stored-choice-name",IF(F156="sha256","odk-lexical-utf8-sha256","odk-canonical-scalar"))))</f>
        <v/>
      </c>
      <c r="H156">
        <f>IF(E156&lt;&gt;"INCLUDE","","{"&amp;CHAR(34)&amp;"path"&amp;CHAR(34)&amp;":"&amp;CHAR(34)&amp;B156&amp;CHAR(34)&amp;","&amp;CHAR(34)&amp;"type"&amp;CHAR(34)&amp;":"&amp;CHAR(34)&amp;F156&amp;CHAR(34)&amp;","&amp;CHAR(34)&amp;"xlsform_type"&amp;CHAR(34)&amp;":"&amp;CHAR(34)&amp;C156&amp;CHAR(34)&amp;","&amp;CHAR(34)&amp;"commitment"&amp;CHAR(34)&amp;":"&amp;CHAR(34)&amp;IF(F156="sha256","text-utf8-sha256","value")&amp;CHAR(34)&amp;","&amp;CHAR(34)&amp;"transform"&amp;CHAR(34)&amp;":"&amp;CHAR(34)&amp;G156&amp;CHAR(34)&amp;"}")</f>
        <v/>
      </c>
      <c r="I156">
        <f>IF(E156&lt;&gt;"INCLUDE","","'|"&amp;B156&amp;"=', "&amp;IF(F156="date","if(string-length(string(${"&amp;B156&amp;"})) &gt; 0, format-date(${"&amp;B156&amp;"}, '%Y-%m-%d'), '')",IF(F156="sha256","digest(string(${"&amp;B156&amp;"}), 'SHA-256', 'hex')","string(${"&amp;B156&amp;"})")))</f>
        <v/>
      </c>
      <c r="J156">
        <f>IF(E156="INCLUDE","Included by explicit yes","Not included")</f>
        <v/>
      </c>
      <c r="K156">
        <f>K155&amp;IF(H156="","",","&amp;H156)</f>
        <v/>
      </c>
      <c r="L156">
        <f>L155&amp;IF(I156="","",","&amp;I156)</f>
        <v/>
      </c>
    </row>
    <row r="157">
      <c r="A157" t="n">
        <v>174</v>
      </c>
      <c r="B157">
        <f>survey!B174</f>
        <v/>
      </c>
      <c r="C157">
        <f>survey!A174</f>
        <v/>
      </c>
      <c r="D157" t="inlineStr"/>
      <c r="E157">
        <f>IF(OR(B157="",C157=""),"",IF(LOWER(D157)="yes","INCLUDE","EXCLUDE"))</f>
        <v/>
      </c>
      <c r="F157">
        <f>IF(E157&lt;&gt;"INCLUDE","",IF(LEFT(LOWER(C157),10)="select_one ","select_one",IF(LOWER(C157)="date","date",IF(OR(LOWER(C157)="integer",LOWER(C157)="decimal",LOWER(C157)="range"),LOWER(C157),"sha256"))))</f>
        <v/>
      </c>
      <c r="G157">
        <f>IF(E157&lt;&gt;"INCLUDE","",IF(F157="date","yyyy-mm-dd",IF(F157="select_one","stored-choice-name",IF(F157="sha256","odk-lexical-utf8-sha256","odk-canonical-scalar"))))</f>
        <v/>
      </c>
      <c r="H157">
        <f>IF(E157&lt;&gt;"INCLUDE","","{"&amp;CHAR(34)&amp;"path"&amp;CHAR(34)&amp;":"&amp;CHAR(34)&amp;B157&amp;CHAR(34)&amp;","&amp;CHAR(34)&amp;"type"&amp;CHAR(34)&amp;":"&amp;CHAR(34)&amp;F157&amp;CHAR(34)&amp;","&amp;CHAR(34)&amp;"xlsform_type"&amp;CHAR(34)&amp;":"&amp;CHAR(34)&amp;C157&amp;CHAR(34)&amp;","&amp;CHAR(34)&amp;"commitment"&amp;CHAR(34)&amp;":"&amp;CHAR(34)&amp;IF(F157="sha256","text-utf8-sha256","value")&amp;CHAR(34)&amp;","&amp;CHAR(34)&amp;"transform"&amp;CHAR(34)&amp;":"&amp;CHAR(34)&amp;G157&amp;CHAR(34)&amp;"}")</f>
        <v/>
      </c>
      <c r="I157">
        <f>IF(E157&lt;&gt;"INCLUDE","","'|"&amp;B157&amp;"=', "&amp;IF(F157="date","if(string-length(string(${"&amp;B157&amp;"})) &gt; 0, format-date(${"&amp;B157&amp;"}, '%Y-%m-%d'), '')",IF(F157="sha256","digest(string(${"&amp;B157&amp;"}), 'SHA-256', 'hex')","string(${"&amp;B157&amp;"})")))</f>
        <v/>
      </c>
      <c r="J157">
        <f>IF(E157="INCLUDE","Included by explicit yes","Not included")</f>
        <v/>
      </c>
      <c r="K157">
        <f>K156&amp;IF(H157="","",","&amp;H157)</f>
        <v/>
      </c>
      <c r="L157">
        <f>L156&amp;IF(I157="","",","&amp;I157)</f>
        <v/>
      </c>
    </row>
    <row r="158">
      <c r="A158" t="n">
        <v>175</v>
      </c>
      <c r="B158">
        <f>survey!B175</f>
        <v/>
      </c>
      <c r="C158">
        <f>survey!A175</f>
        <v/>
      </c>
      <c r="D158" t="inlineStr"/>
      <c r="E158">
        <f>IF(OR(B158="",C158=""),"",IF(LOWER(D158)="yes","INCLUDE","EXCLUDE"))</f>
        <v/>
      </c>
      <c r="F158">
        <f>IF(E158&lt;&gt;"INCLUDE","",IF(LEFT(LOWER(C158),10)="select_one ","select_one",IF(LOWER(C158)="date","date",IF(OR(LOWER(C158)="integer",LOWER(C158)="decimal",LOWER(C158)="range"),LOWER(C158),"sha256"))))</f>
        <v/>
      </c>
      <c r="G158">
        <f>IF(E158&lt;&gt;"INCLUDE","",IF(F158="date","yyyy-mm-dd",IF(F158="select_one","stored-choice-name",IF(F158="sha256","odk-lexical-utf8-sha256","odk-canonical-scalar"))))</f>
        <v/>
      </c>
      <c r="H158">
        <f>IF(E158&lt;&gt;"INCLUDE","","{"&amp;CHAR(34)&amp;"path"&amp;CHAR(34)&amp;":"&amp;CHAR(34)&amp;B158&amp;CHAR(34)&amp;","&amp;CHAR(34)&amp;"type"&amp;CHAR(34)&amp;":"&amp;CHAR(34)&amp;F158&amp;CHAR(34)&amp;","&amp;CHAR(34)&amp;"xlsform_type"&amp;CHAR(34)&amp;":"&amp;CHAR(34)&amp;C158&amp;CHAR(34)&amp;","&amp;CHAR(34)&amp;"commitment"&amp;CHAR(34)&amp;":"&amp;CHAR(34)&amp;IF(F158="sha256","text-utf8-sha256","value")&amp;CHAR(34)&amp;","&amp;CHAR(34)&amp;"transform"&amp;CHAR(34)&amp;":"&amp;CHAR(34)&amp;G158&amp;CHAR(34)&amp;"}")</f>
        <v/>
      </c>
      <c r="I158">
        <f>IF(E158&lt;&gt;"INCLUDE","","'|"&amp;B158&amp;"=', "&amp;IF(F158="date","if(string-length(string(${"&amp;B158&amp;"})) &gt; 0, format-date(${"&amp;B158&amp;"}, '%Y-%m-%d'), '')",IF(F158="sha256","digest(string(${"&amp;B158&amp;"}), 'SHA-256', 'hex')","string(${"&amp;B158&amp;"})")))</f>
        <v/>
      </c>
      <c r="J158">
        <f>IF(E158="INCLUDE","Included by explicit yes","Not included")</f>
        <v/>
      </c>
      <c r="K158">
        <f>K157&amp;IF(H158="","",","&amp;H158)</f>
        <v/>
      </c>
      <c r="L158">
        <f>L157&amp;IF(I158="","",","&amp;I158)</f>
        <v/>
      </c>
    </row>
    <row r="159">
      <c r="A159" t="n">
        <v>176</v>
      </c>
      <c r="B159">
        <f>survey!B176</f>
        <v/>
      </c>
      <c r="C159">
        <f>survey!A176</f>
        <v/>
      </c>
      <c r="D159" t="inlineStr"/>
      <c r="E159">
        <f>IF(OR(B159="",C159=""),"",IF(LOWER(D159)="yes","INCLUDE","EXCLUDE"))</f>
        <v/>
      </c>
      <c r="F159">
        <f>IF(E159&lt;&gt;"INCLUDE","",IF(LEFT(LOWER(C159),10)="select_one ","select_one",IF(LOWER(C159)="date","date",IF(OR(LOWER(C159)="integer",LOWER(C159)="decimal",LOWER(C159)="range"),LOWER(C159),"sha256"))))</f>
        <v/>
      </c>
      <c r="G159">
        <f>IF(E159&lt;&gt;"INCLUDE","",IF(F159="date","yyyy-mm-dd",IF(F159="select_one","stored-choice-name",IF(F159="sha256","odk-lexical-utf8-sha256","odk-canonical-scalar"))))</f>
        <v/>
      </c>
      <c r="H159">
        <f>IF(E159&lt;&gt;"INCLUDE","","{"&amp;CHAR(34)&amp;"path"&amp;CHAR(34)&amp;":"&amp;CHAR(34)&amp;B159&amp;CHAR(34)&amp;","&amp;CHAR(34)&amp;"type"&amp;CHAR(34)&amp;":"&amp;CHAR(34)&amp;F159&amp;CHAR(34)&amp;","&amp;CHAR(34)&amp;"xlsform_type"&amp;CHAR(34)&amp;":"&amp;CHAR(34)&amp;C159&amp;CHAR(34)&amp;","&amp;CHAR(34)&amp;"commitment"&amp;CHAR(34)&amp;":"&amp;CHAR(34)&amp;IF(F159="sha256","text-utf8-sha256","value")&amp;CHAR(34)&amp;","&amp;CHAR(34)&amp;"transform"&amp;CHAR(34)&amp;":"&amp;CHAR(34)&amp;G159&amp;CHAR(34)&amp;"}")</f>
        <v/>
      </c>
      <c r="I159">
        <f>IF(E159&lt;&gt;"INCLUDE","","'|"&amp;B159&amp;"=', "&amp;IF(F159="date","if(string-length(string(${"&amp;B159&amp;"})) &gt; 0, format-date(${"&amp;B159&amp;"}, '%Y-%m-%d'), '')",IF(F159="sha256","digest(string(${"&amp;B159&amp;"}), 'SHA-256', 'hex')","string(${"&amp;B159&amp;"})")))</f>
        <v/>
      </c>
      <c r="J159">
        <f>IF(E159="INCLUDE","Included by explicit yes","Not included")</f>
        <v/>
      </c>
      <c r="K159">
        <f>K158&amp;IF(H159="","",","&amp;H159)</f>
        <v/>
      </c>
      <c r="L159">
        <f>L158&amp;IF(I159="","",","&amp;I159)</f>
        <v/>
      </c>
    </row>
    <row r="160">
      <c r="A160" t="n">
        <v>177</v>
      </c>
      <c r="B160">
        <f>survey!B177</f>
        <v/>
      </c>
      <c r="C160">
        <f>survey!A177</f>
        <v/>
      </c>
      <c r="D160" t="inlineStr"/>
      <c r="E160">
        <f>IF(OR(B160="",C160=""),"",IF(LOWER(D160)="yes","INCLUDE","EXCLUDE"))</f>
        <v/>
      </c>
      <c r="F160">
        <f>IF(E160&lt;&gt;"INCLUDE","",IF(LEFT(LOWER(C160),10)="select_one ","select_one",IF(LOWER(C160)="date","date",IF(OR(LOWER(C160)="integer",LOWER(C160)="decimal",LOWER(C160)="range"),LOWER(C160),"sha256"))))</f>
        <v/>
      </c>
      <c r="G160">
        <f>IF(E160&lt;&gt;"INCLUDE","",IF(F160="date","yyyy-mm-dd",IF(F160="select_one","stored-choice-name",IF(F160="sha256","odk-lexical-utf8-sha256","odk-canonical-scalar"))))</f>
        <v/>
      </c>
      <c r="H160">
        <f>IF(E160&lt;&gt;"INCLUDE","","{"&amp;CHAR(34)&amp;"path"&amp;CHAR(34)&amp;":"&amp;CHAR(34)&amp;B160&amp;CHAR(34)&amp;","&amp;CHAR(34)&amp;"type"&amp;CHAR(34)&amp;":"&amp;CHAR(34)&amp;F160&amp;CHAR(34)&amp;","&amp;CHAR(34)&amp;"xlsform_type"&amp;CHAR(34)&amp;":"&amp;CHAR(34)&amp;C160&amp;CHAR(34)&amp;","&amp;CHAR(34)&amp;"commitment"&amp;CHAR(34)&amp;":"&amp;CHAR(34)&amp;IF(F160="sha256","text-utf8-sha256","value")&amp;CHAR(34)&amp;","&amp;CHAR(34)&amp;"transform"&amp;CHAR(34)&amp;":"&amp;CHAR(34)&amp;G160&amp;CHAR(34)&amp;"}")</f>
        <v/>
      </c>
      <c r="I160">
        <f>IF(E160&lt;&gt;"INCLUDE","","'|"&amp;B160&amp;"=', "&amp;IF(F160="date","if(string-length(string(${"&amp;B160&amp;"})) &gt; 0, format-date(${"&amp;B160&amp;"}, '%Y-%m-%d'), '')",IF(F160="sha256","digest(string(${"&amp;B160&amp;"}), 'SHA-256', 'hex')","string(${"&amp;B160&amp;"})")))</f>
        <v/>
      </c>
      <c r="J160">
        <f>IF(E160="INCLUDE","Included by explicit yes","Not included")</f>
        <v/>
      </c>
      <c r="K160">
        <f>K159&amp;IF(H160="","",","&amp;H160)</f>
        <v/>
      </c>
      <c r="L160">
        <f>L159&amp;IF(I160="","",","&amp;I160)</f>
        <v/>
      </c>
    </row>
    <row r="161">
      <c r="A161" t="n">
        <v>178</v>
      </c>
      <c r="B161">
        <f>survey!B178</f>
        <v/>
      </c>
      <c r="C161">
        <f>survey!A178</f>
        <v/>
      </c>
      <c r="D161" t="inlineStr"/>
      <c r="E161">
        <f>IF(OR(B161="",C161=""),"",IF(LOWER(D161)="yes","INCLUDE","EXCLUDE"))</f>
        <v/>
      </c>
      <c r="F161">
        <f>IF(E161&lt;&gt;"INCLUDE","",IF(LEFT(LOWER(C161),10)="select_one ","select_one",IF(LOWER(C161)="date","date",IF(OR(LOWER(C161)="integer",LOWER(C161)="decimal",LOWER(C161)="range"),LOWER(C161),"sha256"))))</f>
        <v/>
      </c>
      <c r="G161">
        <f>IF(E161&lt;&gt;"INCLUDE","",IF(F161="date","yyyy-mm-dd",IF(F161="select_one","stored-choice-name",IF(F161="sha256","odk-lexical-utf8-sha256","odk-canonical-scalar"))))</f>
        <v/>
      </c>
      <c r="H161">
        <f>IF(E161&lt;&gt;"INCLUDE","","{"&amp;CHAR(34)&amp;"path"&amp;CHAR(34)&amp;":"&amp;CHAR(34)&amp;B161&amp;CHAR(34)&amp;","&amp;CHAR(34)&amp;"type"&amp;CHAR(34)&amp;":"&amp;CHAR(34)&amp;F161&amp;CHAR(34)&amp;","&amp;CHAR(34)&amp;"xlsform_type"&amp;CHAR(34)&amp;":"&amp;CHAR(34)&amp;C161&amp;CHAR(34)&amp;","&amp;CHAR(34)&amp;"commitment"&amp;CHAR(34)&amp;":"&amp;CHAR(34)&amp;IF(F161="sha256","text-utf8-sha256","value")&amp;CHAR(34)&amp;","&amp;CHAR(34)&amp;"transform"&amp;CHAR(34)&amp;":"&amp;CHAR(34)&amp;G161&amp;CHAR(34)&amp;"}")</f>
        <v/>
      </c>
      <c r="I161">
        <f>IF(E161&lt;&gt;"INCLUDE","","'|"&amp;B161&amp;"=', "&amp;IF(F161="date","if(string-length(string(${"&amp;B161&amp;"})) &gt; 0, format-date(${"&amp;B161&amp;"}, '%Y-%m-%d'), '')",IF(F161="sha256","digest(string(${"&amp;B161&amp;"}), 'SHA-256', 'hex')","string(${"&amp;B161&amp;"})")))</f>
        <v/>
      </c>
      <c r="J161">
        <f>IF(E161="INCLUDE","Included by explicit yes","Not included")</f>
        <v/>
      </c>
      <c r="K161">
        <f>K160&amp;IF(H161="","",","&amp;H161)</f>
        <v/>
      </c>
      <c r="L161">
        <f>L160&amp;IF(I161="","",","&amp;I161)</f>
        <v/>
      </c>
    </row>
    <row r="162">
      <c r="A162" t="n">
        <v>179</v>
      </c>
      <c r="B162">
        <f>survey!B179</f>
        <v/>
      </c>
      <c r="C162">
        <f>survey!A179</f>
        <v/>
      </c>
      <c r="D162" t="inlineStr"/>
      <c r="E162">
        <f>IF(OR(B162="",C162=""),"",IF(LOWER(D162)="yes","INCLUDE","EXCLUDE"))</f>
        <v/>
      </c>
      <c r="F162">
        <f>IF(E162&lt;&gt;"INCLUDE","",IF(LEFT(LOWER(C162),10)="select_one ","select_one",IF(LOWER(C162)="date","date",IF(OR(LOWER(C162)="integer",LOWER(C162)="decimal",LOWER(C162)="range"),LOWER(C162),"sha256"))))</f>
        <v/>
      </c>
      <c r="G162">
        <f>IF(E162&lt;&gt;"INCLUDE","",IF(F162="date","yyyy-mm-dd",IF(F162="select_one","stored-choice-name",IF(F162="sha256","odk-lexical-utf8-sha256","odk-canonical-scalar"))))</f>
        <v/>
      </c>
      <c r="H162">
        <f>IF(E162&lt;&gt;"INCLUDE","","{"&amp;CHAR(34)&amp;"path"&amp;CHAR(34)&amp;":"&amp;CHAR(34)&amp;B162&amp;CHAR(34)&amp;","&amp;CHAR(34)&amp;"type"&amp;CHAR(34)&amp;":"&amp;CHAR(34)&amp;F162&amp;CHAR(34)&amp;","&amp;CHAR(34)&amp;"xlsform_type"&amp;CHAR(34)&amp;":"&amp;CHAR(34)&amp;C162&amp;CHAR(34)&amp;","&amp;CHAR(34)&amp;"commitment"&amp;CHAR(34)&amp;":"&amp;CHAR(34)&amp;IF(F162="sha256","text-utf8-sha256","value")&amp;CHAR(34)&amp;","&amp;CHAR(34)&amp;"transform"&amp;CHAR(34)&amp;":"&amp;CHAR(34)&amp;G162&amp;CHAR(34)&amp;"}")</f>
        <v/>
      </c>
      <c r="I162">
        <f>IF(E162&lt;&gt;"INCLUDE","","'|"&amp;B162&amp;"=', "&amp;IF(F162="date","if(string-length(string(${"&amp;B162&amp;"})) &gt; 0, format-date(${"&amp;B162&amp;"}, '%Y-%m-%d'), '')",IF(F162="sha256","digest(string(${"&amp;B162&amp;"}), 'SHA-256', 'hex')","string(${"&amp;B162&amp;"})")))</f>
        <v/>
      </c>
      <c r="J162">
        <f>IF(E162="INCLUDE","Included by explicit yes","Not included")</f>
        <v/>
      </c>
      <c r="K162">
        <f>K161&amp;IF(H162="","",","&amp;H162)</f>
        <v/>
      </c>
      <c r="L162">
        <f>L161&amp;IF(I162="","",","&amp;I162)</f>
        <v/>
      </c>
    </row>
    <row r="163">
      <c r="A163" t="n">
        <v>180</v>
      </c>
      <c r="B163">
        <f>survey!B180</f>
        <v/>
      </c>
      <c r="C163">
        <f>survey!A180</f>
        <v/>
      </c>
      <c r="D163" t="inlineStr"/>
      <c r="E163">
        <f>IF(OR(B163="",C163=""),"",IF(LOWER(D163)="yes","INCLUDE","EXCLUDE"))</f>
        <v/>
      </c>
      <c r="F163">
        <f>IF(E163&lt;&gt;"INCLUDE","",IF(LEFT(LOWER(C163),10)="select_one ","select_one",IF(LOWER(C163)="date","date",IF(OR(LOWER(C163)="integer",LOWER(C163)="decimal",LOWER(C163)="range"),LOWER(C163),"sha256"))))</f>
        <v/>
      </c>
      <c r="G163">
        <f>IF(E163&lt;&gt;"INCLUDE","",IF(F163="date","yyyy-mm-dd",IF(F163="select_one","stored-choice-name",IF(F163="sha256","odk-lexical-utf8-sha256","odk-canonical-scalar"))))</f>
        <v/>
      </c>
      <c r="H163">
        <f>IF(E163&lt;&gt;"INCLUDE","","{"&amp;CHAR(34)&amp;"path"&amp;CHAR(34)&amp;":"&amp;CHAR(34)&amp;B163&amp;CHAR(34)&amp;","&amp;CHAR(34)&amp;"type"&amp;CHAR(34)&amp;":"&amp;CHAR(34)&amp;F163&amp;CHAR(34)&amp;","&amp;CHAR(34)&amp;"xlsform_type"&amp;CHAR(34)&amp;":"&amp;CHAR(34)&amp;C163&amp;CHAR(34)&amp;","&amp;CHAR(34)&amp;"commitment"&amp;CHAR(34)&amp;":"&amp;CHAR(34)&amp;IF(F163="sha256","text-utf8-sha256","value")&amp;CHAR(34)&amp;","&amp;CHAR(34)&amp;"transform"&amp;CHAR(34)&amp;":"&amp;CHAR(34)&amp;G163&amp;CHAR(34)&amp;"}")</f>
        <v/>
      </c>
      <c r="I163">
        <f>IF(E163&lt;&gt;"INCLUDE","","'|"&amp;B163&amp;"=', "&amp;IF(F163="date","if(string-length(string(${"&amp;B163&amp;"})) &gt; 0, format-date(${"&amp;B163&amp;"}, '%Y-%m-%d'), '')",IF(F163="sha256","digest(string(${"&amp;B163&amp;"}), 'SHA-256', 'hex')","string(${"&amp;B163&amp;"})")))</f>
        <v/>
      </c>
      <c r="J163">
        <f>IF(E163="INCLUDE","Included by explicit yes","Not included")</f>
        <v/>
      </c>
      <c r="K163">
        <f>K162&amp;IF(H163="","",","&amp;H163)</f>
        <v/>
      </c>
      <c r="L163">
        <f>L162&amp;IF(I163="","",","&amp;I163)</f>
        <v/>
      </c>
    </row>
    <row r="164">
      <c r="A164" t="n">
        <v>181</v>
      </c>
      <c r="B164">
        <f>survey!B181</f>
        <v/>
      </c>
      <c r="C164">
        <f>survey!A181</f>
        <v/>
      </c>
      <c r="D164" t="inlineStr"/>
      <c r="E164">
        <f>IF(OR(B164="",C164=""),"",IF(LOWER(D164)="yes","INCLUDE","EXCLUDE"))</f>
        <v/>
      </c>
      <c r="F164">
        <f>IF(E164&lt;&gt;"INCLUDE","",IF(LEFT(LOWER(C164),10)="select_one ","select_one",IF(LOWER(C164)="date","date",IF(OR(LOWER(C164)="integer",LOWER(C164)="decimal",LOWER(C164)="range"),LOWER(C164),"sha256"))))</f>
        <v/>
      </c>
      <c r="G164">
        <f>IF(E164&lt;&gt;"INCLUDE","",IF(F164="date","yyyy-mm-dd",IF(F164="select_one","stored-choice-name",IF(F164="sha256","odk-lexical-utf8-sha256","odk-canonical-scalar"))))</f>
        <v/>
      </c>
      <c r="H164">
        <f>IF(E164&lt;&gt;"INCLUDE","","{"&amp;CHAR(34)&amp;"path"&amp;CHAR(34)&amp;":"&amp;CHAR(34)&amp;B164&amp;CHAR(34)&amp;","&amp;CHAR(34)&amp;"type"&amp;CHAR(34)&amp;":"&amp;CHAR(34)&amp;F164&amp;CHAR(34)&amp;","&amp;CHAR(34)&amp;"xlsform_type"&amp;CHAR(34)&amp;":"&amp;CHAR(34)&amp;C164&amp;CHAR(34)&amp;","&amp;CHAR(34)&amp;"commitment"&amp;CHAR(34)&amp;":"&amp;CHAR(34)&amp;IF(F164="sha256","text-utf8-sha256","value")&amp;CHAR(34)&amp;","&amp;CHAR(34)&amp;"transform"&amp;CHAR(34)&amp;":"&amp;CHAR(34)&amp;G164&amp;CHAR(34)&amp;"}")</f>
        <v/>
      </c>
      <c r="I164">
        <f>IF(E164&lt;&gt;"INCLUDE","","'|"&amp;B164&amp;"=', "&amp;IF(F164="date","if(string-length(string(${"&amp;B164&amp;"})) &gt; 0, format-date(${"&amp;B164&amp;"}, '%Y-%m-%d'), '')",IF(F164="sha256","digest(string(${"&amp;B164&amp;"}), 'SHA-256', 'hex')","string(${"&amp;B164&amp;"})")))</f>
        <v/>
      </c>
      <c r="J164">
        <f>IF(E164="INCLUDE","Included by explicit yes","Not included")</f>
        <v/>
      </c>
      <c r="K164">
        <f>K163&amp;IF(H164="","",","&amp;H164)</f>
        <v/>
      </c>
      <c r="L164">
        <f>L163&amp;IF(I164="","",","&amp;I164)</f>
        <v/>
      </c>
    </row>
    <row r="165">
      <c r="A165" t="n">
        <v>182</v>
      </c>
      <c r="B165">
        <f>survey!B182</f>
        <v/>
      </c>
      <c r="C165">
        <f>survey!A182</f>
        <v/>
      </c>
      <c r="D165" t="inlineStr"/>
      <c r="E165">
        <f>IF(OR(B165="",C165=""),"",IF(LOWER(D165)="yes","INCLUDE","EXCLUDE"))</f>
        <v/>
      </c>
      <c r="F165">
        <f>IF(E165&lt;&gt;"INCLUDE","",IF(LEFT(LOWER(C165),10)="select_one ","select_one",IF(LOWER(C165)="date","date",IF(OR(LOWER(C165)="integer",LOWER(C165)="decimal",LOWER(C165)="range"),LOWER(C165),"sha256"))))</f>
        <v/>
      </c>
      <c r="G165">
        <f>IF(E165&lt;&gt;"INCLUDE","",IF(F165="date","yyyy-mm-dd",IF(F165="select_one","stored-choice-name",IF(F165="sha256","odk-lexical-utf8-sha256","odk-canonical-scalar"))))</f>
        <v/>
      </c>
      <c r="H165">
        <f>IF(E165&lt;&gt;"INCLUDE","","{"&amp;CHAR(34)&amp;"path"&amp;CHAR(34)&amp;":"&amp;CHAR(34)&amp;B165&amp;CHAR(34)&amp;","&amp;CHAR(34)&amp;"type"&amp;CHAR(34)&amp;":"&amp;CHAR(34)&amp;F165&amp;CHAR(34)&amp;","&amp;CHAR(34)&amp;"xlsform_type"&amp;CHAR(34)&amp;":"&amp;CHAR(34)&amp;C165&amp;CHAR(34)&amp;","&amp;CHAR(34)&amp;"commitment"&amp;CHAR(34)&amp;":"&amp;CHAR(34)&amp;IF(F165="sha256","text-utf8-sha256","value")&amp;CHAR(34)&amp;","&amp;CHAR(34)&amp;"transform"&amp;CHAR(34)&amp;":"&amp;CHAR(34)&amp;G165&amp;CHAR(34)&amp;"}")</f>
        <v/>
      </c>
      <c r="I165">
        <f>IF(E165&lt;&gt;"INCLUDE","","'|"&amp;B165&amp;"=', "&amp;IF(F165="date","if(string-length(string(${"&amp;B165&amp;"})) &gt; 0, format-date(${"&amp;B165&amp;"}, '%Y-%m-%d'), '')",IF(F165="sha256","digest(string(${"&amp;B165&amp;"}), 'SHA-256', 'hex')","string(${"&amp;B165&amp;"})")))</f>
        <v/>
      </c>
      <c r="J165">
        <f>IF(E165="INCLUDE","Included by explicit yes","Not included")</f>
        <v/>
      </c>
      <c r="K165">
        <f>K164&amp;IF(H165="","",","&amp;H165)</f>
        <v/>
      </c>
      <c r="L165">
        <f>L164&amp;IF(I165="","",","&amp;I165)</f>
        <v/>
      </c>
    </row>
    <row r="166">
      <c r="A166" t="n">
        <v>183</v>
      </c>
      <c r="B166">
        <f>survey!B183</f>
        <v/>
      </c>
      <c r="C166">
        <f>survey!A183</f>
        <v/>
      </c>
      <c r="D166" t="inlineStr"/>
      <c r="E166">
        <f>IF(OR(B166="",C166=""),"",IF(LOWER(D166)="yes","INCLUDE","EXCLUDE"))</f>
        <v/>
      </c>
      <c r="F166">
        <f>IF(E166&lt;&gt;"INCLUDE","",IF(LEFT(LOWER(C166),10)="select_one ","select_one",IF(LOWER(C166)="date","date",IF(OR(LOWER(C166)="integer",LOWER(C166)="decimal",LOWER(C166)="range"),LOWER(C166),"sha256"))))</f>
        <v/>
      </c>
      <c r="G166">
        <f>IF(E166&lt;&gt;"INCLUDE","",IF(F166="date","yyyy-mm-dd",IF(F166="select_one","stored-choice-name",IF(F166="sha256","odk-lexical-utf8-sha256","odk-canonical-scalar"))))</f>
        <v/>
      </c>
      <c r="H166">
        <f>IF(E166&lt;&gt;"INCLUDE","","{"&amp;CHAR(34)&amp;"path"&amp;CHAR(34)&amp;":"&amp;CHAR(34)&amp;B166&amp;CHAR(34)&amp;","&amp;CHAR(34)&amp;"type"&amp;CHAR(34)&amp;":"&amp;CHAR(34)&amp;F166&amp;CHAR(34)&amp;","&amp;CHAR(34)&amp;"xlsform_type"&amp;CHAR(34)&amp;":"&amp;CHAR(34)&amp;C166&amp;CHAR(34)&amp;","&amp;CHAR(34)&amp;"commitment"&amp;CHAR(34)&amp;":"&amp;CHAR(34)&amp;IF(F166="sha256","text-utf8-sha256","value")&amp;CHAR(34)&amp;","&amp;CHAR(34)&amp;"transform"&amp;CHAR(34)&amp;":"&amp;CHAR(34)&amp;G166&amp;CHAR(34)&amp;"}")</f>
        <v/>
      </c>
      <c r="I166">
        <f>IF(E166&lt;&gt;"INCLUDE","","'|"&amp;B166&amp;"=', "&amp;IF(F166="date","if(string-length(string(${"&amp;B166&amp;"})) &gt; 0, format-date(${"&amp;B166&amp;"}, '%Y-%m-%d'), '')",IF(F166="sha256","digest(string(${"&amp;B166&amp;"}), 'SHA-256', 'hex')","string(${"&amp;B166&amp;"})")))</f>
        <v/>
      </c>
      <c r="J166">
        <f>IF(E166="INCLUDE","Included by explicit yes","Not included")</f>
        <v/>
      </c>
      <c r="K166">
        <f>K165&amp;IF(H166="","",","&amp;H166)</f>
        <v/>
      </c>
      <c r="L166">
        <f>L165&amp;IF(I166="","",","&amp;I166)</f>
        <v/>
      </c>
    </row>
    <row r="167">
      <c r="A167" t="n">
        <v>184</v>
      </c>
      <c r="B167">
        <f>survey!B184</f>
        <v/>
      </c>
      <c r="C167">
        <f>survey!A184</f>
        <v/>
      </c>
      <c r="D167" t="inlineStr"/>
      <c r="E167">
        <f>IF(OR(B167="",C167=""),"",IF(LOWER(D167)="yes","INCLUDE","EXCLUDE"))</f>
        <v/>
      </c>
      <c r="F167">
        <f>IF(E167&lt;&gt;"INCLUDE","",IF(LEFT(LOWER(C167),10)="select_one ","select_one",IF(LOWER(C167)="date","date",IF(OR(LOWER(C167)="integer",LOWER(C167)="decimal",LOWER(C167)="range"),LOWER(C167),"sha256"))))</f>
        <v/>
      </c>
      <c r="G167">
        <f>IF(E167&lt;&gt;"INCLUDE","",IF(F167="date","yyyy-mm-dd",IF(F167="select_one","stored-choice-name",IF(F167="sha256","odk-lexical-utf8-sha256","odk-canonical-scalar"))))</f>
        <v/>
      </c>
      <c r="H167">
        <f>IF(E167&lt;&gt;"INCLUDE","","{"&amp;CHAR(34)&amp;"path"&amp;CHAR(34)&amp;":"&amp;CHAR(34)&amp;B167&amp;CHAR(34)&amp;","&amp;CHAR(34)&amp;"type"&amp;CHAR(34)&amp;":"&amp;CHAR(34)&amp;F167&amp;CHAR(34)&amp;","&amp;CHAR(34)&amp;"xlsform_type"&amp;CHAR(34)&amp;":"&amp;CHAR(34)&amp;C167&amp;CHAR(34)&amp;","&amp;CHAR(34)&amp;"commitment"&amp;CHAR(34)&amp;":"&amp;CHAR(34)&amp;IF(F167="sha256","text-utf8-sha256","value")&amp;CHAR(34)&amp;","&amp;CHAR(34)&amp;"transform"&amp;CHAR(34)&amp;":"&amp;CHAR(34)&amp;G167&amp;CHAR(34)&amp;"}")</f>
        <v/>
      </c>
      <c r="I167">
        <f>IF(E167&lt;&gt;"INCLUDE","","'|"&amp;B167&amp;"=', "&amp;IF(F167="date","if(string-length(string(${"&amp;B167&amp;"})) &gt; 0, format-date(${"&amp;B167&amp;"}, '%Y-%m-%d'), '')",IF(F167="sha256","digest(string(${"&amp;B167&amp;"}), 'SHA-256', 'hex')","string(${"&amp;B167&amp;"})")))</f>
        <v/>
      </c>
      <c r="J167">
        <f>IF(E167="INCLUDE","Included by explicit yes","Not included")</f>
        <v/>
      </c>
      <c r="K167">
        <f>K166&amp;IF(H167="","",","&amp;H167)</f>
        <v/>
      </c>
      <c r="L167">
        <f>L166&amp;IF(I167="","",","&amp;I167)</f>
        <v/>
      </c>
    </row>
    <row r="168">
      <c r="A168" t="n">
        <v>185</v>
      </c>
      <c r="B168">
        <f>survey!B185</f>
        <v/>
      </c>
      <c r="C168">
        <f>survey!A185</f>
        <v/>
      </c>
      <c r="D168" t="inlineStr"/>
      <c r="E168">
        <f>IF(OR(B168="",C168=""),"",IF(LOWER(D168)="yes","INCLUDE","EXCLUDE"))</f>
        <v/>
      </c>
      <c r="F168">
        <f>IF(E168&lt;&gt;"INCLUDE","",IF(LEFT(LOWER(C168),10)="select_one ","select_one",IF(LOWER(C168)="date","date",IF(OR(LOWER(C168)="integer",LOWER(C168)="decimal",LOWER(C168)="range"),LOWER(C168),"sha256"))))</f>
        <v/>
      </c>
      <c r="G168">
        <f>IF(E168&lt;&gt;"INCLUDE","",IF(F168="date","yyyy-mm-dd",IF(F168="select_one","stored-choice-name",IF(F168="sha256","odk-lexical-utf8-sha256","odk-canonical-scalar"))))</f>
        <v/>
      </c>
      <c r="H168">
        <f>IF(E168&lt;&gt;"INCLUDE","","{"&amp;CHAR(34)&amp;"path"&amp;CHAR(34)&amp;":"&amp;CHAR(34)&amp;B168&amp;CHAR(34)&amp;","&amp;CHAR(34)&amp;"type"&amp;CHAR(34)&amp;":"&amp;CHAR(34)&amp;F168&amp;CHAR(34)&amp;","&amp;CHAR(34)&amp;"xlsform_type"&amp;CHAR(34)&amp;":"&amp;CHAR(34)&amp;C168&amp;CHAR(34)&amp;","&amp;CHAR(34)&amp;"commitment"&amp;CHAR(34)&amp;":"&amp;CHAR(34)&amp;IF(F168="sha256","text-utf8-sha256","value")&amp;CHAR(34)&amp;","&amp;CHAR(34)&amp;"transform"&amp;CHAR(34)&amp;":"&amp;CHAR(34)&amp;G168&amp;CHAR(34)&amp;"}")</f>
        <v/>
      </c>
      <c r="I168">
        <f>IF(E168&lt;&gt;"INCLUDE","","'|"&amp;B168&amp;"=', "&amp;IF(F168="date","if(string-length(string(${"&amp;B168&amp;"})) &gt; 0, format-date(${"&amp;B168&amp;"}, '%Y-%m-%d'), '')",IF(F168="sha256","digest(string(${"&amp;B168&amp;"}), 'SHA-256', 'hex')","string(${"&amp;B168&amp;"})")))</f>
        <v/>
      </c>
      <c r="J168">
        <f>IF(E168="INCLUDE","Included by explicit yes","Not included")</f>
        <v/>
      </c>
      <c r="K168">
        <f>K167&amp;IF(H168="","",","&amp;H168)</f>
        <v/>
      </c>
      <c r="L168">
        <f>L167&amp;IF(I168="","",","&amp;I168)</f>
        <v/>
      </c>
    </row>
    <row r="169">
      <c r="A169" t="n">
        <v>186</v>
      </c>
      <c r="B169">
        <f>survey!B186</f>
        <v/>
      </c>
      <c r="C169">
        <f>survey!A186</f>
        <v/>
      </c>
      <c r="D169" t="inlineStr"/>
      <c r="E169">
        <f>IF(OR(B169="",C169=""),"",IF(LOWER(D169)="yes","INCLUDE","EXCLUDE"))</f>
        <v/>
      </c>
      <c r="F169">
        <f>IF(E169&lt;&gt;"INCLUDE","",IF(LEFT(LOWER(C169),10)="select_one ","select_one",IF(LOWER(C169)="date","date",IF(OR(LOWER(C169)="integer",LOWER(C169)="decimal",LOWER(C169)="range"),LOWER(C169),"sha256"))))</f>
        <v/>
      </c>
      <c r="G169">
        <f>IF(E169&lt;&gt;"INCLUDE","",IF(F169="date","yyyy-mm-dd",IF(F169="select_one","stored-choice-name",IF(F169="sha256","odk-lexical-utf8-sha256","odk-canonical-scalar"))))</f>
        <v/>
      </c>
      <c r="H169">
        <f>IF(E169&lt;&gt;"INCLUDE","","{"&amp;CHAR(34)&amp;"path"&amp;CHAR(34)&amp;":"&amp;CHAR(34)&amp;B169&amp;CHAR(34)&amp;","&amp;CHAR(34)&amp;"type"&amp;CHAR(34)&amp;":"&amp;CHAR(34)&amp;F169&amp;CHAR(34)&amp;","&amp;CHAR(34)&amp;"xlsform_type"&amp;CHAR(34)&amp;":"&amp;CHAR(34)&amp;C169&amp;CHAR(34)&amp;","&amp;CHAR(34)&amp;"commitment"&amp;CHAR(34)&amp;":"&amp;CHAR(34)&amp;IF(F169="sha256","text-utf8-sha256","value")&amp;CHAR(34)&amp;","&amp;CHAR(34)&amp;"transform"&amp;CHAR(34)&amp;":"&amp;CHAR(34)&amp;G169&amp;CHAR(34)&amp;"}")</f>
        <v/>
      </c>
      <c r="I169">
        <f>IF(E169&lt;&gt;"INCLUDE","","'|"&amp;B169&amp;"=', "&amp;IF(F169="date","if(string-length(string(${"&amp;B169&amp;"})) &gt; 0, format-date(${"&amp;B169&amp;"}, '%Y-%m-%d'), '')",IF(F169="sha256","digest(string(${"&amp;B169&amp;"}), 'SHA-256', 'hex')","string(${"&amp;B169&amp;"})")))</f>
        <v/>
      </c>
      <c r="J169">
        <f>IF(E169="INCLUDE","Included by explicit yes","Not included")</f>
        <v/>
      </c>
      <c r="K169">
        <f>K168&amp;IF(H169="","",","&amp;H169)</f>
        <v/>
      </c>
      <c r="L169">
        <f>L168&amp;IF(I169="","",","&amp;I169)</f>
        <v/>
      </c>
    </row>
    <row r="170">
      <c r="A170" t="n">
        <v>187</v>
      </c>
      <c r="B170">
        <f>survey!B187</f>
        <v/>
      </c>
      <c r="C170">
        <f>survey!A187</f>
        <v/>
      </c>
      <c r="D170" t="inlineStr"/>
      <c r="E170">
        <f>IF(OR(B170="",C170=""),"",IF(LOWER(D170)="yes","INCLUDE","EXCLUDE"))</f>
        <v/>
      </c>
      <c r="F170">
        <f>IF(E170&lt;&gt;"INCLUDE","",IF(LEFT(LOWER(C170),10)="select_one ","select_one",IF(LOWER(C170)="date","date",IF(OR(LOWER(C170)="integer",LOWER(C170)="decimal",LOWER(C170)="range"),LOWER(C170),"sha256"))))</f>
        <v/>
      </c>
      <c r="G170">
        <f>IF(E170&lt;&gt;"INCLUDE","",IF(F170="date","yyyy-mm-dd",IF(F170="select_one","stored-choice-name",IF(F170="sha256","odk-lexical-utf8-sha256","odk-canonical-scalar"))))</f>
        <v/>
      </c>
      <c r="H170">
        <f>IF(E170&lt;&gt;"INCLUDE","","{"&amp;CHAR(34)&amp;"path"&amp;CHAR(34)&amp;":"&amp;CHAR(34)&amp;B170&amp;CHAR(34)&amp;","&amp;CHAR(34)&amp;"type"&amp;CHAR(34)&amp;":"&amp;CHAR(34)&amp;F170&amp;CHAR(34)&amp;","&amp;CHAR(34)&amp;"xlsform_type"&amp;CHAR(34)&amp;":"&amp;CHAR(34)&amp;C170&amp;CHAR(34)&amp;","&amp;CHAR(34)&amp;"commitment"&amp;CHAR(34)&amp;":"&amp;CHAR(34)&amp;IF(F170="sha256","text-utf8-sha256","value")&amp;CHAR(34)&amp;","&amp;CHAR(34)&amp;"transform"&amp;CHAR(34)&amp;":"&amp;CHAR(34)&amp;G170&amp;CHAR(34)&amp;"}")</f>
        <v/>
      </c>
      <c r="I170">
        <f>IF(E170&lt;&gt;"INCLUDE","","'|"&amp;B170&amp;"=', "&amp;IF(F170="date","if(string-length(string(${"&amp;B170&amp;"})) &gt; 0, format-date(${"&amp;B170&amp;"}, '%Y-%m-%d'), '')",IF(F170="sha256","digest(string(${"&amp;B170&amp;"}), 'SHA-256', 'hex')","string(${"&amp;B170&amp;"})")))</f>
        <v/>
      </c>
      <c r="J170">
        <f>IF(E170="INCLUDE","Included by explicit yes","Not included")</f>
        <v/>
      </c>
      <c r="K170">
        <f>K169&amp;IF(H170="","",","&amp;H170)</f>
        <v/>
      </c>
      <c r="L170">
        <f>L169&amp;IF(I170="","",","&amp;I170)</f>
        <v/>
      </c>
    </row>
    <row r="171">
      <c r="A171" t="n">
        <v>188</v>
      </c>
      <c r="B171">
        <f>survey!B188</f>
        <v/>
      </c>
      <c r="C171">
        <f>survey!A188</f>
        <v/>
      </c>
      <c r="D171" t="inlineStr"/>
      <c r="E171">
        <f>IF(OR(B171="",C171=""),"",IF(LOWER(D171)="yes","INCLUDE","EXCLUDE"))</f>
        <v/>
      </c>
      <c r="F171">
        <f>IF(E171&lt;&gt;"INCLUDE","",IF(LEFT(LOWER(C171),10)="select_one ","select_one",IF(LOWER(C171)="date","date",IF(OR(LOWER(C171)="integer",LOWER(C171)="decimal",LOWER(C171)="range"),LOWER(C171),"sha256"))))</f>
        <v/>
      </c>
      <c r="G171">
        <f>IF(E171&lt;&gt;"INCLUDE","",IF(F171="date","yyyy-mm-dd",IF(F171="select_one","stored-choice-name",IF(F171="sha256","odk-lexical-utf8-sha256","odk-canonical-scalar"))))</f>
        <v/>
      </c>
      <c r="H171">
        <f>IF(E171&lt;&gt;"INCLUDE","","{"&amp;CHAR(34)&amp;"path"&amp;CHAR(34)&amp;":"&amp;CHAR(34)&amp;B171&amp;CHAR(34)&amp;","&amp;CHAR(34)&amp;"type"&amp;CHAR(34)&amp;":"&amp;CHAR(34)&amp;F171&amp;CHAR(34)&amp;","&amp;CHAR(34)&amp;"xlsform_type"&amp;CHAR(34)&amp;":"&amp;CHAR(34)&amp;C171&amp;CHAR(34)&amp;","&amp;CHAR(34)&amp;"commitment"&amp;CHAR(34)&amp;":"&amp;CHAR(34)&amp;IF(F171="sha256","text-utf8-sha256","value")&amp;CHAR(34)&amp;","&amp;CHAR(34)&amp;"transform"&amp;CHAR(34)&amp;":"&amp;CHAR(34)&amp;G171&amp;CHAR(34)&amp;"}")</f>
        <v/>
      </c>
      <c r="I171">
        <f>IF(E171&lt;&gt;"INCLUDE","","'|"&amp;B171&amp;"=', "&amp;IF(F171="date","if(string-length(string(${"&amp;B171&amp;"})) &gt; 0, format-date(${"&amp;B171&amp;"}, '%Y-%m-%d'), '')",IF(F171="sha256","digest(string(${"&amp;B171&amp;"}), 'SHA-256', 'hex')","string(${"&amp;B171&amp;"})")))</f>
        <v/>
      </c>
      <c r="J171">
        <f>IF(E171="INCLUDE","Included by explicit yes","Not included")</f>
        <v/>
      </c>
      <c r="K171">
        <f>K170&amp;IF(H171="","",","&amp;H171)</f>
        <v/>
      </c>
      <c r="L171">
        <f>L170&amp;IF(I171="","",","&amp;I171)</f>
        <v/>
      </c>
    </row>
    <row r="172">
      <c r="A172" t="n">
        <v>189</v>
      </c>
      <c r="B172">
        <f>survey!B189</f>
        <v/>
      </c>
      <c r="C172">
        <f>survey!A189</f>
        <v/>
      </c>
      <c r="D172" t="inlineStr"/>
      <c r="E172">
        <f>IF(OR(B172="",C172=""),"",IF(LOWER(D172)="yes","INCLUDE","EXCLUDE"))</f>
        <v/>
      </c>
      <c r="F172">
        <f>IF(E172&lt;&gt;"INCLUDE","",IF(LEFT(LOWER(C172),10)="select_one ","select_one",IF(LOWER(C172)="date","date",IF(OR(LOWER(C172)="integer",LOWER(C172)="decimal",LOWER(C172)="range"),LOWER(C172),"sha256"))))</f>
        <v/>
      </c>
      <c r="G172">
        <f>IF(E172&lt;&gt;"INCLUDE","",IF(F172="date","yyyy-mm-dd",IF(F172="select_one","stored-choice-name",IF(F172="sha256","odk-lexical-utf8-sha256","odk-canonical-scalar"))))</f>
        <v/>
      </c>
      <c r="H172">
        <f>IF(E172&lt;&gt;"INCLUDE","","{"&amp;CHAR(34)&amp;"path"&amp;CHAR(34)&amp;":"&amp;CHAR(34)&amp;B172&amp;CHAR(34)&amp;","&amp;CHAR(34)&amp;"type"&amp;CHAR(34)&amp;":"&amp;CHAR(34)&amp;F172&amp;CHAR(34)&amp;","&amp;CHAR(34)&amp;"xlsform_type"&amp;CHAR(34)&amp;":"&amp;CHAR(34)&amp;C172&amp;CHAR(34)&amp;","&amp;CHAR(34)&amp;"commitment"&amp;CHAR(34)&amp;":"&amp;CHAR(34)&amp;IF(F172="sha256","text-utf8-sha256","value")&amp;CHAR(34)&amp;","&amp;CHAR(34)&amp;"transform"&amp;CHAR(34)&amp;":"&amp;CHAR(34)&amp;G172&amp;CHAR(34)&amp;"}")</f>
        <v/>
      </c>
      <c r="I172">
        <f>IF(E172&lt;&gt;"INCLUDE","","'|"&amp;B172&amp;"=', "&amp;IF(F172="date","if(string-length(string(${"&amp;B172&amp;"})) &gt; 0, format-date(${"&amp;B172&amp;"}, '%Y-%m-%d'), '')",IF(F172="sha256","digest(string(${"&amp;B172&amp;"}), 'SHA-256', 'hex')","string(${"&amp;B172&amp;"})")))</f>
        <v/>
      </c>
      <c r="J172">
        <f>IF(E172="INCLUDE","Included by explicit yes","Not included")</f>
        <v/>
      </c>
      <c r="K172">
        <f>K171&amp;IF(H172="","",","&amp;H172)</f>
        <v/>
      </c>
      <c r="L172">
        <f>L171&amp;IF(I172="","",","&amp;I172)</f>
        <v/>
      </c>
    </row>
    <row r="173">
      <c r="A173" t="n">
        <v>190</v>
      </c>
      <c r="B173">
        <f>survey!B190</f>
        <v/>
      </c>
      <c r="C173">
        <f>survey!A190</f>
        <v/>
      </c>
      <c r="D173" t="inlineStr"/>
      <c r="E173">
        <f>IF(OR(B173="",C173=""),"",IF(LOWER(D173)="yes","INCLUDE","EXCLUDE"))</f>
        <v/>
      </c>
      <c r="F173">
        <f>IF(E173&lt;&gt;"INCLUDE","",IF(LEFT(LOWER(C173),10)="select_one ","select_one",IF(LOWER(C173)="date","date",IF(OR(LOWER(C173)="integer",LOWER(C173)="decimal",LOWER(C173)="range"),LOWER(C173),"sha256"))))</f>
        <v/>
      </c>
      <c r="G173">
        <f>IF(E173&lt;&gt;"INCLUDE","",IF(F173="date","yyyy-mm-dd",IF(F173="select_one","stored-choice-name",IF(F173="sha256","odk-lexical-utf8-sha256","odk-canonical-scalar"))))</f>
        <v/>
      </c>
      <c r="H173">
        <f>IF(E173&lt;&gt;"INCLUDE","","{"&amp;CHAR(34)&amp;"path"&amp;CHAR(34)&amp;":"&amp;CHAR(34)&amp;B173&amp;CHAR(34)&amp;","&amp;CHAR(34)&amp;"type"&amp;CHAR(34)&amp;":"&amp;CHAR(34)&amp;F173&amp;CHAR(34)&amp;","&amp;CHAR(34)&amp;"xlsform_type"&amp;CHAR(34)&amp;":"&amp;CHAR(34)&amp;C173&amp;CHAR(34)&amp;","&amp;CHAR(34)&amp;"commitment"&amp;CHAR(34)&amp;":"&amp;CHAR(34)&amp;IF(F173="sha256","text-utf8-sha256","value")&amp;CHAR(34)&amp;","&amp;CHAR(34)&amp;"transform"&amp;CHAR(34)&amp;":"&amp;CHAR(34)&amp;G173&amp;CHAR(34)&amp;"}")</f>
        <v/>
      </c>
      <c r="I173">
        <f>IF(E173&lt;&gt;"INCLUDE","","'|"&amp;B173&amp;"=', "&amp;IF(F173="date","if(string-length(string(${"&amp;B173&amp;"})) &gt; 0, format-date(${"&amp;B173&amp;"}, '%Y-%m-%d'), '')",IF(F173="sha256","digest(string(${"&amp;B173&amp;"}), 'SHA-256', 'hex')","string(${"&amp;B173&amp;"})")))</f>
        <v/>
      </c>
      <c r="J173">
        <f>IF(E173="INCLUDE","Included by explicit yes","Not included")</f>
        <v/>
      </c>
      <c r="K173">
        <f>K172&amp;IF(H173="","",","&amp;H173)</f>
        <v/>
      </c>
      <c r="L173">
        <f>L172&amp;IF(I173="","",","&amp;I173)</f>
        <v/>
      </c>
    </row>
    <row r="174">
      <c r="A174" t="n">
        <v>191</v>
      </c>
      <c r="B174">
        <f>survey!B191</f>
        <v/>
      </c>
      <c r="C174">
        <f>survey!A191</f>
        <v/>
      </c>
      <c r="D174" t="inlineStr"/>
      <c r="E174">
        <f>IF(OR(B174="",C174=""),"",IF(LOWER(D174)="yes","INCLUDE","EXCLUDE"))</f>
        <v/>
      </c>
      <c r="F174">
        <f>IF(E174&lt;&gt;"INCLUDE","",IF(LEFT(LOWER(C174),10)="select_one ","select_one",IF(LOWER(C174)="date","date",IF(OR(LOWER(C174)="integer",LOWER(C174)="decimal",LOWER(C174)="range"),LOWER(C174),"sha256"))))</f>
        <v/>
      </c>
      <c r="G174">
        <f>IF(E174&lt;&gt;"INCLUDE","",IF(F174="date","yyyy-mm-dd",IF(F174="select_one","stored-choice-name",IF(F174="sha256","odk-lexical-utf8-sha256","odk-canonical-scalar"))))</f>
        <v/>
      </c>
      <c r="H174">
        <f>IF(E174&lt;&gt;"INCLUDE","","{"&amp;CHAR(34)&amp;"path"&amp;CHAR(34)&amp;":"&amp;CHAR(34)&amp;B174&amp;CHAR(34)&amp;","&amp;CHAR(34)&amp;"type"&amp;CHAR(34)&amp;":"&amp;CHAR(34)&amp;F174&amp;CHAR(34)&amp;","&amp;CHAR(34)&amp;"xlsform_type"&amp;CHAR(34)&amp;":"&amp;CHAR(34)&amp;C174&amp;CHAR(34)&amp;","&amp;CHAR(34)&amp;"commitment"&amp;CHAR(34)&amp;":"&amp;CHAR(34)&amp;IF(F174="sha256","text-utf8-sha256","value")&amp;CHAR(34)&amp;","&amp;CHAR(34)&amp;"transform"&amp;CHAR(34)&amp;":"&amp;CHAR(34)&amp;G174&amp;CHAR(34)&amp;"}")</f>
        <v/>
      </c>
      <c r="I174">
        <f>IF(E174&lt;&gt;"INCLUDE","","'|"&amp;B174&amp;"=', "&amp;IF(F174="date","if(string-length(string(${"&amp;B174&amp;"})) &gt; 0, format-date(${"&amp;B174&amp;"}, '%Y-%m-%d'), '')",IF(F174="sha256","digest(string(${"&amp;B174&amp;"}), 'SHA-256', 'hex')","string(${"&amp;B174&amp;"})")))</f>
        <v/>
      </c>
      <c r="J174">
        <f>IF(E174="INCLUDE","Included by explicit yes","Not included")</f>
        <v/>
      </c>
      <c r="K174">
        <f>K173&amp;IF(H174="","",","&amp;H174)</f>
        <v/>
      </c>
      <c r="L174">
        <f>L173&amp;IF(I174="","",","&amp;I174)</f>
        <v/>
      </c>
    </row>
    <row r="175">
      <c r="A175" t="n">
        <v>192</v>
      </c>
      <c r="B175">
        <f>survey!B192</f>
        <v/>
      </c>
      <c r="C175">
        <f>survey!A192</f>
        <v/>
      </c>
      <c r="D175" t="inlineStr"/>
      <c r="E175">
        <f>IF(OR(B175="",C175=""),"",IF(LOWER(D175)="yes","INCLUDE","EXCLUDE"))</f>
        <v/>
      </c>
      <c r="F175">
        <f>IF(E175&lt;&gt;"INCLUDE","",IF(LEFT(LOWER(C175),10)="select_one ","select_one",IF(LOWER(C175)="date","date",IF(OR(LOWER(C175)="integer",LOWER(C175)="decimal",LOWER(C175)="range"),LOWER(C175),"sha256"))))</f>
        <v/>
      </c>
      <c r="G175">
        <f>IF(E175&lt;&gt;"INCLUDE","",IF(F175="date","yyyy-mm-dd",IF(F175="select_one","stored-choice-name",IF(F175="sha256","odk-lexical-utf8-sha256","odk-canonical-scalar"))))</f>
        <v/>
      </c>
      <c r="H175">
        <f>IF(E175&lt;&gt;"INCLUDE","","{"&amp;CHAR(34)&amp;"path"&amp;CHAR(34)&amp;":"&amp;CHAR(34)&amp;B175&amp;CHAR(34)&amp;","&amp;CHAR(34)&amp;"type"&amp;CHAR(34)&amp;":"&amp;CHAR(34)&amp;F175&amp;CHAR(34)&amp;","&amp;CHAR(34)&amp;"xlsform_type"&amp;CHAR(34)&amp;":"&amp;CHAR(34)&amp;C175&amp;CHAR(34)&amp;","&amp;CHAR(34)&amp;"commitment"&amp;CHAR(34)&amp;":"&amp;CHAR(34)&amp;IF(F175="sha256","text-utf8-sha256","value")&amp;CHAR(34)&amp;","&amp;CHAR(34)&amp;"transform"&amp;CHAR(34)&amp;":"&amp;CHAR(34)&amp;G175&amp;CHAR(34)&amp;"}")</f>
        <v/>
      </c>
      <c r="I175">
        <f>IF(E175&lt;&gt;"INCLUDE","","'|"&amp;B175&amp;"=', "&amp;IF(F175="date","if(string-length(string(${"&amp;B175&amp;"})) &gt; 0, format-date(${"&amp;B175&amp;"}, '%Y-%m-%d'), '')",IF(F175="sha256","digest(string(${"&amp;B175&amp;"}), 'SHA-256', 'hex')","string(${"&amp;B175&amp;"})")))</f>
        <v/>
      </c>
      <c r="J175">
        <f>IF(E175="INCLUDE","Included by explicit yes","Not included")</f>
        <v/>
      </c>
      <c r="K175">
        <f>K174&amp;IF(H175="","",","&amp;H175)</f>
        <v/>
      </c>
      <c r="L175">
        <f>L174&amp;IF(I175="","",","&amp;I175)</f>
        <v/>
      </c>
    </row>
    <row r="176">
      <c r="A176" t="n">
        <v>193</v>
      </c>
      <c r="B176">
        <f>survey!B193</f>
        <v/>
      </c>
      <c r="C176">
        <f>survey!A193</f>
        <v/>
      </c>
      <c r="D176" t="inlineStr"/>
      <c r="E176">
        <f>IF(OR(B176="",C176=""),"",IF(LOWER(D176)="yes","INCLUDE","EXCLUDE"))</f>
        <v/>
      </c>
      <c r="F176">
        <f>IF(E176&lt;&gt;"INCLUDE","",IF(LEFT(LOWER(C176),10)="select_one ","select_one",IF(LOWER(C176)="date","date",IF(OR(LOWER(C176)="integer",LOWER(C176)="decimal",LOWER(C176)="range"),LOWER(C176),"sha256"))))</f>
        <v/>
      </c>
      <c r="G176">
        <f>IF(E176&lt;&gt;"INCLUDE","",IF(F176="date","yyyy-mm-dd",IF(F176="select_one","stored-choice-name",IF(F176="sha256","odk-lexical-utf8-sha256","odk-canonical-scalar"))))</f>
        <v/>
      </c>
      <c r="H176">
        <f>IF(E176&lt;&gt;"INCLUDE","","{"&amp;CHAR(34)&amp;"path"&amp;CHAR(34)&amp;":"&amp;CHAR(34)&amp;B176&amp;CHAR(34)&amp;","&amp;CHAR(34)&amp;"type"&amp;CHAR(34)&amp;":"&amp;CHAR(34)&amp;F176&amp;CHAR(34)&amp;","&amp;CHAR(34)&amp;"xlsform_type"&amp;CHAR(34)&amp;":"&amp;CHAR(34)&amp;C176&amp;CHAR(34)&amp;","&amp;CHAR(34)&amp;"commitment"&amp;CHAR(34)&amp;":"&amp;CHAR(34)&amp;IF(F176="sha256","text-utf8-sha256","value")&amp;CHAR(34)&amp;","&amp;CHAR(34)&amp;"transform"&amp;CHAR(34)&amp;":"&amp;CHAR(34)&amp;G176&amp;CHAR(34)&amp;"}")</f>
        <v/>
      </c>
      <c r="I176">
        <f>IF(E176&lt;&gt;"INCLUDE","","'|"&amp;B176&amp;"=', "&amp;IF(F176="date","if(string-length(string(${"&amp;B176&amp;"})) &gt; 0, format-date(${"&amp;B176&amp;"}, '%Y-%m-%d'), '')",IF(F176="sha256","digest(string(${"&amp;B176&amp;"}), 'SHA-256', 'hex')","string(${"&amp;B176&amp;"})")))</f>
        <v/>
      </c>
      <c r="J176">
        <f>IF(E176="INCLUDE","Included by explicit yes","Not included")</f>
        <v/>
      </c>
      <c r="K176">
        <f>K175&amp;IF(H176="","",","&amp;H176)</f>
        <v/>
      </c>
      <c r="L176">
        <f>L175&amp;IF(I176="","",","&amp;I176)</f>
        <v/>
      </c>
    </row>
    <row r="177">
      <c r="A177" t="n">
        <v>194</v>
      </c>
      <c r="B177">
        <f>survey!B194</f>
        <v/>
      </c>
      <c r="C177">
        <f>survey!A194</f>
        <v/>
      </c>
      <c r="D177" t="inlineStr"/>
      <c r="E177">
        <f>IF(OR(B177="",C177=""),"",IF(LOWER(D177)="yes","INCLUDE","EXCLUDE"))</f>
        <v/>
      </c>
      <c r="F177">
        <f>IF(E177&lt;&gt;"INCLUDE","",IF(LEFT(LOWER(C177),10)="select_one ","select_one",IF(LOWER(C177)="date","date",IF(OR(LOWER(C177)="integer",LOWER(C177)="decimal",LOWER(C177)="range"),LOWER(C177),"sha256"))))</f>
        <v/>
      </c>
      <c r="G177">
        <f>IF(E177&lt;&gt;"INCLUDE","",IF(F177="date","yyyy-mm-dd",IF(F177="select_one","stored-choice-name",IF(F177="sha256","odk-lexical-utf8-sha256","odk-canonical-scalar"))))</f>
        <v/>
      </c>
      <c r="H177">
        <f>IF(E177&lt;&gt;"INCLUDE","","{"&amp;CHAR(34)&amp;"path"&amp;CHAR(34)&amp;":"&amp;CHAR(34)&amp;B177&amp;CHAR(34)&amp;","&amp;CHAR(34)&amp;"type"&amp;CHAR(34)&amp;":"&amp;CHAR(34)&amp;F177&amp;CHAR(34)&amp;","&amp;CHAR(34)&amp;"xlsform_type"&amp;CHAR(34)&amp;":"&amp;CHAR(34)&amp;C177&amp;CHAR(34)&amp;","&amp;CHAR(34)&amp;"commitment"&amp;CHAR(34)&amp;":"&amp;CHAR(34)&amp;IF(F177="sha256","text-utf8-sha256","value")&amp;CHAR(34)&amp;","&amp;CHAR(34)&amp;"transform"&amp;CHAR(34)&amp;":"&amp;CHAR(34)&amp;G177&amp;CHAR(34)&amp;"}")</f>
        <v/>
      </c>
      <c r="I177">
        <f>IF(E177&lt;&gt;"INCLUDE","","'|"&amp;B177&amp;"=', "&amp;IF(F177="date","if(string-length(string(${"&amp;B177&amp;"})) &gt; 0, format-date(${"&amp;B177&amp;"}, '%Y-%m-%d'), '')",IF(F177="sha256","digest(string(${"&amp;B177&amp;"}), 'SHA-256', 'hex')","string(${"&amp;B177&amp;"})")))</f>
        <v/>
      </c>
      <c r="J177">
        <f>IF(E177="INCLUDE","Included by explicit yes","Not included")</f>
        <v/>
      </c>
      <c r="K177">
        <f>K176&amp;IF(H177="","",","&amp;H177)</f>
        <v/>
      </c>
      <c r="L177">
        <f>L176&amp;IF(I177="","",","&amp;I177)</f>
        <v/>
      </c>
    </row>
    <row r="178">
      <c r="A178" t="n">
        <v>195</v>
      </c>
      <c r="B178">
        <f>survey!B195</f>
        <v/>
      </c>
      <c r="C178">
        <f>survey!A195</f>
        <v/>
      </c>
      <c r="D178" t="inlineStr"/>
      <c r="E178">
        <f>IF(OR(B178="",C178=""),"",IF(LOWER(D178)="yes","INCLUDE","EXCLUDE"))</f>
        <v/>
      </c>
      <c r="F178">
        <f>IF(E178&lt;&gt;"INCLUDE","",IF(LEFT(LOWER(C178),10)="select_one ","select_one",IF(LOWER(C178)="date","date",IF(OR(LOWER(C178)="integer",LOWER(C178)="decimal",LOWER(C178)="range"),LOWER(C178),"sha256"))))</f>
        <v/>
      </c>
      <c r="G178">
        <f>IF(E178&lt;&gt;"INCLUDE","",IF(F178="date","yyyy-mm-dd",IF(F178="select_one","stored-choice-name",IF(F178="sha256","odk-lexical-utf8-sha256","odk-canonical-scalar"))))</f>
        <v/>
      </c>
      <c r="H178">
        <f>IF(E178&lt;&gt;"INCLUDE","","{"&amp;CHAR(34)&amp;"path"&amp;CHAR(34)&amp;":"&amp;CHAR(34)&amp;B178&amp;CHAR(34)&amp;","&amp;CHAR(34)&amp;"type"&amp;CHAR(34)&amp;":"&amp;CHAR(34)&amp;F178&amp;CHAR(34)&amp;","&amp;CHAR(34)&amp;"xlsform_type"&amp;CHAR(34)&amp;":"&amp;CHAR(34)&amp;C178&amp;CHAR(34)&amp;","&amp;CHAR(34)&amp;"commitment"&amp;CHAR(34)&amp;":"&amp;CHAR(34)&amp;IF(F178="sha256","text-utf8-sha256","value")&amp;CHAR(34)&amp;","&amp;CHAR(34)&amp;"transform"&amp;CHAR(34)&amp;":"&amp;CHAR(34)&amp;G178&amp;CHAR(34)&amp;"}")</f>
        <v/>
      </c>
      <c r="I178">
        <f>IF(E178&lt;&gt;"INCLUDE","","'|"&amp;B178&amp;"=', "&amp;IF(F178="date","if(string-length(string(${"&amp;B178&amp;"})) &gt; 0, format-date(${"&amp;B178&amp;"}, '%Y-%m-%d'), '')",IF(F178="sha256","digest(string(${"&amp;B178&amp;"}), 'SHA-256', 'hex')","string(${"&amp;B178&amp;"})")))</f>
        <v/>
      </c>
      <c r="J178">
        <f>IF(E178="INCLUDE","Included by explicit yes","Not included")</f>
        <v/>
      </c>
      <c r="K178">
        <f>K177&amp;IF(H178="","",","&amp;H178)</f>
        <v/>
      </c>
      <c r="L178">
        <f>L177&amp;IF(I178="","",","&amp;I178)</f>
        <v/>
      </c>
    </row>
    <row r="179">
      <c r="A179" t="n">
        <v>196</v>
      </c>
      <c r="B179">
        <f>survey!B196</f>
        <v/>
      </c>
      <c r="C179">
        <f>survey!A196</f>
        <v/>
      </c>
      <c r="D179" t="inlineStr"/>
      <c r="E179">
        <f>IF(OR(B179="",C179=""),"",IF(LOWER(D179)="yes","INCLUDE","EXCLUDE"))</f>
        <v/>
      </c>
      <c r="F179">
        <f>IF(E179&lt;&gt;"INCLUDE","",IF(LEFT(LOWER(C179),10)="select_one ","select_one",IF(LOWER(C179)="date","date",IF(OR(LOWER(C179)="integer",LOWER(C179)="decimal",LOWER(C179)="range"),LOWER(C179),"sha256"))))</f>
        <v/>
      </c>
      <c r="G179">
        <f>IF(E179&lt;&gt;"INCLUDE","",IF(F179="date","yyyy-mm-dd",IF(F179="select_one","stored-choice-name",IF(F179="sha256","odk-lexical-utf8-sha256","odk-canonical-scalar"))))</f>
        <v/>
      </c>
      <c r="H179">
        <f>IF(E179&lt;&gt;"INCLUDE","","{"&amp;CHAR(34)&amp;"path"&amp;CHAR(34)&amp;":"&amp;CHAR(34)&amp;B179&amp;CHAR(34)&amp;","&amp;CHAR(34)&amp;"type"&amp;CHAR(34)&amp;":"&amp;CHAR(34)&amp;F179&amp;CHAR(34)&amp;","&amp;CHAR(34)&amp;"xlsform_type"&amp;CHAR(34)&amp;":"&amp;CHAR(34)&amp;C179&amp;CHAR(34)&amp;","&amp;CHAR(34)&amp;"commitment"&amp;CHAR(34)&amp;":"&amp;CHAR(34)&amp;IF(F179="sha256","text-utf8-sha256","value")&amp;CHAR(34)&amp;","&amp;CHAR(34)&amp;"transform"&amp;CHAR(34)&amp;":"&amp;CHAR(34)&amp;G179&amp;CHAR(34)&amp;"}")</f>
        <v/>
      </c>
      <c r="I179">
        <f>IF(E179&lt;&gt;"INCLUDE","","'|"&amp;B179&amp;"=', "&amp;IF(F179="date","if(string-length(string(${"&amp;B179&amp;"})) &gt; 0, format-date(${"&amp;B179&amp;"}, '%Y-%m-%d'), '')",IF(F179="sha256","digest(string(${"&amp;B179&amp;"}), 'SHA-256', 'hex')","string(${"&amp;B179&amp;"})")))</f>
        <v/>
      </c>
      <c r="J179">
        <f>IF(E179="INCLUDE","Included by explicit yes","Not included")</f>
        <v/>
      </c>
      <c r="K179">
        <f>K178&amp;IF(H179="","",","&amp;H179)</f>
        <v/>
      </c>
      <c r="L179">
        <f>L178&amp;IF(I179="","",","&amp;I179)</f>
        <v/>
      </c>
    </row>
    <row r="180">
      <c r="A180" t="n">
        <v>197</v>
      </c>
      <c r="B180">
        <f>survey!B197</f>
        <v/>
      </c>
      <c r="C180">
        <f>survey!A197</f>
        <v/>
      </c>
      <c r="D180" t="inlineStr"/>
      <c r="E180">
        <f>IF(OR(B180="",C180=""),"",IF(LOWER(D180)="yes","INCLUDE","EXCLUDE"))</f>
        <v/>
      </c>
      <c r="F180">
        <f>IF(E180&lt;&gt;"INCLUDE","",IF(LEFT(LOWER(C180),10)="select_one ","select_one",IF(LOWER(C180)="date","date",IF(OR(LOWER(C180)="integer",LOWER(C180)="decimal",LOWER(C180)="range"),LOWER(C180),"sha256"))))</f>
        <v/>
      </c>
      <c r="G180">
        <f>IF(E180&lt;&gt;"INCLUDE","",IF(F180="date","yyyy-mm-dd",IF(F180="select_one","stored-choice-name",IF(F180="sha256","odk-lexical-utf8-sha256","odk-canonical-scalar"))))</f>
        <v/>
      </c>
      <c r="H180">
        <f>IF(E180&lt;&gt;"INCLUDE","","{"&amp;CHAR(34)&amp;"path"&amp;CHAR(34)&amp;":"&amp;CHAR(34)&amp;B180&amp;CHAR(34)&amp;","&amp;CHAR(34)&amp;"type"&amp;CHAR(34)&amp;":"&amp;CHAR(34)&amp;F180&amp;CHAR(34)&amp;","&amp;CHAR(34)&amp;"xlsform_type"&amp;CHAR(34)&amp;":"&amp;CHAR(34)&amp;C180&amp;CHAR(34)&amp;","&amp;CHAR(34)&amp;"commitment"&amp;CHAR(34)&amp;":"&amp;CHAR(34)&amp;IF(F180="sha256","text-utf8-sha256","value")&amp;CHAR(34)&amp;","&amp;CHAR(34)&amp;"transform"&amp;CHAR(34)&amp;":"&amp;CHAR(34)&amp;G180&amp;CHAR(34)&amp;"}")</f>
        <v/>
      </c>
      <c r="I180">
        <f>IF(E180&lt;&gt;"INCLUDE","","'|"&amp;B180&amp;"=', "&amp;IF(F180="date","if(string-length(string(${"&amp;B180&amp;"})) &gt; 0, format-date(${"&amp;B180&amp;"}, '%Y-%m-%d'), '')",IF(F180="sha256","digest(string(${"&amp;B180&amp;"}), 'SHA-256', 'hex')","string(${"&amp;B180&amp;"})")))</f>
        <v/>
      </c>
      <c r="J180">
        <f>IF(E180="INCLUDE","Included by explicit yes","Not included")</f>
        <v/>
      </c>
      <c r="K180">
        <f>K179&amp;IF(H180="","",","&amp;H180)</f>
        <v/>
      </c>
      <c r="L180">
        <f>L179&amp;IF(I180="","",","&amp;I180)</f>
        <v/>
      </c>
    </row>
    <row r="181">
      <c r="A181" t="n">
        <v>198</v>
      </c>
      <c r="B181">
        <f>survey!B198</f>
        <v/>
      </c>
      <c r="C181">
        <f>survey!A198</f>
        <v/>
      </c>
      <c r="D181" t="inlineStr"/>
      <c r="E181">
        <f>IF(OR(B181="",C181=""),"",IF(LOWER(D181)="yes","INCLUDE","EXCLUDE"))</f>
        <v/>
      </c>
      <c r="F181">
        <f>IF(E181&lt;&gt;"INCLUDE","",IF(LEFT(LOWER(C181),10)="select_one ","select_one",IF(LOWER(C181)="date","date",IF(OR(LOWER(C181)="integer",LOWER(C181)="decimal",LOWER(C181)="range"),LOWER(C181),"sha256"))))</f>
        <v/>
      </c>
      <c r="G181">
        <f>IF(E181&lt;&gt;"INCLUDE","",IF(F181="date","yyyy-mm-dd",IF(F181="select_one","stored-choice-name",IF(F181="sha256","odk-lexical-utf8-sha256","odk-canonical-scalar"))))</f>
        <v/>
      </c>
      <c r="H181">
        <f>IF(E181&lt;&gt;"INCLUDE","","{"&amp;CHAR(34)&amp;"path"&amp;CHAR(34)&amp;":"&amp;CHAR(34)&amp;B181&amp;CHAR(34)&amp;","&amp;CHAR(34)&amp;"type"&amp;CHAR(34)&amp;":"&amp;CHAR(34)&amp;F181&amp;CHAR(34)&amp;","&amp;CHAR(34)&amp;"xlsform_type"&amp;CHAR(34)&amp;":"&amp;CHAR(34)&amp;C181&amp;CHAR(34)&amp;","&amp;CHAR(34)&amp;"commitment"&amp;CHAR(34)&amp;":"&amp;CHAR(34)&amp;IF(F181="sha256","text-utf8-sha256","value")&amp;CHAR(34)&amp;","&amp;CHAR(34)&amp;"transform"&amp;CHAR(34)&amp;":"&amp;CHAR(34)&amp;G181&amp;CHAR(34)&amp;"}")</f>
        <v/>
      </c>
      <c r="I181">
        <f>IF(E181&lt;&gt;"INCLUDE","","'|"&amp;B181&amp;"=', "&amp;IF(F181="date","if(string-length(string(${"&amp;B181&amp;"})) &gt; 0, format-date(${"&amp;B181&amp;"}, '%Y-%m-%d'), '')",IF(F181="sha256","digest(string(${"&amp;B181&amp;"}), 'SHA-256', 'hex')","string(${"&amp;B181&amp;"})")))</f>
        <v/>
      </c>
      <c r="J181">
        <f>IF(E181="INCLUDE","Included by explicit yes","Not included")</f>
        <v/>
      </c>
      <c r="K181">
        <f>K180&amp;IF(H181="","",","&amp;H181)</f>
        <v/>
      </c>
      <c r="L181">
        <f>L180&amp;IF(I181="","",","&amp;I181)</f>
        <v/>
      </c>
    </row>
    <row r="182">
      <c r="A182" t="n">
        <v>199</v>
      </c>
      <c r="B182">
        <f>survey!B199</f>
        <v/>
      </c>
      <c r="C182">
        <f>survey!A199</f>
        <v/>
      </c>
      <c r="D182" t="inlineStr"/>
      <c r="E182">
        <f>IF(OR(B182="",C182=""),"",IF(LOWER(D182)="yes","INCLUDE","EXCLUDE"))</f>
        <v/>
      </c>
      <c r="F182">
        <f>IF(E182&lt;&gt;"INCLUDE","",IF(LEFT(LOWER(C182),10)="select_one ","select_one",IF(LOWER(C182)="date","date",IF(OR(LOWER(C182)="integer",LOWER(C182)="decimal",LOWER(C182)="range"),LOWER(C182),"sha256"))))</f>
        <v/>
      </c>
      <c r="G182">
        <f>IF(E182&lt;&gt;"INCLUDE","",IF(F182="date","yyyy-mm-dd",IF(F182="select_one","stored-choice-name",IF(F182="sha256","odk-lexical-utf8-sha256","odk-canonical-scalar"))))</f>
        <v/>
      </c>
      <c r="H182">
        <f>IF(E182&lt;&gt;"INCLUDE","","{"&amp;CHAR(34)&amp;"path"&amp;CHAR(34)&amp;":"&amp;CHAR(34)&amp;B182&amp;CHAR(34)&amp;","&amp;CHAR(34)&amp;"type"&amp;CHAR(34)&amp;":"&amp;CHAR(34)&amp;F182&amp;CHAR(34)&amp;","&amp;CHAR(34)&amp;"xlsform_type"&amp;CHAR(34)&amp;":"&amp;CHAR(34)&amp;C182&amp;CHAR(34)&amp;","&amp;CHAR(34)&amp;"commitment"&amp;CHAR(34)&amp;":"&amp;CHAR(34)&amp;IF(F182="sha256","text-utf8-sha256","value")&amp;CHAR(34)&amp;","&amp;CHAR(34)&amp;"transform"&amp;CHAR(34)&amp;":"&amp;CHAR(34)&amp;G182&amp;CHAR(34)&amp;"}")</f>
        <v/>
      </c>
      <c r="I182">
        <f>IF(E182&lt;&gt;"INCLUDE","","'|"&amp;B182&amp;"=', "&amp;IF(F182="date","if(string-length(string(${"&amp;B182&amp;"})) &gt; 0, format-date(${"&amp;B182&amp;"}, '%Y-%m-%d'), '')",IF(F182="sha256","digest(string(${"&amp;B182&amp;"}), 'SHA-256', 'hex')","string(${"&amp;B182&amp;"})")))</f>
        <v/>
      </c>
      <c r="J182">
        <f>IF(E182="INCLUDE","Included by explicit yes","Not included")</f>
        <v/>
      </c>
      <c r="K182">
        <f>K181&amp;IF(H182="","",","&amp;H182)</f>
        <v/>
      </c>
      <c r="L182">
        <f>L181&amp;IF(I182="","",","&amp;I182)</f>
        <v/>
      </c>
    </row>
    <row r="183">
      <c r="A183" t="n">
        <v>200</v>
      </c>
      <c r="B183">
        <f>survey!B200</f>
        <v/>
      </c>
      <c r="C183">
        <f>survey!A200</f>
        <v/>
      </c>
      <c r="D183" t="inlineStr"/>
      <c r="E183">
        <f>IF(OR(B183="",C183=""),"",IF(LOWER(D183)="yes","INCLUDE","EXCLUDE"))</f>
        <v/>
      </c>
      <c r="F183">
        <f>IF(E183&lt;&gt;"INCLUDE","",IF(LEFT(LOWER(C183),10)="select_one ","select_one",IF(LOWER(C183)="date","date",IF(OR(LOWER(C183)="integer",LOWER(C183)="decimal",LOWER(C183)="range"),LOWER(C183),"sha256"))))</f>
        <v/>
      </c>
      <c r="G183">
        <f>IF(E183&lt;&gt;"INCLUDE","",IF(F183="date","yyyy-mm-dd",IF(F183="select_one","stored-choice-name",IF(F183="sha256","odk-lexical-utf8-sha256","odk-canonical-scalar"))))</f>
        <v/>
      </c>
      <c r="H183">
        <f>IF(E183&lt;&gt;"INCLUDE","","{"&amp;CHAR(34)&amp;"path"&amp;CHAR(34)&amp;":"&amp;CHAR(34)&amp;B183&amp;CHAR(34)&amp;","&amp;CHAR(34)&amp;"type"&amp;CHAR(34)&amp;":"&amp;CHAR(34)&amp;F183&amp;CHAR(34)&amp;","&amp;CHAR(34)&amp;"xlsform_type"&amp;CHAR(34)&amp;":"&amp;CHAR(34)&amp;C183&amp;CHAR(34)&amp;","&amp;CHAR(34)&amp;"commitment"&amp;CHAR(34)&amp;":"&amp;CHAR(34)&amp;IF(F183="sha256","text-utf8-sha256","value")&amp;CHAR(34)&amp;","&amp;CHAR(34)&amp;"transform"&amp;CHAR(34)&amp;":"&amp;CHAR(34)&amp;G183&amp;CHAR(34)&amp;"}")</f>
        <v/>
      </c>
      <c r="I183">
        <f>IF(E183&lt;&gt;"INCLUDE","","'|"&amp;B183&amp;"=', "&amp;IF(F183="date","if(string-length(string(${"&amp;B183&amp;"})) &gt; 0, format-date(${"&amp;B183&amp;"}, '%Y-%m-%d'), '')",IF(F183="sha256","digest(string(${"&amp;B183&amp;"}), 'SHA-256', 'hex')","string(${"&amp;B183&amp;"})")))</f>
        <v/>
      </c>
      <c r="J183">
        <f>IF(E183="INCLUDE","Included by explicit yes","Not included")</f>
        <v/>
      </c>
      <c r="K183">
        <f>K182&amp;IF(H183="","",","&amp;H183)</f>
        <v/>
      </c>
      <c r="L183">
        <f>L182&amp;IF(I183="","",","&amp;I183)</f>
        <v/>
      </c>
    </row>
    <row r="184">
      <c r="A184" t="n">
        <v>201</v>
      </c>
      <c r="B184">
        <f>survey!B201</f>
        <v/>
      </c>
      <c r="C184">
        <f>survey!A201</f>
        <v/>
      </c>
      <c r="D184" t="inlineStr"/>
      <c r="E184">
        <f>IF(OR(B184="",C184=""),"",IF(LOWER(D184)="yes","INCLUDE","EXCLUDE"))</f>
        <v/>
      </c>
      <c r="F184">
        <f>IF(E184&lt;&gt;"INCLUDE","",IF(LEFT(LOWER(C184),10)="select_one ","select_one",IF(LOWER(C184)="date","date",IF(OR(LOWER(C184)="integer",LOWER(C184)="decimal",LOWER(C184)="range"),LOWER(C184),"sha256"))))</f>
        <v/>
      </c>
      <c r="G184">
        <f>IF(E184&lt;&gt;"INCLUDE","",IF(F184="date","yyyy-mm-dd",IF(F184="select_one","stored-choice-name",IF(F184="sha256","odk-lexical-utf8-sha256","odk-canonical-scalar"))))</f>
        <v/>
      </c>
      <c r="H184">
        <f>IF(E184&lt;&gt;"INCLUDE","","{"&amp;CHAR(34)&amp;"path"&amp;CHAR(34)&amp;":"&amp;CHAR(34)&amp;B184&amp;CHAR(34)&amp;","&amp;CHAR(34)&amp;"type"&amp;CHAR(34)&amp;":"&amp;CHAR(34)&amp;F184&amp;CHAR(34)&amp;","&amp;CHAR(34)&amp;"xlsform_type"&amp;CHAR(34)&amp;":"&amp;CHAR(34)&amp;C184&amp;CHAR(34)&amp;","&amp;CHAR(34)&amp;"commitment"&amp;CHAR(34)&amp;":"&amp;CHAR(34)&amp;IF(F184="sha256","text-utf8-sha256","value")&amp;CHAR(34)&amp;","&amp;CHAR(34)&amp;"transform"&amp;CHAR(34)&amp;":"&amp;CHAR(34)&amp;G184&amp;CHAR(34)&amp;"}")</f>
        <v/>
      </c>
      <c r="I184">
        <f>IF(E184&lt;&gt;"INCLUDE","","'|"&amp;B184&amp;"=', "&amp;IF(F184="date","if(string-length(string(${"&amp;B184&amp;"})) &gt; 0, format-date(${"&amp;B184&amp;"}, '%Y-%m-%d'), '')",IF(F184="sha256","digest(string(${"&amp;B184&amp;"}), 'SHA-256', 'hex')","string(${"&amp;B184&amp;"})")))</f>
        <v/>
      </c>
      <c r="J184">
        <f>IF(E184="INCLUDE","Included by explicit yes","Not included")</f>
        <v/>
      </c>
      <c r="K184">
        <f>K183&amp;IF(H184="","",","&amp;H184)</f>
        <v/>
      </c>
      <c r="L184">
        <f>L183&amp;IF(I184="","",","&amp;I184)</f>
        <v/>
      </c>
    </row>
    <row r="185">
      <c r="A185" t="n">
        <v>202</v>
      </c>
      <c r="B185">
        <f>survey!B202</f>
        <v/>
      </c>
      <c r="C185">
        <f>survey!A202</f>
        <v/>
      </c>
      <c r="D185" t="inlineStr"/>
      <c r="E185">
        <f>IF(OR(B185="",C185=""),"",IF(LOWER(D185)="yes","INCLUDE","EXCLUDE"))</f>
        <v/>
      </c>
      <c r="F185">
        <f>IF(E185&lt;&gt;"INCLUDE","",IF(LEFT(LOWER(C185),10)="select_one ","select_one",IF(LOWER(C185)="date","date",IF(OR(LOWER(C185)="integer",LOWER(C185)="decimal",LOWER(C185)="range"),LOWER(C185),"sha256"))))</f>
        <v/>
      </c>
      <c r="G185">
        <f>IF(E185&lt;&gt;"INCLUDE","",IF(F185="date","yyyy-mm-dd",IF(F185="select_one","stored-choice-name",IF(F185="sha256","odk-lexical-utf8-sha256","odk-canonical-scalar"))))</f>
        <v/>
      </c>
      <c r="H185">
        <f>IF(E185&lt;&gt;"INCLUDE","","{"&amp;CHAR(34)&amp;"path"&amp;CHAR(34)&amp;":"&amp;CHAR(34)&amp;B185&amp;CHAR(34)&amp;","&amp;CHAR(34)&amp;"type"&amp;CHAR(34)&amp;":"&amp;CHAR(34)&amp;F185&amp;CHAR(34)&amp;","&amp;CHAR(34)&amp;"xlsform_type"&amp;CHAR(34)&amp;":"&amp;CHAR(34)&amp;C185&amp;CHAR(34)&amp;","&amp;CHAR(34)&amp;"commitment"&amp;CHAR(34)&amp;":"&amp;CHAR(34)&amp;IF(F185="sha256","text-utf8-sha256","value")&amp;CHAR(34)&amp;","&amp;CHAR(34)&amp;"transform"&amp;CHAR(34)&amp;":"&amp;CHAR(34)&amp;G185&amp;CHAR(34)&amp;"}")</f>
        <v/>
      </c>
      <c r="I185">
        <f>IF(E185&lt;&gt;"INCLUDE","","'|"&amp;B185&amp;"=', "&amp;IF(F185="date","if(string-length(string(${"&amp;B185&amp;"})) &gt; 0, format-date(${"&amp;B185&amp;"}, '%Y-%m-%d'), '')",IF(F185="sha256","digest(string(${"&amp;B185&amp;"}), 'SHA-256', 'hex')","string(${"&amp;B185&amp;"})")))</f>
        <v/>
      </c>
      <c r="J185">
        <f>IF(E185="INCLUDE","Included by explicit yes","Not included")</f>
        <v/>
      </c>
      <c r="K185">
        <f>K184&amp;IF(H185="","",","&amp;H185)</f>
        <v/>
      </c>
      <c r="L185">
        <f>L184&amp;IF(I185="","",","&amp;I185)</f>
        <v/>
      </c>
    </row>
    <row r="186">
      <c r="A186" t="n">
        <v>203</v>
      </c>
      <c r="B186">
        <f>survey!B203</f>
        <v/>
      </c>
      <c r="C186">
        <f>survey!A203</f>
        <v/>
      </c>
      <c r="D186" t="inlineStr"/>
      <c r="E186">
        <f>IF(OR(B186="",C186=""),"",IF(LOWER(D186)="yes","INCLUDE","EXCLUDE"))</f>
        <v/>
      </c>
      <c r="F186">
        <f>IF(E186&lt;&gt;"INCLUDE","",IF(LEFT(LOWER(C186),10)="select_one ","select_one",IF(LOWER(C186)="date","date",IF(OR(LOWER(C186)="integer",LOWER(C186)="decimal",LOWER(C186)="range"),LOWER(C186),"sha256"))))</f>
        <v/>
      </c>
      <c r="G186">
        <f>IF(E186&lt;&gt;"INCLUDE","",IF(F186="date","yyyy-mm-dd",IF(F186="select_one","stored-choice-name",IF(F186="sha256","odk-lexical-utf8-sha256","odk-canonical-scalar"))))</f>
        <v/>
      </c>
      <c r="H186">
        <f>IF(E186&lt;&gt;"INCLUDE","","{"&amp;CHAR(34)&amp;"path"&amp;CHAR(34)&amp;":"&amp;CHAR(34)&amp;B186&amp;CHAR(34)&amp;","&amp;CHAR(34)&amp;"type"&amp;CHAR(34)&amp;":"&amp;CHAR(34)&amp;F186&amp;CHAR(34)&amp;","&amp;CHAR(34)&amp;"xlsform_type"&amp;CHAR(34)&amp;":"&amp;CHAR(34)&amp;C186&amp;CHAR(34)&amp;","&amp;CHAR(34)&amp;"commitment"&amp;CHAR(34)&amp;":"&amp;CHAR(34)&amp;IF(F186="sha256","text-utf8-sha256","value")&amp;CHAR(34)&amp;","&amp;CHAR(34)&amp;"transform"&amp;CHAR(34)&amp;":"&amp;CHAR(34)&amp;G186&amp;CHAR(34)&amp;"}")</f>
        <v/>
      </c>
      <c r="I186">
        <f>IF(E186&lt;&gt;"INCLUDE","","'|"&amp;B186&amp;"=', "&amp;IF(F186="date","if(string-length(string(${"&amp;B186&amp;"})) &gt; 0, format-date(${"&amp;B186&amp;"}, '%Y-%m-%d'), '')",IF(F186="sha256","digest(string(${"&amp;B186&amp;"}), 'SHA-256', 'hex')","string(${"&amp;B186&amp;"})")))</f>
        <v/>
      </c>
      <c r="J186">
        <f>IF(E186="INCLUDE","Included by explicit yes","Not included")</f>
        <v/>
      </c>
      <c r="K186">
        <f>K185&amp;IF(H186="","",","&amp;H186)</f>
        <v/>
      </c>
      <c r="L186">
        <f>L185&amp;IF(I186="","",","&amp;I186)</f>
        <v/>
      </c>
    </row>
    <row r="187">
      <c r="A187" t="n">
        <v>204</v>
      </c>
      <c r="B187">
        <f>survey!B204</f>
        <v/>
      </c>
      <c r="C187">
        <f>survey!A204</f>
        <v/>
      </c>
      <c r="D187" t="inlineStr"/>
      <c r="E187">
        <f>IF(OR(B187="",C187=""),"",IF(LOWER(D187)="yes","INCLUDE","EXCLUDE"))</f>
        <v/>
      </c>
      <c r="F187">
        <f>IF(E187&lt;&gt;"INCLUDE","",IF(LEFT(LOWER(C187),10)="select_one ","select_one",IF(LOWER(C187)="date","date",IF(OR(LOWER(C187)="integer",LOWER(C187)="decimal",LOWER(C187)="range"),LOWER(C187),"sha256"))))</f>
        <v/>
      </c>
      <c r="G187">
        <f>IF(E187&lt;&gt;"INCLUDE","",IF(F187="date","yyyy-mm-dd",IF(F187="select_one","stored-choice-name",IF(F187="sha256","odk-lexical-utf8-sha256","odk-canonical-scalar"))))</f>
        <v/>
      </c>
      <c r="H187">
        <f>IF(E187&lt;&gt;"INCLUDE","","{"&amp;CHAR(34)&amp;"path"&amp;CHAR(34)&amp;":"&amp;CHAR(34)&amp;B187&amp;CHAR(34)&amp;","&amp;CHAR(34)&amp;"type"&amp;CHAR(34)&amp;":"&amp;CHAR(34)&amp;F187&amp;CHAR(34)&amp;","&amp;CHAR(34)&amp;"xlsform_type"&amp;CHAR(34)&amp;":"&amp;CHAR(34)&amp;C187&amp;CHAR(34)&amp;","&amp;CHAR(34)&amp;"commitment"&amp;CHAR(34)&amp;":"&amp;CHAR(34)&amp;IF(F187="sha256","text-utf8-sha256","value")&amp;CHAR(34)&amp;","&amp;CHAR(34)&amp;"transform"&amp;CHAR(34)&amp;":"&amp;CHAR(34)&amp;G187&amp;CHAR(34)&amp;"}")</f>
        <v/>
      </c>
      <c r="I187">
        <f>IF(E187&lt;&gt;"INCLUDE","","'|"&amp;B187&amp;"=', "&amp;IF(F187="date","if(string-length(string(${"&amp;B187&amp;"})) &gt; 0, format-date(${"&amp;B187&amp;"}, '%Y-%m-%d'), '')",IF(F187="sha256","digest(string(${"&amp;B187&amp;"}), 'SHA-256', 'hex')","string(${"&amp;B187&amp;"})")))</f>
        <v/>
      </c>
      <c r="J187">
        <f>IF(E187="INCLUDE","Included by explicit yes","Not included")</f>
        <v/>
      </c>
      <c r="K187">
        <f>K186&amp;IF(H187="","",","&amp;H187)</f>
        <v/>
      </c>
      <c r="L187">
        <f>L186&amp;IF(I187="","",","&amp;I187)</f>
        <v/>
      </c>
    </row>
    <row r="188">
      <c r="A188" t="n">
        <v>205</v>
      </c>
      <c r="B188">
        <f>survey!B205</f>
        <v/>
      </c>
      <c r="C188">
        <f>survey!A205</f>
        <v/>
      </c>
      <c r="D188" t="inlineStr"/>
      <c r="E188">
        <f>IF(OR(B188="",C188=""),"",IF(LOWER(D188)="yes","INCLUDE","EXCLUDE"))</f>
        <v/>
      </c>
      <c r="F188">
        <f>IF(E188&lt;&gt;"INCLUDE","",IF(LEFT(LOWER(C188),10)="select_one ","select_one",IF(LOWER(C188)="date","date",IF(OR(LOWER(C188)="integer",LOWER(C188)="decimal",LOWER(C188)="range"),LOWER(C188),"sha256"))))</f>
        <v/>
      </c>
      <c r="G188">
        <f>IF(E188&lt;&gt;"INCLUDE","",IF(F188="date","yyyy-mm-dd",IF(F188="select_one","stored-choice-name",IF(F188="sha256","odk-lexical-utf8-sha256","odk-canonical-scalar"))))</f>
        <v/>
      </c>
      <c r="H188">
        <f>IF(E188&lt;&gt;"INCLUDE","","{"&amp;CHAR(34)&amp;"path"&amp;CHAR(34)&amp;":"&amp;CHAR(34)&amp;B188&amp;CHAR(34)&amp;","&amp;CHAR(34)&amp;"type"&amp;CHAR(34)&amp;":"&amp;CHAR(34)&amp;F188&amp;CHAR(34)&amp;","&amp;CHAR(34)&amp;"xlsform_type"&amp;CHAR(34)&amp;":"&amp;CHAR(34)&amp;C188&amp;CHAR(34)&amp;","&amp;CHAR(34)&amp;"commitment"&amp;CHAR(34)&amp;":"&amp;CHAR(34)&amp;IF(F188="sha256","text-utf8-sha256","value")&amp;CHAR(34)&amp;","&amp;CHAR(34)&amp;"transform"&amp;CHAR(34)&amp;":"&amp;CHAR(34)&amp;G188&amp;CHAR(34)&amp;"}")</f>
        <v/>
      </c>
      <c r="I188">
        <f>IF(E188&lt;&gt;"INCLUDE","","'|"&amp;B188&amp;"=', "&amp;IF(F188="date","if(string-length(string(${"&amp;B188&amp;"})) &gt; 0, format-date(${"&amp;B188&amp;"}, '%Y-%m-%d'), '')",IF(F188="sha256","digest(string(${"&amp;B188&amp;"}), 'SHA-256', 'hex')","string(${"&amp;B188&amp;"})")))</f>
        <v/>
      </c>
      <c r="J188">
        <f>IF(E188="INCLUDE","Included by explicit yes","Not included")</f>
        <v/>
      </c>
      <c r="K188">
        <f>K187&amp;IF(H188="","",","&amp;H188)</f>
        <v/>
      </c>
      <c r="L188">
        <f>L187&amp;IF(I188="","",","&amp;I188)</f>
        <v/>
      </c>
    </row>
    <row r="189">
      <c r="A189" t="n">
        <v>206</v>
      </c>
      <c r="B189">
        <f>survey!B206</f>
        <v/>
      </c>
      <c r="C189">
        <f>survey!A206</f>
        <v/>
      </c>
      <c r="D189" t="inlineStr"/>
      <c r="E189">
        <f>IF(OR(B189="",C189=""),"",IF(LOWER(D189)="yes","INCLUDE","EXCLUDE"))</f>
        <v/>
      </c>
      <c r="F189">
        <f>IF(E189&lt;&gt;"INCLUDE","",IF(LEFT(LOWER(C189),10)="select_one ","select_one",IF(LOWER(C189)="date","date",IF(OR(LOWER(C189)="integer",LOWER(C189)="decimal",LOWER(C189)="range"),LOWER(C189),"sha256"))))</f>
        <v/>
      </c>
      <c r="G189">
        <f>IF(E189&lt;&gt;"INCLUDE","",IF(F189="date","yyyy-mm-dd",IF(F189="select_one","stored-choice-name",IF(F189="sha256","odk-lexical-utf8-sha256","odk-canonical-scalar"))))</f>
        <v/>
      </c>
      <c r="H189">
        <f>IF(E189&lt;&gt;"INCLUDE","","{"&amp;CHAR(34)&amp;"path"&amp;CHAR(34)&amp;":"&amp;CHAR(34)&amp;B189&amp;CHAR(34)&amp;","&amp;CHAR(34)&amp;"type"&amp;CHAR(34)&amp;":"&amp;CHAR(34)&amp;F189&amp;CHAR(34)&amp;","&amp;CHAR(34)&amp;"xlsform_type"&amp;CHAR(34)&amp;":"&amp;CHAR(34)&amp;C189&amp;CHAR(34)&amp;","&amp;CHAR(34)&amp;"commitment"&amp;CHAR(34)&amp;":"&amp;CHAR(34)&amp;IF(F189="sha256","text-utf8-sha256","value")&amp;CHAR(34)&amp;","&amp;CHAR(34)&amp;"transform"&amp;CHAR(34)&amp;":"&amp;CHAR(34)&amp;G189&amp;CHAR(34)&amp;"}")</f>
        <v/>
      </c>
      <c r="I189">
        <f>IF(E189&lt;&gt;"INCLUDE","","'|"&amp;B189&amp;"=', "&amp;IF(F189="date","if(string-length(string(${"&amp;B189&amp;"})) &gt; 0, format-date(${"&amp;B189&amp;"}, '%Y-%m-%d'), '')",IF(F189="sha256","digest(string(${"&amp;B189&amp;"}), 'SHA-256', 'hex')","string(${"&amp;B189&amp;"})")))</f>
        <v/>
      </c>
      <c r="J189">
        <f>IF(E189="INCLUDE","Included by explicit yes","Not included")</f>
        <v/>
      </c>
      <c r="K189">
        <f>K188&amp;IF(H189="","",","&amp;H189)</f>
        <v/>
      </c>
      <c r="L189">
        <f>L188&amp;IF(I189="","",","&amp;I189)</f>
        <v/>
      </c>
    </row>
    <row r="190">
      <c r="A190" t="n">
        <v>207</v>
      </c>
      <c r="B190">
        <f>survey!B207</f>
        <v/>
      </c>
      <c r="C190">
        <f>survey!A207</f>
        <v/>
      </c>
      <c r="D190" t="inlineStr"/>
      <c r="E190">
        <f>IF(OR(B190="",C190=""),"",IF(LOWER(D190)="yes","INCLUDE","EXCLUDE"))</f>
        <v/>
      </c>
      <c r="F190">
        <f>IF(E190&lt;&gt;"INCLUDE","",IF(LEFT(LOWER(C190),10)="select_one ","select_one",IF(LOWER(C190)="date","date",IF(OR(LOWER(C190)="integer",LOWER(C190)="decimal",LOWER(C190)="range"),LOWER(C190),"sha256"))))</f>
        <v/>
      </c>
      <c r="G190">
        <f>IF(E190&lt;&gt;"INCLUDE","",IF(F190="date","yyyy-mm-dd",IF(F190="select_one","stored-choice-name",IF(F190="sha256","odk-lexical-utf8-sha256","odk-canonical-scalar"))))</f>
        <v/>
      </c>
      <c r="H190">
        <f>IF(E190&lt;&gt;"INCLUDE","","{"&amp;CHAR(34)&amp;"path"&amp;CHAR(34)&amp;":"&amp;CHAR(34)&amp;B190&amp;CHAR(34)&amp;","&amp;CHAR(34)&amp;"type"&amp;CHAR(34)&amp;":"&amp;CHAR(34)&amp;F190&amp;CHAR(34)&amp;","&amp;CHAR(34)&amp;"xlsform_type"&amp;CHAR(34)&amp;":"&amp;CHAR(34)&amp;C190&amp;CHAR(34)&amp;","&amp;CHAR(34)&amp;"commitment"&amp;CHAR(34)&amp;":"&amp;CHAR(34)&amp;IF(F190="sha256","text-utf8-sha256","value")&amp;CHAR(34)&amp;","&amp;CHAR(34)&amp;"transform"&amp;CHAR(34)&amp;":"&amp;CHAR(34)&amp;G190&amp;CHAR(34)&amp;"}")</f>
        <v/>
      </c>
      <c r="I190">
        <f>IF(E190&lt;&gt;"INCLUDE","","'|"&amp;B190&amp;"=', "&amp;IF(F190="date","if(string-length(string(${"&amp;B190&amp;"})) &gt; 0, format-date(${"&amp;B190&amp;"}, '%Y-%m-%d'), '')",IF(F190="sha256","digest(string(${"&amp;B190&amp;"}), 'SHA-256', 'hex')","string(${"&amp;B190&amp;"})")))</f>
        <v/>
      </c>
      <c r="J190">
        <f>IF(E190="INCLUDE","Included by explicit yes","Not included")</f>
        <v/>
      </c>
      <c r="K190">
        <f>K189&amp;IF(H190="","",","&amp;H190)</f>
        <v/>
      </c>
      <c r="L190">
        <f>L189&amp;IF(I190="","",","&amp;I190)</f>
        <v/>
      </c>
    </row>
    <row r="191">
      <c r="A191" t="n">
        <v>208</v>
      </c>
      <c r="B191">
        <f>survey!B208</f>
        <v/>
      </c>
      <c r="C191">
        <f>survey!A208</f>
        <v/>
      </c>
      <c r="D191" t="inlineStr"/>
      <c r="E191">
        <f>IF(OR(B191="",C191=""),"",IF(LOWER(D191)="yes","INCLUDE","EXCLUDE"))</f>
        <v/>
      </c>
      <c r="F191">
        <f>IF(E191&lt;&gt;"INCLUDE","",IF(LEFT(LOWER(C191),10)="select_one ","select_one",IF(LOWER(C191)="date","date",IF(OR(LOWER(C191)="integer",LOWER(C191)="decimal",LOWER(C191)="range"),LOWER(C191),"sha256"))))</f>
        <v/>
      </c>
      <c r="G191">
        <f>IF(E191&lt;&gt;"INCLUDE","",IF(F191="date","yyyy-mm-dd",IF(F191="select_one","stored-choice-name",IF(F191="sha256","odk-lexical-utf8-sha256","odk-canonical-scalar"))))</f>
        <v/>
      </c>
      <c r="H191">
        <f>IF(E191&lt;&gt;"INCLUDE","","{"&amp;CHAR(34)&amp;"path"&amp;CHAR(34)&amp;":"&amp;CHAR(34)&amp;B191&amp;CHAR(34)&amp;","&amp;CHAR(34)&amp;"type"&amp;CHAR(34)&amp;":"&amp;CHAR(34)&amp;F191&amp;CHAR(34)&amp;","&amp;CHAR(34)&amp;"xlsform_type"&amp;CHAR(34)&amp;":"&amp;CHAR(34)&amp;C191&amp;CHAR(34)&amp;","&amp;CHAR(34)&amp;"commitment"&amp;CHAR(34)&amp;":"&amp;CHAR(34)&amp;IF(F191="sha256","text-utf8-sha256","value")&amp;CHAR(34)&amp;","&amp;CHAR(34)&amp;"transform"&amp;CHAR(34)&amp;":"&amp;CHAR(34)&amp;G191&amp;CHAR(34)&amp;"}")</f>
        <v/>
      </c>
      <c r="I191">
        <f>IF(E191&lt;&gt;"INCLUDE","","'|"&amp;B191&amp;"=', "&amp;IF(F191="date","if(string-length(string(${"&amp;B191&amp;"})) &gt; 0, format-date(${"&amp;B191&amp;"}, '%Y-%m-%d'), '')",IF(F191="sha256","digest(string(${"&amp;B191&amp;"}), 'SHA-256', 'hex')","string(${"&amp;B191&amp;"})")))</f>
        <v/>
      </c>
      <c r="J191">
        <f>IF(E191="INCLUDE","Included by explicit yes","Not included")</f>
        <v/>
      </c>
      <c r="K191">
        <f>K190&amp;IF(H191="","",","&amp;H191)</f>
        <v/>
      </c>
      <c r="L191">
        <f>L190&amp;IF(I191="","",","&amp;I191)</f>
        <v/>
      </c>
    </row>
    <row r="192">
      <c r="A192" t="n">
        <v>209</v>
      </c>
      <c r="B192">
        <f>survey!B209</f>
        <v/>
      </c>
      <c r="C192">
        <f>survey!A209</f>
        <v/>
      </c>
      <c r="D192" t="inlineStr"/>
      <c r="E192">
        <f>IF(OR(B192="",C192=""),"",IF(LOWER(D192)="yes","INCLUDE","EXCLUDE"))</f>
        <v/>
      </c>
      <c r="F192">
        <f>IF(E192&lt;&gt;"INCLUDE","",IF(LEFT(LOWER(C192),10)="select_one ","select_one",IF(LOWER(C192)="date","date",IF(OR(LOWER(C192)="integer",LOWER(C192)="decimal",LOWER(C192)="range"),LOWER(C192),"sha256"))))</f>
        <v/>
      </c>
      <c r="G192">
        <f>IF(E192&lt;&gt;"INCLUDE","",IF(F192="date","yyyy-mm-dd",IF(F192="select_one","stored-choice-name",IF(F192="sha256","odk-lexical-utf8-sha256","odk-canonical-scalar"))))</f>
        <v/>
      </c>
      <c r="H192">
        <f>IF(E192&lt;&gt;"INCLUDE","","{"&amp;CHAR(34)&amp;"path"&amp;CHAR(34)&amp;":"&amp;CHAR(34)&amp;B192&amp;CHAR(34)&amp;","&amp;CHAR(34)&amp;"type"&amp;CHAR(34)&amp;":"&amp;CHAR(34)&amp;F192&amp;CHAR(34)&amp;","&amp;CHAR(34)&amp;"xlsform_type"&amp;CHAR(34)&amp;":"&amp;CHAR(34)&amp;C192&amp;CHAR(34)&amp;","&amp;CHAR(34)&amp;"commitment"&amp;CHAR(34)&amp;":"&amp;CHAR(34)&amp;IF(F192="sha256","text-utf8-sha256","value")&amp;CHAR(34)&amp;","&amp;CHAR(34)&amp;"transform"&amp;CHAR(34)&amp;":"&amp;CHAR(34)&amp;G192&amp;CHAR(34)&amp;"}")</f>
        <v/>
      </c>
      <c r="I192">
        <f>IF(E192&lt;&gt;"INCLUDE","","'|"&amp;B192&amp;"=', "&amp;IF(F192="date","if(string-length(string(${"&amp;B192&amp;"})) &gt; 0, format-date(${"&amp;B192&amp;"}, '%Y-%m-%d'), '')",IF(F192="sha256","digest(string(${"&amp;B192&amp;"}), 'SHA-256', 'hex')","string(${"&amp;B192&amp;"})")))</f>
        <v/>
      </c>
      <c r="J192">
        <f>IF(E192="INCLUDE","Included by explicit yes","Not included")</f>
        <v/>
      </c>
      <c r="K192">
        <f>K191&amp;IF(H192="","",","&amp;H192)</f>
        <v/>
      </c>
      <c r="L192">
        <f>L191&amp;IF(I192="","",","&amp;I192)</f>
        <v/>
      </c>
    </row>
    <row r="193">
      <c r="A193" t="n">
        <v>210</v>
      </c>
      <c r="B193">
        <f>survey!B210</f>
        <v/>
      </c>
      <c r="C193">
        <f>survey!A210</f>
        <v/>
      </c>
      <c r="D193" t="inlineStr"/>
      <c r="E193">
        <f>IF(OR(B193="",C193=""),"",IF(LOWER(D193)="yes","INCLUDE","EXCLUDE"))</f>
        <v/>
      </c>
      <c r="F193">
        <f>IF(E193&lt;&gt;"INCLUDE","",IF(LEFT(LOWER(C193),10)="select_one ","select_one",IF(LOWER(C193)="date","date",IF(OR(LOWER(C193)="integer",LOWER(C193)="decimal",LOWER(C193)="range"),LOWER(C193),"sha256"))))</f>
        <v/>
      </c>
      <c r="G193">
        <f>IF(E193&lt;&gt;"INCLUDE","",IF(F193="date","yyyy-mm-dd",IF(F193="select_one","stored-choice-name",IF(F193="sha256","odk-lexical-utf8-sha256","odk-canonical-scalar"))))</f>
        <v/>
      </c>
      <c r="H193">
        <f>IF(E193&lt;&gt;"INCLUDE","","{"&amp;CHAR(34)&amp;"path"&amp;CHAR(34)&amp;":"&amp;CHAR(34)&amp;B193&amp;CHAR(34)&amp;","&amp;CHAR(34)&amp;"type"&amp;CHAR(34)&amp;":"&amp;CHAR(34)&amp;F193&amp;CHAR(34)&amp;","&amp;CHAR(34)&amp;"xlsform_type"&amp;CHAR(34)&amp;":"&amp;CHAR(34)&amp;C193&amp;CHAR(34)&amp;","&amp;CHAR(34)&amp;"commitment"&amp;CHAR(34)&amp;":"&amp;CHAR(34)&amp;IF(F193="sha256","text-utf8-sha256","value")&amp;CHAR(34)&amp;","&amp;CHAR(34)&amp;"transform"&amp;CHAR(34)&amp;":"&amp;CHAR(34)&amp;G193&amp;CHAR(34)&amp;"}")</f>
        <v/>
      </c>
      <c r="I193">
        <f>IF(E193&lt;&gt;"INCLUDE","","'|"&amp;B193&amp;"=', "&amp;IF(F193="date","if(string-length(string(${"&amp;B193&amp;"})) &gt; 0, format-date(${"&amp;B193&amp;"}, '%Y-%m-%d'), '')",IF(F193="sha256","digest(string(${"&amp;B193&amp;"}), 'SHA-256', 'hex')","string(${"&amp;B193&amp;"})")))</f>
        <v/>
      </c>
      <c r="J193">
        <f>IF(E193="INCLUDE","Included by explicit yes","Not included")</f>
        <v/>
      </c>
      <c r="K193">
        <f>K192&amp;IF(H193="","",","&amp;H193)</f>
        <v/>
      </c>
      <c r="L193">
        <f>L192&amp;IF(I193="","",","&amp;I193)</f>
        <v/>
      </c>
    </row>
    <row r="194">
      <c r="A194" t="n">
        <v>211</v>
      </c>
      <c r="B194">
        <f>survey!B211</f>
        <v/>
      </c>
      <c r="C194">
        <f>survey!A211</f>
        <v/>
      </c>
      <c r="D194" t="inlineStr"/>
      <c r="E194">
        <f>IF(OR(B194="",C194=""),"",IF(LOWER(D194)="yes","INCLUDE","EXCLUDE"))</f>
        <v/>
      </c>
      <c r="F194">
        <f>IF(E194&lt;&gt;"INCLUDE","",IF(LEFT(LOWER(C194),10)="select_one ","select_one",IF(LOWER(C194)="date","date",IF(OR(LOWER(C194)="integer",LOWER(C194)="decimal",LOWER(C194)="range"),LOWER(C194),"sha256"))))</f>
        <v/>
      </c>
      <c r="G194">
        <f>IF(E194&lt;&gt;"INCLUDE","",IF(F194="date","yyyy-mm-dd",IF(F194="select_one","stored-choice-name",IF(F194="sha256","odk-lexical-utf8-sha256","odk-canonical-scalar"))))</f>
        <v/>
      </c>
      <c r="H194">
        <f>IF(E194&lt;&gt;"INCLUDE","","{"&amp;CHAR(34)&amp;"path"&amp;CHAR(34)&amp;":"&amp;CHAR(34)&amp;B194&amp;CHAR(34)&amp;","&amp;CHAR(34)&amp;"type"&amp;CHAR(34)&amp;":"&amp;CHAR(34)&amp;F194&amp;CHAR(34)&amp;","&amp;CHAR(34)&amp;"xlsform_type"&amp;CHAR(34)&amp;":"&amp;CHAR(34)&amp;C194&amp;CHAR(34)&amp;","&amp;CHAR(34)&amp;"commitment"&amp;CHAR(34)&amp;":"&amp;CHAR(34)&amp;IF(F194="sha256","text-utf8-sha256","value")&amp;CHAR(34)&amp;","&amp;CHAR(34)&amp;"transform"&amp;CHAR(34)&amp;":"&amp;CHAR(34)&amp;G194&amp;CHAR(34)&amp;"}")</f>
        <v/>
      </c>
      <c r="I194">
        <f>IF(E194&lt;&gt;"INCLUDE","","'|"&amp;B194&amp;"=', "&amp;IF(F194="date","if(string-length(string(${"&amp;B194&amp;"})) &gt; 0, format-date(${"&amp;B194&amp;"}, '%Y-%m-%d'), '')",IF(F194="sha256","digest(string(${"&amp;B194&amp;"}), 'SHA-256', 'hex')","string(${"&amp;B194&amp;"})")))</f>
        <v/>
      </c>
      <c r="J194">
        <f>IF(E194="INCLUDE","Included by explicit yes","Not included")</f>
        <v/>
      </c>
      <c r="K194">
        <f>K193&amp;IF(H194="","",","&amp;H194)</f>
        <v/>
      </c>
      <c r="L194">
        <f>L193&amp;IF(I194="","",","&amp;I194)</f>
        <v/>
      </c>
    </row>
    <row r="195">
      <c r="A195" t="n">
        <v>212</v>
      </c>
      <c r="B195">
        <f>survey!B212</f>
        <v/>
      </c>
      <c r="C195">
        <f>survey!A212</f>
        <v/>
      </c>
      <c r="D195" t="inlineStr"/>
      <c r="E195">
        <f>IF(OR(B195="",C195=""),"",IF(LOWER(D195)="yes","INCLUDE","EXCLUDE"))</f>
        <v/>
      </c>
      <c r="F195">
        <f>IF(E195&lt;&gt;"INCLUDE","",IF(LEFT(LOWER(C195),10)="select_one ","select_one",IF(LOWER(C195)="date","date",IF(OR(LOWER(C195)="integer",LOWER(C195)="decimal",LOWER(C195)="range"),LOWER(C195),"sha256"))))</f>
        <v/>
      </c>
      <c r="G195">
        <f>IF(E195&lt;&gt;"INCLUDE","",IF(F195="date","yyyy-mm-dd",IF(F195="select_one","stored-choice-name",IF(F195="sha256","odk-lexical-utf8-sha256","odk-canonical-scalar"))))</f>
        <v/>
      </c>
      <c r="H195">
        <f>IF(E195&lt;&gt;"INCLUDE","","{"&amp;CHAR(34)&amp;"path"&amp;CHAR(34)&amp;":"&amp;CHAR(34)&amp;B195&amp;CHAR(34)&amp;","&amp;CHAR(34)&amp;"type"&amp;CHAR(34)&amp;":"&amp;CHAR(34)&amp;F195&amp;CHAR(34)&amp;","&amp;CHAR(34)&amp;"xlsform_type"&amp;CHAR(34)&amp;":"&amp;CHAR(34)&amp;C195&amp;CHAR(34)&amp;","&amp;CHAR(34)&amp;"commitment"&amp;CHAR(34)&amp;":"&amp;CHAR(34)&amp;IF(F195="sha256","text-utf8-sha256","value")&amp;CHAR(34)&amp;","&amp;CHAR(34)&amp;"transform"&amp;CHAR(34)&amp;":"&amp;CHAR(34)&amp;G195&amp;CHAR(34)&amp;"}")</f>
        <v/>
      </c>
      <c r="I195">
        <f>IF(E195&lt;&gt;"INCLUDE","","'|"&amp;B195&amp;"=', "&amp;IF(F195="date","if(string-length(string(${"&amp;B195&amp;"})) &gt; 0, format-date(${"&amp;B195&amp;"}, '%Y-%m-%d'), '')",IF(F195="sha256","digest(string(${"&amp;B195&amp;"}), 'SHA-256', 'hex')","string(${"&amp;B195&amp;"})")))</f>
        <v/>
      </c>
      <c r="J195">
        <f>IF(E195="INCLUDE","Included by explicit yes","Not included")</f>
        <v/>
      </c>
      <c r="K195">
        <f>K194&amp;IF(H195="","",","&amp;H195)</f>
        <v/>
      </c>
      <c r="L195">
        <f>L194&amp;IF(I195="","",","&amp;I195)</f>
        <v/>
      </c>
    </row>
    <row r="196">
      <c r="A196" t="n">
        <v>213</v>
      </c>
      <c r="B196">
        <f>survey!B213</f>
        <v/>
      </c>
      <c r="C196">
        <f>survey!A213</f>
        <v/>
      </c>
      <c r="D196" t="inlineStr"/>
      <c r="E196">
        <f>IF(OR(B196="",C196=""),"",IF(LOWER(D196)="yes","INCLUDE","EXCLUDE"))</f>
        <v/>
      </c>
      <c r="F196">
        <f>IF(E196&lt;&gt;"INCLUDE","",IF(LEFT(LOWER(C196),10)="select_one ","select_one",IF(LOWER(C196)="date","date",IF(OR(LOWER(C196)="integer",LOWER(C196)="decimal",LOWER(C196)="range"),LOWER(C196),"sha256"))))</f>
        <v/>
      </c>
      <c r="G196">
        <f>IF(E196&lt;&gt;"INCLUDE","",IF(F196="date","yyyy-mm-dd",IF(F196="select_one","stored-choice-name",IF(F196="sha256","odk-lexical-utf8-sha256","odk-canonical-scalar"))))</f>
        <v/>
      </c>
      <c r="H196">
        <f>IF(E196&lt;&gt;"INCLUDE","","{"&amp;CHAR(34)&amp;"path"&amp;CHAR(34)&amp;":"&amp;CHAR(34)&amp;B196&amp;CHAR(34)&amp;","&amp;CHAR(34)&amp;"type"&amp;CHAR(34)&amp;":"&amp;CHAR(34)&amp;F196&amp;CHAR(34)&amp;","&amp;CHAR(34)&amp;"xlsform_type"&amp;CHAR(34)&amp;":"&amp;CHAR(34)&amp;C196&amp;CHAR(34)&amp;","&amp;CHAR(34)&amp;"commitment"&amp;CHAR(34)&amp;":"&amp;CHAR(34)&amp;IF(F196="sha256","text-utf8-sha256","value")&amp;CHAR(34)&amp;","&amp;CHAR(34)&amp;"transform"&amp;CHAR(34)&amp;":"&amp;CHAR(34)&amp;G196&amp;CHAR(34)&amp;"}")</f>
        <v/>
      </c>
      <c r="I196">
        <f>IF(E196&lt;&gt;"INCLUDE","","'|"&amp;B196&amp;"=', "&amp;IF(F196="date","if(string-length(string(${"&amp;B196&amp;"})) &gt; 0, format-date(${"&amp;B196&amp;"}, '%Y-%m-%d'), '')",IF(F196="sha256","digest(string(${"&amp;B196&amp;"}), 'SHA-256', 'hex')","string(${"&amp;B196&amp;"})")))</f>
        <v/>
      </c>
      <c r="J196">
        <f>IF(E196="INCLUDE","Included by explicit yes","Not included")</f>
        <v/>
      </c>
      <c r="K196">
        <f>K195&amp;IF(H196="","",","&amp;H196)</f>
        <v/>
      </c>
      <c r="L196">
        <f>L195&amp;IF(I196="","",","&amp;I196)</f>
        <v/>
      </c>
    </row>
    <row r="197">
      <c r="A197" t="n">
        <v>214</v>
      </c>
      <c r="B197">
        <f>survey!B214</f>
        <v/>
      </c>
      <c r="C197">
        <f>survey!A214</f>
        <v/>
      </c>
      <c r="D197" t="inlineStr"/>
      <c r="E197">
        <f>IF(OR(B197="",C197=""),"",IF(LOWER(D197)="yes","INCLUDE","EXCLUDE"))</f>
        <v/>
      </c>
      <c r="F197">
        <f>IF(E197&lt;&gt;"INCLUDE","",IF(LEFT(LOWER(C197),10)="select_one ","select_one",IF(LOWER(C197)="date","date",IF(OR(LOWER(C197)="integer",LOWER(C197)="decimal",LOWER(C197)="range"),LOWER(C197),"sha256"))))</f>
        <v/>
      </c>
      <c r="G197">
        <f>IF(E197&lt;&gt;"INCLUDE","",IF(F197="date","yyyy-mm-dd",IF(F197="select_one","stored-choice-name",IF(F197="sha256","odk-lexical-utf8-sha256","odk-canonical-scalar"))))</f>
        <v/>
      </c>
      <c r="H197">
        <f>IF(E197&lt;&gt;"INCLUDE","","{"&amp;CHAR(34)&amp;"path"&amp;CHAR(34)&amp;":"&amp;CHAR(34)&amp;B197&amp;CHAR(34)&amp;","&amp;CHAR(34)&amp;"type"&amp;CHAR(34)&amp;":"&amp;CHAR(34)&amp;F197&amp;CHAR(34)&amp;","&amp;CHAR(34)&amp;"xlsform_type"&amp;CHAR(34)&amp;":"&amp;CHAR(34)&amp;C197&amp;CHAR(34)&amp;","&amp;CHAR(34)&amp;"commitment"&amp;CHAR(34)&amp;":"&amp;CHAR(34)&amp;IF(F197="sha256","text-utf8-sha256","value")&amp;CHAR(34)&amp;","&amp;CHAR(34)&amp;"transform"&amp;CHAR(34)&amp;":"&amp;CHAR(34)&amp;G197&amp;CHAR(34)&amp;"}")</f>
        <v/>
      </c>
      <c r="I197">
        <f>IF(E197&lt;&gt;"INCLUDE","","'|"&amp;B197&amp;"=', "&amp;IF(F197="date","if(string-length(string(${"&amp;B197&amp;"})) &gt; 0, format-date(${"&amp;B197&amp;"}, '%Y-%m-%d'), '')",IF(F197="sha256","digest(string(${"&amp;B197&amp;"}), 'SHA-256', 'hex')","string(${"&amp;B197&amp;"})")))</f>
        <v/>
      </c>
      <c r="J197">
        <f>IF(E197="INCLUDE","Included by explicit yes","Not included")</f>
        <v/>
      </c>
      <c r="K197">
        <f>K196&amp;IF(H197="","",","&amp;H197)</f>
        <v/>
      </c>
      <c r="L197">
        <f>L196&amp;IF(I197="","",","&amp;I197)</f>
        <v/>
      </c>
    </row>
    <row r="198">
      <c r="A198" t="n">
        <v>215</v>
      </c>
      <c r="B198">
        <f>survey!B215</f>
        <v/>
      </c>
      <c r="C198">
        <f>survey!A215</f>
        <v/>
      </c>
      <c r="D198" t="inlineStr"/>
      <c r="E198">
        <f>IF(OR(B198="",C198=""),"",IF(LOWER(D198)="yes","INCLUDE","EXCLUDE"))</f>
        <v/>
      </c>
      <c r="F198">
        <f>IF(E198&lt;&gt;"INCLUDE","",IF(LEFT(LOWER(C198),10)="select_one ","select_one",IF(LOWER(C198)="date","date",IF(OR(LOWER(C198)="integer",LOWER(C198)="decimal",LOWER(C198)="range"),LOWER(C198),"sha256"))))</f>
        <v/>
      </c>
      <c r="G198">
        <f>IF(E198&lt;&gt;"INCLUDE","",IF(F198="date","yyyy-mm-dd",IF(F198="select_one","stored-choice-name",IF(F198="sha256","odk-lexical-utf8-sha256","odk-canonical-scalar"))))</f>
        <v/>
      </c>
      <c r="H198">
        <f>IF(E198&lt;&gt;"INCLUDE","","{"&amp;CHAR(34)&amp;"path"&amp;CHAR(34)&amp;":"&amp;CHAR(34)&amp;B198&amp;CHAR(34)&amp;","&amp;CHAR(34)&amp;"type"&amp;CHAR(34)&amp;":"&amp;CHAR(34)&amp;F198&amp;CHAR(34)&amp;","&amp;CHAR(34)&amp;"xlsform_type"&amp;CHAR(34)&amp;":"&amp;CHAR(34)&amp;C198&amp;CHAR(34)&amp;","&amp;CHAR(34)&amp;"commitment"&amp;CHAR(34)&amp;":"&amp;CHAR(34)&amp;IF(F198="sha256","text-utf8-sha256","value")&amp;CHAR(34)&amp;","&amp;CHAR(34)&amp;"transform"&amp;CHAR(34)&amp;":"&amp;CHAR(34)&amp;G198&amp;CHAR(34)&amp;"}")</f>
        <v/>
      </c>
      <c r="I198">
        <f>IF(E198&lt;&gt;"INCLUDE","","'|"&amp;B198&amp;"=', "&amp;IF(F198="date","if(string-length(string(${"&amp;B198&amp;"})) &gt; 0, format-date(${"&amp;B198&amp;"}, '%Y-%m-%d'), '')",IF(F198="sha256","digest(string(${"&amp;B198&amp;"}), 'SHA-256', 'hex')","string(${"&amp;B198&amp;"})")))</f>
        <v/>
      </c>
      <c r="J198">
        <f>IF(E198="INCLUDE","Included by explicit yes","Not included")</f>
        <v/>
      </c>
      <c r="K198">
        <f>K197&amp;IF(H198="","",","&amp;H198)</f>
        <v/>
      </c>
      <c r="L198">
        <f>L197&amp;IF(I198="","",","&amp;I198)</f>
        <v/>
      </c>
    </row>
    <row r="199">
      <c r="A199" t="n">
        <v>216</v>
      </c>
      <c r="B199">
        <f>survey!B216</f>
        <v/>
      </c>
      <c r="C199">
        <f>survey!A216</f>
        <v/>
      </c>
      <c r="D199" t="inlineStr"/>
      <c r="E199">
        <f>IF(OR(B199="",C199=""),"",IF(LOWER(D199)="yes","INCLUDE","EXCLUDE"))</f>
        <v/>
      </c>
      <c r="F199">
        <f>IF(E199&lt;&gt;"INCLUDE","",IF(LEFT(LOWER(C199),10)="select_one ","select_one",IF(LOWER(C199)="date","date",IF(OR(LOWER(C199)="integer",LOWER(C199)="decimal",LOWER(C199)="range"),LOWER(C199),"sha256"))))</f>
        <v/>
      </c>
      <c r="G199">
        <f>IF(E199&lt;&gt;"INCLUDE","",IF(F199="date","yyyy-mm-dd",IF(F199="select_one","stored-choice-name",IF(F199="sha256","odk-lexical-utf8-sha256","odk-canonical-scalar"))))</f>
        <v/>
      </c>
      <c r="H199">
        <f>IF(E199&lt;&gt;"INCLUDE","","{"&amp;CHAR(34)&amp;"path"&amp;CHAR(34)&amp;":"&amp;CHAR(34)&amp;B199&amp;CHAR(34)&amp;","&amp;CHAR(34)&amp;"type"&amp;CHAR(34)&amp;":"&amp;CHAR(34)&amp;F199&amp;CHAR(34)&amp;","&amp;CHAR(34)&amp;"xlsform_type"&amp;CHAR(34)&amp;":"&amp;CHAR(34)&amp;C199&amp;CHAR(34)&amp;","&amp;CHAR(34)&amp;"commitment"&amp;CHAR(34)&amp;":"&amp;CHAR(34)&amp;IF(F199="sha256","text-utf8-sha256","value")&amp;CHAR(34)&amp;","&amp;CHAR(34)&amp;"transform"&amp;CHAR(34)&amp;":"&amp;CHAR(34)&amp;G199&amp;CHAR(34)&amp;"}")</f>
        <v/>
      </c>
      <c r="I199">
        <f>IF(E199&lt;&gt;"INCLUDE","","'|"&amp;B199&amp;"=', "&amp;IF(F199="date","if(string-length(string(${"&amp;B199&amp;"})) &gt; 0, format-date(${"&amp;B199&amp;"}, '%Y-%m-%d'), '')",IF(F199="sha256","digest(string(${"&amp;B199&amp;"}), 'SHA-256', 'hex')","string(${"&amp;B199&amp;"})")))</f>
        <v/>
      </c>
      <c r="J199">
        <f>IF(E199="INCLUDE","Included by explicit yes","Not included")</f>
        <v/>
      </c>
      <c r="K199">
        <f>K198&amp;IF(H199="","",","&amp;H199)</f>
        <v/>
      </c>
      <c r="L199">
        <f>L198&amp;IF(I199="","",","&amp;I199)</f>
        <v/>
      </c>
    </row>
    <row r="200">
      <c r="A200" t="n">
        <v>217</v>
      </c>
      <c r="B200">
        <f>survey!B217</f>
        <v/>
      </c>
      <c r="C200">
        <f>survey!A217</f>
        <v/>
      </c>
      <c r="D200" t="inlineStr"/>
      <c r="E200">
        <f>IF(OR(B200="",C200=""),"",IF(LOWER(D200)="yes","INCLUDE","EXCLUDE"))</f>
        <v/>
      </c>
      <c r="F200">
        <f>IF(E200&lt;&gt;"INCLUDE","",IF(LEFT(LOWER(C200),10)="select_one ","select_one",IF(LOWER(C200)="date","date",IF(OR(LOWER(C200)="integer",LOWER(C200)="decimal",LOWER(C200)="range"),LOWER(C200),"sha256"))))</f>
        <v/>
      </c>
      <c r="G200">
        <f>IF(E200&lt;&gt;"INCLUDE","",IF(F200="date","yyyy-mm-dd",IF(F200="select_one","stored-choice-name",IF(F200="sha256","odk-lexical-utf8-sha256","odk-canonical-scalar"))))</f>
        <v/>
      </c>
      <c r="H200">
        <f>IF(E200&lt;&gt;"INCLUDE","","{"&amp;CHAR(34)&amp;"path"&amp;CHAR(34)&amp;":"&amp;CHAR(34)&amp;B200&amp;CHAR(34)&amp;","&amp;CHAR(34)&amp;"type"&amp;CHAR(34)&amp;":"&amp;CHAR(34)&amp;F200&amp;CHAR(34)&amp;","&amp;CHAR(34)&amp;"xlsform_type"&amp;CHAR(34)&amp;":"&amp;CHAR(34)&amp;C200&amp;CHAR(34)&amp;","&amp;CHAR(34)&amp;"commitment"&amp;CHAR(34)&amp;":"&amp;CHAR(34)&amp;IF(F200="sha256","text-utf8-sha256","value")&amp;CHAR(34)&amp;","&amp;CHAR(34)&amp;"transform"&amp;CHAR(34)&amp;":"&amp;CHAR(34)&amp;G200&amp;CHAR(34)&amp;"}")</f>
        <v/>
      </c>
      <c r="I200">
        <f>IF(E200&lt;&gt;"INCLUDE","","'|"&amp;B200&amp;"=', "&amp;IF(F200="date","if(string-length(string(${"&amp;B200&amp;"})) &gt; 0, format-date(${"&amp;B200&amp;"}, '%Y-%m-%d'), '')",IF(F200="sha256","digest(string(${"&amp;B200&amp;"}), 'SHA-256', 'hex')","string(${"&amp;B200&amp;"})")))</f>
        <v/>
      </c>
      <c r="J200">
        <f>IF(E200="INCLUDE","Included by explicit yes","Not included")</f>
        <v/>
      </c>
      <c r="K200">
        <f>K199&amp;IF(H200="","",","&amp;H200)</f>
        <v/>
      </c>
      <c r="L200">
        <f>L199&amp;IF(I200="","",","&amp;I200)</f>
        <v/>
      </c>
    </row>
    <row r="201">
      <c r="A201" t="n">
        <v>218</v>
      </c>
      <c r="B201">
        <f>survey!B218</f>
        <v/>
      </c>
      <c r="C201">
        <f>survey!A218</f>
        <v/>
      </c>
      <c r="D201" t="inlineStr"/>
      <c r="E201">
        <f>IF(OR(B201="",C201=""),"",IF(LOWER(D201)="yes","INCLUDE","EXCLUDE"))</f>
        <v/>
      </c>
      <c r="F201">
        <f>IF(E201&lt;&gt;"INCLUDE","",IF(LEFT(LOWER(C201),10)="select_one ","select_one",IF(LOWER(C201)="date","date",IF(OR(LOWER(C201)="integer",LOWER(C201)="decimal",LOWER(C201)="range"),LOWER(C201),"sha256"))))</f>
        <v/>
      </c>
      <c r="G201">
        <f>IF(E201&lt;&gt;"INCLUDE","",IF(F201="date","yyyy-mm-dd",IF(F201="select_one","stored-choice-name",IF(F201="sha256","odk-lexical-utf8-sha256","odk-canonical-scalar"))))</f>
        <v/>
      </c>
      <c r="H201">
        <f>IF(E201&lt;&gt;"INCLUDE","","{"&amp;CHAR(34)&amp;"path"&amp;CHAR(34)&amp;":"&amp;CHAR(34)&amp;B201&amp;CHAR(34)&amp;","&amp;CHAR(34)&amp;"type"&amp;CHAR(34)&amp;":"&amp;CHAR(34)&amp;F201&amp;CHAR(34)&amp;","&amp;CHAR(34)&amp;"xlsform_type"&amp;CHAR(34)&amp;":"&amp;CHAR(34)&amp;C201&amp;CHAR(34)&amp;","&amp;CHAR(34)&amp;"commitment"&amp;CHAR(34)&amp;":"&amp;CHAR(34)&amp;IF(F201="sha256","text-utf8-sha256","value")&amp;CHAR(34)&amp;","&amp;CHAR(34)&amp;"transform"&amp;CHAR(34)&amp;":"&amp;CHAR(34)&amp;G201&amp;CHAR(34)&amp;"}")</f>
        <v/>
      </c>
      <c r="I201">
        <f>IF(E201&lt;&gt;"INCLUDE","","'|"&amp;B201&amp;"=', "&amp;IF(F201="date","if(string-length(string(${"&amp;B201&amp;"})) &gt; 0, format-date(${"&amp;B201&amp;"}, '%Y-%m-%d'), '')",IF(F201="sha256","digest(string(${"&amp;B201&amp;"}), 'SHA-256', 'hex')","string(${"&amp;B201&amp;"})")))</f>
        <v/>
      </c>
      <c r="J201">
        <f>IF(E201="INCLUDE","Included by explicit yes","Not included")</f>
        <v/>
      </c>
      <c r="K201">
        <f>K200&amp;IF(H201="","",","&amp;H201)</f>
        <v/>
      </c>
      <c r="L201">
        <f>L200&amp;IF(I201="","",","&amp;I201)</f>
        <v/>
      </c>
    </row>
    <row r="202">
      <c r="A202" t="n">
        <v>219</v>
      </c>
      <c r="B202">
        <f>survey!B219</f>
        <v/>
      </c>
      <c r="C202">
        <f>survey!A219</f>
        <v/>
      </c>
      <c r="D202" t="inlineStr"/>
      <c r="E202">
        <f>IF(OR(B202="",C202=""),"",IF(LOWER(D202)="yes","INCLUDE","EXCLUDE"))</f>
        <v/>
      </c>
      <c r="F202">
        <f>IF(E202&lt;&gt;"INCLUDE","",IF(LEFT(LOWER(C202),10)="select_one ","select_one",IF(LOWER(C202)="date","date",IF(OR(LOWER(C202)="integer",LOWER(C202)="decimal",LOWER(C202)="range"),LOWER(C202),"sha256"))))</f>
        <v/>
      </c>
      <c r="G202">
        <f>IF(E202&lt;&gt;"INCLUDE","",IF(F202="date","yyyy-mm-dd",IF(F202="select_one","stored-choice-name",IF(F202="sha256","odk-lexical-utf8-sha256","odk-canonical-scalar"))))</f>
        <v/>
      </c>
      <c r="H202">
        <f>IF(E202&lt;&gt;"INCLUDE","","{"&amp;CHAR(34)&amp;"path"&amp;CHAR(34)&amp;":"&amp;CHAR(34)&amp;B202&amp;CHAR(34)&amp;","&amp;CHAR(34)&amp;"type"&amp;CHAR(34)&amp;":"&amp;CHAR(34)&amp;F202&amp;CHAR(34)&amp;","&amp;CHAR(34)&amp;"xlsform_type"&amp;CHAR(34)&amp;":"&amp;CHAR(34)&amp;C202&amp;CHAR(34)&amp;","&amp;CHAR(34)&amp;"commitment"&amp;CHAR(34)&amp;":"&amp;CHAR(34)&amp;IF(F202="sha256","text-utf8-sha256","value")&amp;CHAR(34)&amp;","&amp;CHAR(34)&amp;"transform"&amp;CHAR(34)&amp;":"&amp;CHAR(34)&amp;G202&amp;CHAR(34)&amp;"}")</f>
        <v/>
      </c>
      <c r="I202">
        <f>IF(E202&lt;&gt;"INCLUDE","","'|"&amp;B202&amp;"=', "&amp;IF(F202="date","if(string-length(string(${"&amp;B202&amp;"})) &gt; 0, format-date(${"&amp;B202&amp;"}, '%Y-%m-%d'), '')",IF(F202="sha256","digest(string(${"&amp;B202&amp;"}), 'SHA-256', 'hex')","string(${"&amp;B202&amp;"})")))</f>
        <v/>
      </c>
      <c r="J202">
        <f>IF(E202="INCLUDE","Included by explicit yes","Not included")</f>
        <v/>
      </c>
      <c r="K202">
        <f>K201&amp;IF(H202="","",","&amp;H202)</f>
        <v/>
      </c>
      <c r="L202">
        <f>L201&amp;IF(I202="","",","&amp;I202)</f>
        <v/>
      </c>
    </row>
    <row r="203">
      <c r="A203" t="n">
        <v>220</v>
      </c>
      <c r="B203">
        <f>survey!B220</f>
        <v/>
      </c>
      <c r="C203">
        <f>survey!A220</f>
        <v/>
      </c>
      <c r="D203" t="inlineStr"/>
      <c r="E203">
        <f>IF(OR(B203="",C203=""),"",IF(LOWER(D203)="yes","INCLUDE","EXCLUDE"))</f>
        <v/>
      </c>
      <c r="F203">
        <f>IF(E203&lt;&gt;"INCLUDE","",IF(LEFT(LOWER(C203),10)="select_one ","select_one",IF(LOWER(C203)="date","date",IF(OR(LOWER(C203)="integer",LOWER(C203)="decimal",LOWER(C203)="range"),LOWER(C203),"sha256"))))</f>
        <v/>
      </c>
      <c r="G203">
        <f>IF(E203&lt;&gt;"INCLUDE","",IF(F203="date","yyyy-mm-dd",IF(F203="select_one","stored-choice-name",IF(F203="sha256","odk-lexical-utf8-sha256","odk-canonical-scalar"))))</f>
        <v/>
      </c>
      <c r="H203">
        <f>IF(E203&lt;&gt;"INCLUDE","","{"&amp;CHAR(34)&amp;"path"&amp;CHAR(34)&amp;":"&amp;CHAR(34)&amp;B203&amp;CHAR(34)&amp;","&amp;CHAR(34)&amp;"type"&amp;CHAR(34)&amp;":"&amp;CHAR(34)&amp;F203&amp;CHAR(34)&amp;","&amp;CHAR(34)&amp;"xlsform_type"&amp;CHAR(34)&amp;":"&amp;CHAR(34)&amp;C203&amp;CHAR(34)&amp;","&amp;CHAR(34)&amp;"commitment"&amp;CHAR(34)&amp;":"&amp;CHAR(34)&amp;IF(F203="sha256","text-utf8-sha256","value")&amp;CHAR(34)&amp;","&amp;CHAR(34)&amp;"transform"&amp;CHAR(34)&amp;":"&amp;CHAR(34)&amp;G203&amp;CHAR(34)&amp;"}")</f>
        <v/>
      </c>
      <c r="I203">
        <f>IF(E203&lt;&gt;"INCLUDE","","'|"&amp;B203&amp;"=', "&amp;IF(F203="date","if(string-length(string(${"&amp;B203&amp;"})) &gt; 0, format-date(${"&amp;B203&amp;"}, '%Y-%m-%d'), '')",IF(F203="sha256","digest(string(${"&amp;B203&amp;"}), 'SHA-256', 'hex')","string(${"&amp;B203&amp;"})")))</f>
        <v/>
      </c>
      <c r="J203">
        <f>IF(E203="INCLUDE","Included by explicit yes","Not included")</f>
        <v/>
      </c>
      <c r="K203">
        <f>K202&amp;IF(H203="","",","&amp;H203)</f>
        <v/>
      </c>
      <c r="L203">
        <f>L202&amp;IF(I203="","",","&amp;I203)</f>
        <v/>
      </c>
    </row>
    <row r="204">
      <c r="A204" t="n">
        <v>221</v>
      </c>
      <c r="B204">
        <f>survey!B221</f>
        <v/>
      </c>
      <c r="C204">
        <f>survey!A221</f>
        <v/>
      </c>
      <c r="D204" t="inlineStr"/>
      <c r="E204">
        <f>IF(OR(B204="",C204=""),"",IF(LOWER(D204)="yes","INCLUDE","EXCLUDE"))</f>
        <v/>
      </c>
      <c r="F204">
        <f>IF(E204&lt;&gt;"INCLUDE","",IF(LEFT(LOWER(C204),10)="select_one ","select_one",IF(LOWER(C204)="date","date",IF(OR(LOWER(C204)="integer",LOWER(C204)="decimal",LOWER(C204)="range"),LOWER(C204),"sha256"))))</f>
        <v/>
      </c>
      <c r="G204">
        <f>IF(E204&lt;&gt;"INCLUDE","",IF(F204="date","yyyy-mm-dd",IF(F204="select_one","stored-choice-name",IF(F204="sha256","odk-lexical-utf8-sha256","odk-canonical-scalar"))))</f>
        <v/>
      </c>
      <c r="H204">
        <f>IF(E204&lt;&gt;"INCLUDE","","{"&amp;CHAR(34)&amp;"path"&amp;CHAR(34)&amp;":"&amp;CHAR(34)&amp;B204&amp;CHAR(34)&amp;","&amp;CHAR(34)&amp;"type"&amp;CHAR(34)&amp;":"&amp;CHAR(34)&amp;F204&amp;CHAR(34)&amp;","&amp;CHAR(34)&amp;"xlsform_type"&amp;CHAR(34)&amp;":"&amp;CHAR(34)&amp;C204&amp;CHAR(34)&amp;","&amp;CHAR(34)&amp;"commitment"&amp;CHAR(34)&amp;":"&amp;CHAR(34)&amp;IF(F204="sha256","text-utf8-sha256","value")&amp;CHAR(34)&amp;","&amp;CHAR(34)&amp;"transform"&amp;CHAR(34)&amp;":"&amp;CHAR(34)&amp;G204&amp;CHAR(34)&amp;"}")</f>
        <v/>
      </c>
      <c r="I204">
        <f>IF(E204&lt;&gt;"INCLUDE","","'|"&amp;B204&amp;"=', "&amp;IF(F204="date","if(string-length(string(${"&amp;B204&amp;"})) &gt; 0, format-date(${"&amp;B204&amp;"}, '%Y-%m-%d'), '')",IF(F204="sha256","digest(string(${"&amp;B204&amp;"}), 'SHA-256', 'hex')","string(${"&amp;B204&amp;"})")))</f>
        <v/>
      </c>
      <c r="J204">
        <f>IF(E204="INCLUDE","Included by explicit yes","Not included")</f>
        <v/>
      </c>
      <c r="K204">
        <f>K203&amp;IF(H204="","",","&amp;H204)</f>
        <v/>
      </c>
      <c r="L204">
        <f>L203&amp;IF(I204="","",","&amp;I204)</f>
        <v/>
      </c>
    </row>
    <row r="205">
      <c r="A205" t="n">
        <v>222</v>
      </c>
      <c r="B205">
        <f>survey!B222</f>
        <v/>
      </c>
      <c r="C205">
        <f>survey!A222</f>
        <v/>
      </c>
      <c r="D205" t="inlineStr"/>
      <c r="E205">
        <f>IF(OR(B205="",C205=""),"",IF(LOWER(D205)="yes","INCLUDE","EXCLUDE"))</f>
        <v/>
      </c>
      <c r="F205">
        <f>IF(E205&lt;&gt;"INCLUDE","",IF(LEFT(LOWER(C205),10)="select_one ","select_one",IF(LOWER(C205)="date","date",IF(OR(LOWER(C205)="integer",LOWER(C205)="decimal",LOWER(C205)="range"),LOWER(C205),"sha256"))))</f>
        <v/>
      </c>
      <c r="G205">
        <f>IF(E205&lt;&gt;"INCLUDE","",IF(F205="date","yyyy-mm-dd",IF(F205="select_one","stored-choice-name",IF(F205="sha256","odk-lexical-utf8-sha256","odk-canonical-scalar"))))</f>
        <v/>
      </c>
      <c r="H205">
        <f>IF(E205&lt;&gt;"INCLUDE","","{"&amp;CHAR(34)&amp;"path"&amp;CHAR(34)&amp;":"&amp;CHAR(34)&amp;B205&amp;CHAR(34)&amp;","&amp;CHAR(34)&amp;"type"&amp;CHAR(34)&amp;":"&amp;CHAR(34)&amp;F205&amp;CHAR(34)&amp;","&amp;CHAR(34)&amp;"xlsform_type"&amp;CHAR(34)&amp;":"&amp;CHAR(34)&amp;C205&amp;CHAR(34)&amp;","&amp;CHAR(34)&amp;"commitment"&amp;CHAR(34)&amp;":"&amp;CHAR(34)&amp;IF(F205="sha256","text-utf8-sha256","value")&amp;CHAR(34)&amp;","&amp;CHAR(34)&amp;"transform"&amp;CHAR(34)&amp;":"&amp;CHAR(34)&amp;G205&amp;CHAR(34)&amp;"}")</f>
        <v/>
      </c>
      <c r="I205">
        <f>IF(E205&lt;&gt;"INCLUDE","","'|"&amp;B205&amp;"=', "&amp;IF(F205="date","if(string-length(string(${"&amp;B205&amp;"})) &gt; 0, format-date(${"&amp;B205&amp;"}, '%Y-%m-%d'), '')",IF(F205="sha256","digest(string(${"&amp;B205&amp;"}), 'SHA-256', 'hex')","string(${"&amp;B205&amp;"})")))</f>
        <v/>
      </c>
      <c r="J205">
        <f>IF(E205="INCLUDE","Included by explicit yes","Not included")</f>
        <v/>
      </c>
      <c r="K205">
        <f>K204&amp;IF(H205="","",","&amp;H205)</f>
        <v/>
      </c>
      <c r="L205">
        <f>L204&amp;IF(I205="","",","&amp;I205)</f>
        <v/>
      </c>
    </row>
    <row r="206">
      <c r="A206" t="n">
        <v>223</v>
      </c>
      <c r="B206">
        <f>survey!B223</f>
        <v/>
      </c>
      <c r="C206">
        <f>survey!A223</f>
        <v/>
      </c>
      <c r="D206" t="inlineStr"/>
      <c r="E206">
        <f>IF(OR(B206="",C206=""),"",IF(LOWER(D206)="yes","INCLUDE","EXCLUDE"))</f>
        <v/>
      </c>
      <c r="F206">
        <f>IF(E206&lt;&gt;"INCLUDE","",IF(LEFT(LOWER(C206),10)="select_one ","select_one",IF(LOWER(C206)="date","date",IF(OR(LOWER(C206)="integer",LOWER(C206)="decimal",LOWER(C206)="range"),LOWER(C206),"sha256"))))</f>
        <v/>
      </c>
      <c r="G206">
        <f>IF(E206&lt;&gt;"INCLUDE","",IF(F206="date","yyyy-mm-dd",IF(F206="select_one","stored-choice-name",IF(F206="sha256","odk-lexical-utf8-sha256","odk-canonical-scalar"))))</f>
        <v/>
      </c>
      <c r="H206">
        <f>IF(E206&lt;&gt;"INCLUDE","","{"&amp;CHAR(34)&amp;"path"&amp;CHAR(34)&amp;":"&amp;CHAR(34)&amp;B206&amp;CHAR(34)&amp;","&amp;CHAR(34)&amp;"type"&amp;CHAR(34)&amp;":"&amp;CHAR(34)&amp;F206&amp;CHAR(34)&amp;","&amp;CHAR(34)&amp;"xlsform_type"&amp;CHAR(34)&amp;":"&amp;CHAR(34)&amp;C206&amp;CHAR(34)&amp;","&amp;CHAR(34)&amp;"commitment"&amp;CHAR(34)&amp;":"&amp;CHAR(34)&amp;IF(F206="sha256","text-utf8-sha256","value")&amp;CHAR(34)&amp;","&amp;CHAR(34)&amp;"transform"&amp;CHAR(34)&amp;":"&amp;CHAR(34)&amp;G206&amp;CHAR(34)&amp;"}")</f>
        <v/>
      </c>
      <c r="I206">
        <f>IF(E206&lt;&gt;"INCLUDE","","'|"&amp;B206&amp;"=', "&amp;IF(F206="date","if(string-length(string(${"&amp;B206&amp;"})) &gt; 0, format-date(${"&amp;B206&amp;"}, '%Y-%m-%d'), '')",IF(F206="sha256","digest(string(${"&amp;B206&amp;"}), 'SHA-256', 'hex')","string(${"&amp;B206&amp;"})")))</f>
        <v/>
      </c>
      <c r="J206">
        <f>IF(E206="INCLUDE","Included by explicit yes","Not included")</f>
        <v/>
      </c>
      <c r="K206">
        <f>K205&amp;IF(H206="","",","&amp;H206)</f>
        <v/>
      </c>
      <c r="L206">
        <f>L205&amp;IF(I206="","",","&amp;I206)</f>
        <v/>
      </c>
    </row>
    <row r="207">
      <c r="A207" t="n">
        <v>224</v>
      </c>
      <c r="B207">
        <f>survey!B224</f>
        <v/>
      </c>
      <c r="C207">
        <f>survey!A224</f>
        <v/>
      </c>
      <c r="D207" t="inlineStr"/>
      <c r="E207">
        <f>IF(OR(B207="",C207=""),"",IF(LOWER(D207)="yes","INCLUDE","EXCLUDE"))</f>
        <v/>
      </c>
      <c r="F207">
        <f>IF(E207&lt;&gt;"INCLUDE","",IF(LEFT(LOWER(C207),10)="select_one ","select_one",IF(LOWER(C207)="date","date",IF(OR(LOWER(C207)="integer",LOWER(C207)="decimal",LOWER(C207)="range"),LOWER(C207),"sha256"))))</f>
        <v/>
      </c>
      <c r="G207">
        <f>IF(E207&lt;&gt;"INCLUDE","",IF(F207="date","yyyy-mm-dd",IF(F207="select_one","stored-choice-name",IF(F207="sha256","odk-lexical-utf8-sha256","odk-canonical-scalar"))))</f>
        <v/>
      </c>
      <c r="H207">
        <f>IF(E207&lt;&gt;"INCLUDE","","{"&amp;CHAR(34)&amp;"path"&amp;CHAR(34)&amp;":"&amp;CHAR(34)&amp;B207&amp;CHAR(34)&amp;","&amp;CHAR(34)&amp;"type"&amp;CHAR(34)&amp;":"&amp;CHAR(34)&amp;F207&amp;CHAR(34)&amp;","&amp;CHAR(34)&amp;"xlsform_type"&amp;CHAR(34)&amp;":"&amp;CHAR(34)&amp;C207&amp;CHAR(34)&amp;","&amp;CHAR(34)&amp;"commitment"&amp;CHAR(34)&amp;":"&amp;CHAR(34)&amp;IF(F207="sha256","text-utf8-sha256","value")&amp;CHAR(34)&amp;","&amp;CHAR(34)&amp;"transform"&amp;CHAR(34)&amp;":"&amp;CHAR(34)&amp;G207&amp;CHAR(34)&amp;"}")</f>
        <v/>
      </c>
      <c r="I207">
        <f>IF(E207&lt;&gt;"INCLUDE","","'|"&amp;B207&amp;"=', "&amp;IF(F207="date","if(string-length(string(${"&amp;B207&amp;"})) &gt; 0, format-date(${"&amp;B207&amp;"}, '%Y-%m-%d'), '')",IF(F207="sha256","digest(string(${"&amp;B207&amp;"}), 'SHA-256', 'hex')","string(${"&amp;B207&amp;"})")))</f>
        <v/>
      </c>
      <c r="J207">
        <f>IF(E207="INCLUDE","Included by explicit yes","Not included")</f>
        <v/>
      </c>
      <c r="K207">
        <f>K206&amp;IF(H207="","",","&amp;H207)</f>
        <v/>
      </c>
      <c r="L207">
        <f>L206&amp;IF(I207="","",","&amp;I207)</f>
        <v/>
      </c>
    </row>
    <row r="208">
      <c r="A208" t="n">
        <v>225</v>
      </c>
      <c r="B208">
        <f>survey!B225</f>
        <v/>
      </c>
      <c r="C208">
        <f>survey!A225</f>
        <v/>
      </c>
      <c r="D208" t="inlineStr"/>
      <c r="E208">
        <f>IF(OR(B208="",C208=""),"",IF(LOWER(D208)="yes","INCLUDE","EXCLUDE"))</f>
        <v/>
      </c>
      <c r="F208">
        <f>IF(E208&lt;&gt;"INCLUDE","",IF(LEFT(LOWER(C208),10)="select_one ","select_one",IF(LOWER(C208)="date","date",IF(OR(LOWER(C208)="integer",LOWER(C208)="decimal",LOWER(C208)="range"),LOWER(C208),"sha256"))))</f>
        <v/>
      </c>
      <c r="G208">
        <f>IF(E208&lt;&gt;"INCLUDE","",IF(F208="date","yyyy-mm-dd",IF(F208="select_one","stored-choice-name",IF(F208="sha256","odk-lexical-utf8-sha256","odk-canonical-scalar"))))</f>
        <v/>
      </c>
      <c r="H208">
        <f>IF(E208&lt;&gt;"INCLUDE","","{"&amp;CHAR(34)&amp;"path"&amp;CHAR(34)&amp;":"&amp;CHAR(34)&amp;B208&amp;CHAR(34)&amp;","&amp;CHAR(34)&amp;"type"&amp;CHAR(34)&amp;":"&amp;CHAR(34)&amp;F208&amp;CHAR(34)&amp;","&amp;CHAR(34)&amp;"xlsform_type"&amp;CHAR(34)&amp;":"&amp;CHAR(34)&amp;C208&amp;CHAR(34)&amp;","&amp;CHAR(34)&amp;"commitment"&amp;CHAR(34)&amp;":"&amp;CHAR(34)&amp;IF(F208="sha256","text-utf8-sha256","value")&amp;CHAR(34)&amp;","&amp;CHAR(34)&amp;"transform"&amp;CHAR(34)&amp;":"&amp;CHAR(34)&amp;G208&amp;CHAR(34)&amp;"}")</f>
        <v/>
      </c>
      <c r="I208">
        <f>IF(E208&lt;&gt;"INCLUDE","","'|"&amp;B208&amp;"=', "&amp;IF(F208="date","if(string-length(string(${"&amp;B208&amp;"})) &gt; 0, format-date(${"&amp;B208&amp;"}, '%Y-%m-%d'), '')",IF(F208="sha256","digest(string(${"&amp;B208&amp;"}), 'SHA-256', 'hex')","string(${"&amp;B208&amp;"})")))</f>
        <v/>
      </c>
      <c r="J208">
        <f>IF(E208="INCLUDE","Included by explicit yes","Not included")</f>
        <v/>
      </c>
      <c r="K208">
        <f>K207&amp;IF(H208="","",","&amp;H208)</f>
        <v/>
      </c>
      <c r="L208">
        <f>L207&amp;IF(I208="","",","&amp;I208)</f>
        <v/>
      </c>
    </row>
    <row r="209">
      <c r="A209" t="n">
        <v>226</v>
      </c>
      <c r="B209">
        <f>survey!B226</f>
        <v/>
      </c>
      <c r="C209">
        <f>survey!A226</f>
        <v/>
      </c>
      <c r="D209" t="inlineStr"/>
      <c r="E209">
        <f>IF(OR(B209="",C209=""),"",IF(LOWER(D209)="yes","INCLUDE","EXCLUDE"))</f>
        <v/>
      </c>
      <c r="F209">
        <f>IF(E209&lt;&gt;"INCLUDE","",IF(LEFT(LOWER(C209),10)="select_one ","select_one",IF(LOWER(C209)="date","date",IF(OR(LOWER(C209)="integer",LOWER(C209)="decimal",LOWER(C209)="range"),LOWER(C209),"sha256"))))</f>
        <v/>
      </c>
      <c r="G209">
        <f>IF(E209&lt;&gt;"INCLUDE","",IF(F209="date","yyyy-mm-dd",IF(F209="select_one","stored-choice-name",IF(F209="sha256","odk-lexical-utf8-sha256","odk-canonical-scalar"))))</f>
        <v/>
      </c>
      <c r="H209">
        <f>IF(E209&lt;&gt;"INCLUDE","","{"&amp;CHAR(34)&amp;"path"&amp;CHAR(34)&amp;":"&amp;CHAR(34)&amp;B209&amp;CHAR(34)&amp;","&amp;CHAR(34)&amp;"type"&amp;CHAR(34)&amp;":"&amp;CHAR(34)&amp;F209&amp;CHAR(34)&amp;","&amp;CHAR(34)&amp;"xlsform_type"&amp;CHAR(34)&amp;":"&amp;CHAR(34)&amp;C209&amp;CHAR(34)&amp;","&amp;CHAR(34)&amp;"commitment"&amp;CHAR(34)&amp;":"&amp;CHAR(34)&amp;IF(F209="sha256","text-utf8-sha256","value")&amp;CHAR(34)&amp;","&amp;CHAR(34)&amp;"transform"&amp;CHAR(34)&amp;":"&amp;CHAR(34)&amp;G209&amp;CHAR(34)&amp;"}")</f>
        <v/>
      </c>
      <c r="I209">
        <f>IF(E209&lt;&gt;"INCLUDE","","'|"&amp;B209&amp;"=', "&amp;IF(F209="date","if(string-length(string(${"&amp;B209&amp;"})) &gt; 0, format-date(${"&amp;B209&amp;"}, '%Y-%m-%d'), '')",IF(F209="sha256","digest(string(${"&amp;B209&amp;"}), 'SHA-256', 'hex')","string(${"&amp;B209&amp;"})")))</f>
        <v/>
      </c>
      <c r="J209">
        <f>IF(E209="INCLUDE","Included by explicit yes","Not included")</f>
        <v/>
      </c>
      <c r="K209">
        <f>K208&amp;IF(H209="","",","&amp;H209)</f>
        <v/>
      </c>
      <c r="L209">
        <f>L208&amp;IF(I209="","",","&amp;I209)</f>
        <v/>
      </c>
    </row>
    <row r="210">
      <c r="A210" t="n">
        <v>227</v>
      </c>
      <c r="B210">
        <f>survey!B227</f>
        <v/>
      </c>
      <c r="C210">
        <f>survey!A227</f>
        <v/>
      </c>
      <c r="D210" t="inlineStr"/>
      <c r="E210">
        <f>IF(OR(B210="",C210=""),"",IF(LOWER(D210)="yes","INCLUDE","EXCLUDE"))</f>
        <v/>
      </c>
      <c r="F210">
        <f>IF(E210&lt;&gt;"INCLUDE","",IF(LEFT(LOWER(C210),10)="select_one ","select_one",IF(LOWER(C210)="date","date",IF(OR(LOWER(C210)="integer",LOWER(C210)="decimal",LOWER(C210)="range"),LOWER(C210),"sha256"))))</f>
        <v/>
      </c>
      <c r="G210">
        <f>IF(E210&lt;&gt;"INCLUDE","",IF(F210="date","yyyy-mm-dd",IF(F210="select_one","stored-choice-name",IF(F210="sha256","odk-lexical-utf8-sha256","odk-canonical-scalar"))))</f>
        <v/>
      </c>
      <c r="H210">
        <f>IF(E210&lt;&gt;"INCLUDE","","{"&amp;CHAR(34)&amp;"path"&amp;CHAR(34)&amp;":"&amp;CHAR(34)&amp;B210&amp;CHAR(34)&amp;","&amp;CHAR(34)&amp;"type"&amp;CHAR(34)&amp;":"&amp;CHAR(34)&amp;F210&amp;CHAR(34)&amp;","&amp;CHAR(34)&amp;"xlsform_type"&amp;CHAR(34)&amp;":"&amp;CHAR(34)&amp;C210&amp;CHAR(34)&amp;","&amp;CHAR(34)&amp;"commitment"&amp;CHAR(34)&amp;":"&amp;CHAR(34)&amp;IF(F210="sha256","text-utf8-sha256","value")&amp;CHAR(34)&amp;","&amp;CHAR(34)&amp;"transform"&amp;CHAR(34)&amp;":"&amp;CHAR(34)&amp;G210&amp;CHAR(34)&amp;"}")</f>
        <v/>
      </c>
      <c r="I210">
        <f>IF(E210&lt;&gt;"INCLUDE","","'|"&amp;B210&amp;"=', "&amp;IF(F210="date","if(string-length(string(${"&amp;B210&amp;"})) &gt; 0, format-date(${"&amp;B210&amp;"}, '%Y-%m-%d'), '')",IF(F210="sha256","digest(string(${"&amp;B210&amp;"}), 'SHA-256', 'hex')","string(${"&amp;B210&amp;"})")))</f>
        <v/>
      </c>
      <c r="J210">
        <f>IF(E210="INCLUDE","Included by explicit yes","Not included")</f>
        <v/>
      </c>
      <c r="K210">
        <f>K209&amp;IF(H210="","",","&amp;H210)</f>
        <v/>
      </c>
      <c r="L210">
        <f>L209&amp;IF(I210="","",","&amp;I210)</f>
        <v/>
      </c>
    </row>
    <row r="211">
      <c r="A211" t="n">
        <v>228</v>
      </c>
      <c r="B211">
        <f>survey!B228</f>
        <v/>
      </c>
      <c r="C211">
        <f>survey!A228</f>
        <v/>
      </c>
      <c r="D211" t="inlineStr"/>
      <c r="E211">
        <f>IF(OR(B211="",C211=""),"",IF(LOWER(D211)="yes","INCLUDE","EXCLUDE"))</f>
        <v/>
      </c>
      <c r="F211">
        <f>IF(E211&lt;&gt;"INCLUDE","",IF(LEFT(LOWER(C211),10)="select_one ","select_one",IF(LOWER(C211)="date","date",IF(OR(LOWER(C211)="integer",LOWER(C211)="decimal",LOWER(C211)="range"),LOWER(C211),"sha256"))))</f>
        <v/>
      </c>
      <c r="G211">
        <f>IF(E211&lt;&gt;"INCLUDE","",IF(F211="date","yyyy-mm-dd",IF(F211="select_one","stored-choice-name",IF(F211="sha256","odk-lexical-utf8-sha256","odk-canonical-scalar"))))</f>
        <v/>
      </c>
      <c r="H211">
        <f>IF(E211&lt;&gt;"INCLUDE","","{"&amp;CHAR(34)&amp;"path"&amp;CHAR(34)&amp;":"&amp;CHAR(34)&amp;B211&amp;CHAR(34)&amp;","&amp;CHAR(34)&amp;"type"&amp;CHAR(34)&amp;":"&amp;CHAR(34)&amp;F211&amp;CHAR(34)&amp;","&amp;CHAR(34)&amp;"xlsform_type"&amp;CHAR(34)&amp;":"&amp;CHAR(34)&amp;C211&amp;CHAR(34)&amp;","&amp;CHAR(34)&amp;"commitment"&amp;CHAR(34)&amp;":"&amp;CHAR(34)&amp;IF(F211="sha256","text-utf8-sha256","value")&amp;CHAR(34)&amp;","&amp;CHAR(34)&amp;"transform"&amp;CHAR(34)&amp;":"&amp;CHAR(34)&amp;G211&amp;CHAR(34)&amp;"}")</f>
        <v/>
      </c>
      <c r="I211">
        <f>IF(E211&lt;&gt;"INCLUDE","","'|"&amp;B211&amp;"=', "&amp;IF(F211="date","if(string-length(string(${"&amp;B211&amp;"})) &gt; 0, format-date(${"&amp;B211&amp;"}, '%Y-%m-%d'), '')",IF(F211="sha256","digest(string(${"&amp;B211&amp;"}), 'SHA-256', 'hex')","string(${"&amp;B211&amp;"})")))</f>
        <v/>
      </c>
      <c r="J211">
        <f>IF(E211="INCLUDE","Included by explicit yes","Not included")</f>
        <v/>
      </c>
      <c r="K211">
        <f>K210&amp;IF(H211="","",","&amp;H211)</f>
        <v/>
      </c>
      <c r="L211">
        <f>L210&amp;IF(I211="","",","&amp;I211)</f>
        <v/>
      </c>
    </row>
    <row r="212">
      <c r="A212" t="n">
        <v>229</v>
      </c>
      <c r="B212">
        <f>survey!B229</f>
        <v/>
      </c>
      <c r="C212">
        <f>survey!A229</f>
        <v/>
      </c>
      <c r="D212" t="inlineStr"/>
      <c r="E212">
        <f>IF(OR(B212="",C212=""),"",IF(LOWER(D212)="yes","INCLUDE","EXCLUDE"))</f>
        <v/>
      </c>
      <c r="F212">
        <f>IF(E212&lt;&gt;"INCLUDE","",IF(LEFT(LOWER(C212),10)="select_one ","select_one",IF(LOWER(C212)="date","date",IF(OR(LOWER(C212)="integer",LOWER(C212)="decimal",LOWER(C212)="range"),LOWER(C212),"sha256"))))</f>
        <v/>
      </c>
      <c r="G212">
        <f>IF(E212&lt;&gt;"INCLUDE","",IF(F212="date","yyyy-mm-dd",IF(F212="select_one","stored-choice-name",IF(F212="sha256","odk-lexical-utf8-sha256","odk-canonical-scalar"))))</f>
        <v/>
      </c>
      <c r="H212">
        <f>IF(E212&lt;&gt;"INCLUDE","","{"&amp;CHAR(34)&amp;"path"&amp;CHAR(34)&amp;":"&amp;CHAR(34)&amp;B212&amp;CHAR(34)&amp;","&amp;CHAR(34)&amp;"type"&amp;CHAR(34)&amp;":"&amp;CHAR(34)&amp;F212&amp;CHAR(34)&amp;","&amp;CHAR(34)&amp;"xlsform_type"&amp;CHAR(34)&amp;":"&amp;CHAR(34)&amp;C212&amp;CHAR(34)&amp;","&amp;CHAR(34)&amp;"commitment"&amp;CHAR(34)&amp;":"&amp;CHAR(34)&amp;IF(F212="sha256","text-utf8-sha256","value")&amp;CHAR(34)&amp;","&amp;CHAR(34)&amp;"transform"&amp;CHAR(34)&amp;":"&amp;CHAR(34)&amp;G212&amp;CHAR(34)&amp;"}")</f>
        <v/>
      </c>
      <c r="I212">
        <f>IF(E212&lt;&gt;"INCLUDE","","'|"&amp;B212&amp;"=', "&amp;IF(F212="date","if(string-length(string(${"&amp;B212&amp;"})) &gt; 0, format-date(${"&amp;B212&amp;"}, '%Y-%m-%d'), '')",IF(F212="sha256","digest(string(${"&amp;B212&amp;"}), 'SHA-256', 'hex')","string(${"&amp;B212&amp;"})")))</f>
        <v/>
      </c>
      <c r="J212">
        <f>IF(E212="INCLUDE","Included by explicit yes","Not included")</f>
        <v/>
      </c>
      <c r="K212">
        <f>K211&amp;IF(H212="","",","&amp;H212)</f>
        <v/>
      </c>
      <c r="L212">
        <f>L211&amp;IF(I212="","",","&amp;I212)</f>
        <v/>
      </c>
    </row>
    <row r="213">
      <c r="A213" t="n">
        <v>230</v>
      </c>
      <c r="B213">
        <f>survey!B230</f>
        <v/>
      </c>
      <c r="C213">
        <f>survey!A230</f>
        <v/>
      </c>
      <c r="D213" t="inlineStr"/>
      <c r="E213">
        <f>IF(OR(B213="",C213=""),"",IF(LOWER(D213)="yes","INCLUDE","EXCLUDE"))</f>
        <v/>
      </c>
      <c r="F213">
        <f>IF(E213&lt;&gt;"INCLUDE","",IF(LEFT(LOWER(C213),10)="select_one ","select_one",IF(LOWER(C213)="date","date",IF(OR(LOWER(C213)="integer",LOWER(C213)="decimal",LOWER(C213)="range"),LOWER(C213),"sha256"))))</f>
        <v/>
      </c>
      <c r="G213">
        <f>IF(E213&lt;&gt;"INCLUDE","",IF(F213="date","yyyy-mm-dd",IF(F213="select_one","stored-choice-name",IF(F213="sha256","odk-lexical-utf8-sha256","odk-canonical-scalar"))))</f>
        <v/>
      </c>
      <c r="H213">
        <f>IF(E213&lt;&gt;"INCLUDE","","{"&amp;CHAR(34)&amp;"path"&amp;CHAR(34)&amp;":"&amp;CHAR(34)&amp;B213&amp;CHAR(34)&amp;","&amp;CHAR(34)&amp;"type"&amp;CHAR(34)&amp;":"&amp;CHAR(34)&amp;F213&amp;CHAR(34)&amp;","&amp;CHAR(34)&amp;"xlsform_type"&amp;CHAR(34)&amp;":"&amp;CHAR(34)&amp;C213&amp;CHAR(34)&amp;","&amp;CHAR(34)&amp;"commitment"&amp;CHAR(34)&amp;":"&amp;CHAR(34)&amp;IF(F213="sha256","text-utf8-sha256","value")&amp;CHAR(34)&amp;","&amp;CHAR(34)&amp;"transform"&amp;CHAR(34)&amp;":"&amp;CHAR(34)&amp;G213&amp;CHAR(34)&amp;"}")</f>
        <v/>
      </c>
      <c r="I213">
        <f>IF(E213&lt;&gt;"INCLUDE","","'|"&amp;B213&amp;"=', "&amp;IF(F213="date","if(string-length(string(${"&amp;B213&amp;"})) &gt; 0, format-date(${"&amp;B213&amp;"}, '%Y-%m-%d'), '')",IF(F213="sha256","digest(string(${"&amp;B213&amp;"}), 'SHA-256', 'hex')","string(${"&amp;B213&amp;"})")))</f>
        <v/>
      </c>
      <c r="J213">
        <f>IF(E213="INCLUDE","Included by explicit yes","Not included")</f>
        <v/>
      </c>
      <c r="K213">
        <f>K212&amp;IF(H213="","",","&amp;H213)</f>
        <v/>
      </c>
      <c r="L213">
        <f>L212&amp;IF(I213="","",","&amp;I213)</f>
        <v/>
      </c>
    </row>
    <row r="214">
      <c r="A214" t="n">
        <v>231</v>
      </c>
      <c r="B214">
        <f>survey!B231</f>
        <v/>
      </c>
      <c r="C214">
        <f>survey!A231</f>
        <v/>
      </c>
      <c r="D214" t="inlineStr"/>
      <c r="E214">
        <f>IF(OR(B214="",C214=""),"",IF(LOWER(D214)="yes","INCLUDE","EXCLUDE"))</f>
        <v/>
      </c>
      <c r="F214">
        <f>IF(E214&lt;&gt;"INCLUDE","",IF(LEFT(LOWER(C214),10)="select_one ","select_one",IF(LOWER(C214)="date","date",IF(OR(LOWER(C214)="integer",LOWER(C214)="decimal",LOWER(C214)="range"),LOWER(C214),"sha256"))))</f>
        <v/>
      </c>
      <c r="G214">
        <f>IF(E214&lt;&gt;"INCLUDE","",IF(F214="date","yyyy-mm-dd",IF(F214="select_one","stored-choice-name",IF(F214="sha256","odk-lexical-utf8-sha256","odk-canonical-scalar"))))</f>
        <v/>
      </c>
      <c r="H214">
        <f>IF(E214&lt;&gt;"INCLUDE","","{"&amp;CHAR(34)&amp;"path"&amp;CHAR(34)&amp;":"&amp;CHAR(34)&amp;B214&amp;CHAR(34)&amp;","&amp;CHAR(34)&amp;"type"&amp;CHAR(34)&amp;":"&amp;CHAR(34)&amp;F214&amp;CHAR(34)&amp;","&amp;CHAR(34)&amp;"xlsform_type"&amp;CHAR(34)&amp;":"&amp;CHAR(34)&amp;C214&amp;CHAR(34)&amp;","&amp;CHAR(34)&amp;"commitment"&amp;CHAR(34)&amp;":"&amp;CHAR(34)&amp;IF(F214="sha256","text-utf8-sha256","value")&amp;CHAR(34)&amp;","&amp;CHAR(34)&amp;"transform"&amp;CHAR(34)&amp;":"&amp;CHAR(34)&amp;G214&amp;CHAR(34)&amp;"}")</f>
        <v/>
      </c>
      <c r="I214">
        <f>IF(E214&lt;&gt;"INCLUDE","","'|"&amp;B214&amp;"=', "&amp;IF(F214="date","if(string-length(string(${"&amp;B214&amp;"})) &gt; 0, format-date(${"&amp;B214&amp;"}, '%Y-%m-%d'), '')",IF(F214="sha256","digest(string(${"&amp;B214&amp;"}), 'SHA-256', 'hex')","string(${"&amp;B214&amp;"})")))</f>
        <v/>
      </c>
      <c r="J214">
        <f>IF(E214="INCLUDE","Included by explicit yes","Not included")</f>
        <v/>
      </c>
      <c r="K214">
        <f>K213&amp;IF(H214="","",","&amp;H214)</f>
        <v/>
      </c>
      <c r="L214">
        <f>L213&amp;IF(I214="","",","&amp;I214)</f>
        <v/>
      </c>
    </row>
    <row r="215">
      <c r="A215" t="n">
        <v>232</v>
      </c>
      <c r="B215">
        <f>survey!B232</f>
        <v/>
      </c>
      <c r="C215">
        <f>survey!A232</f>
        <v/>
      </c>
      <c r="D215" t="inlineStr"/>
      <c r="E215">
        <f>IF(OR(B215="",C215=""),"",IF(LOWER(D215)="yes","INCLUDE","EXCLUDE"))</f>
        <v/>
      </c>
      <c r="F215">
        <f>IF(E215&lt;&gt;"INCLUDE","",IF(LEFT(LOWER(C215),10)="select_one ","select_one",IF(LOWER(C215)="date","date",IF(OR(LOWER(C215)="integer",LOWER(C215)="decimal",LOWER(C215)="range"),LOWER(C215),"sha256"))))</f>
        <v/>
      </c>
      <c r="G215">
        <f>IF(E215&lt;&gt;"INCLUDE","",IF(F215="date","yyyy-mm-dd",IF(F215="select_one","stored-choice-name",IF(F215="sha256","odk-lexical-utf8-sha256","odk-canonical-scalar"))))</f>
        <v/>
      </c>
      <c r="H215">
        <f>IF(E215&lt;&gt;"INCLUDE","","{"&amp;CHAR(34)&amp;"path"&amp;CHAR(34)&amp;":"&amp;CHAR(34)&amp;B215&amp;CHAR(34)&amp;","&amp;CHAR(34)&amp;"type"&amp;CHAR(34)&amp;":"&amp;CHAR(34)&amp;F215&amp;CHAR(34)&amp;","&amp;CHAR(34)&amp;"xlsform_type"&amp;CHAR(34)&amp;":"&amp;CHAR(34)&amp;C215&amp;CHAR(34)&amp;","&amp;CHAR(34)&amp;"commitment"&amp;CHAR(34)&amp;":"&amp;CHAR(34)&amp;IF(F215="sha256","text-utf8-sha256","value")&amp;CHAR(34)&amp;","&amp;CHAR(34)&amp;"transform"&amp;CHAR(34)&amp;":"&amp;CHAR(34)&amp;G215&amp;CHAR(34)&amp;"}")</f>
        <v/>
      </c>
      <c r="I215">
        <f>IF(E215&lt;&gt;"INCLUDE","","'|"&amp;B215&amp;"=', "&amp;IF(F215="date","if(string-length(string(${"&amp;B215&amp;"})) &gt; 0, format-date(${"&amp;B215&amp;"}, '%Y-%m-%d'), '')",IF(F215="sha256","digest(string(${"&amp;B215&amp;"}), 'SHA-256', 'hex')","string(${"&amp;B215&amp;"})")))</f>
        <v/>
      </c>
      <c r="J215">
        <f>IF(E215="INCLUDE","Included by explicit yes","Not included")</f>
        <v/>
      </c>
      <c r="K215">
        <f>K214&amp;IF(H215="","",","&amp;H215)</f>
        <v/>
      </c>
      <c r="L215">
        <f>L214&amp;IF(I215="","",","&amp;I215)</f>
        <v/>
      </c>
    </row>
    <row r="216">
      <c r="A216" t="n">
        <v>233</v>
      </c>
      <c r="B216">
        <f>survey!B233</f>
        <v/>
      </c>
      <c r="C216">
        <f>survey!A233</f>
        <v/>
      </c>
      <c r="D216" t="inlineStr"/>
      <c r="E216">
        <f>IF(OR(B216="",C216=""),"",IF(LOWER(D216)="yes","INCLUDE","EXCLUDE"))</f>
        <v/>
      </c>
      <c r="F216">
        <f>IF(E216&lt;&gt;"INCLUDE","",IF(LEFT(LOWER(C216),10)="select_one ","select_one",IF(LOWER(C216)="date","date",IF(OR(LOWER(C216)="integer",LOWER(C216)="decimal",LOWER(C216)="range"),LOWER(C216),"sha256"))))</f>
        <v/>
      </c>
      <c r="G216">
        <f>IF(E216&lt;&gt;"INCLUDE","",IF(F216="date","yyyy-mm-dd",IF(F216="select_one","stored-choice-name",IF(F216="sha256","odk-lexical-utf8-sha256","odk-canonical-scalar"))))</f>
        <v/>
      </c>
      <c r="H216">
        <f>IF(E216&lt;&gt;"INCLUDE","","{"&amp;CHAR(34)&amp;"path"&amp;CHAR(34)&amp;":"&amp;CHAR(34)&amp;B216&amp;CHAR(34)&amp;","&amp;CHAR(34)&amp;"type"&amp;CHAR(34)&amp;":"&amp;CHAR(34)&amp;F216&amp;CHAR(34)&amp;","&amp;CHAR(34)&amp;"xlsform_type"&amp;CHAR(34)&amp;":"&amp;CHAR(34)&amp;C216&amp;CHAR(34)&amp;","&amp;CHAR(34)&amp;"commitment"&amp;CHAR(34)&amp;":"&amp;CHAR(34)&amp;IF(F216="sha256","text-utf8-sha256","value")&amp;CHAR(34)&amp;","&amp;CHAR(34)&amp;"transform"&amp;CHAR(34)&amp;":"&amp;CHAR(34)&amp;G216&amp;CHAR(34)&amp;"}")</f>
        <v/>
      </c>
      <c r="I216">
        <f>IF(E216&lt;&gt;"INCLUDE","","'|"&amp;B216&amp;"=', "&amp;IF(F216="date","if(string-length(string(${"&amp;B216&amp;"})) &gt; 0, format-date(${"&amp;B216&amp;"}, '%Y-%m-%d'), '')",IF(F216="sha256","digest(string(${"&amp;B216&amp;"}), 'SHA-256', 'hex')","string(${"&amp;B216&amp;"})")))</f>
        <v/>
      </c>
      <c r="J216">
        <f>IF(E216="INCLUDE","Included by explicit yes","Not included")</f>
        <v/>
      </c>
      <c r="K216">
        <f>K215&amp;IF(H216="","",","&amp;H216)</f>
        <v/>
      </c>
      <c r="L216">
        <f>L215&amp;IF(I216="","",","&amp;I216)</f>
        <v/>
      </c>
    </row>
    <row r="217">
      <c r="A217" t="n">
        <v>234</v>
      </c>
      <c r="B217">
        <f>survey!B234</f>
        <v/>
      </c>
      <c r="C217">
        <f>survey!A234</f>
        <v/>
      </c>
      <c r="D217" t="inlineStr"/>
      <c r="E217">
        <f>IF(OR(B217="",C217=""),"",IF(LOWER(D217)="yes","INCLUDE","EXCLUDE"))</f>
        <v/>
      </c>
      <c r="F217">
        <f>IF(E217&lt;&gt;"INCLUDE","",IF(LEFT(LOWER(C217),10)="select_one ","select_one",IF(LOWER(C217)="date","date",IF(OR(LOWER(C217)="integer",LOWER(C217)="decimal",LOWER(C217)="range"),LOWER(C217),"sha256"))))</f>
        <v/>
      </c>
      <c r="G217">
        <f>IF(E217&lt;&gt;"INCLUDE","",IF(F217="date","yyyy-mm-dd",IF(F217="select_one","stored-choice-name",IF(F217="sha256","odk-lexical-utf8-sha256","odk-canonical-scalar"))))</f>
        <v/>
      </c>
      <c r="H217">
        <f>IF(E217&lt;&gt;"INCLUDE","","{"&amp;CHAR(34)&amp;"path"&amp;CHAR(34)&amp;":"&amp;CHAR(34)&amp;B217&amp;CHAR(34)&amp;","&amp;CHAR(34)&amp;"type"&amp;CHAR(34)&amp;":"&amp;CHAR(34)&amp;F217&amp;CHAR(34)&amp;","&amp;CHAR(34)&amp;"xlsform_type"&amp;CHAR(34)&amp;":"&amp;CHAR(34)&amp;C217&amp;CHAR(34)&amp;","&amp;CHAR(34)&amp;"commitment"&amp;CHAR(34)&amp;":"&amp;CHAR(34)&amp;IF(F217="sha256","text-utf8-sha256","value")&amp;CHAR(34)&amp;","&amp;CHAR(34)&amp;"transform"&amp;CHAR(34)&amp;":"&amp;CHAR(34)&amp;G217&amp;CHAR(34)&amp;"}")</f>
        <v/>
      </c>
      <c r="I217">
        <f>IF(E217&lt;&gt;"INCLUDE","","'|"&amp;B217&amp;"=', "&amp;IF(F217="date","if(string-length(string(${"&amp;B217&amp;"})) &gt; 0, format-date(${"&amp;B217&amp;"}, '%Y-%m-%d'), '')",IF(F217="sha256","digest(string(${"&amp;B217&amp;"}), 'SHA-256', 'hex')","string(${"&amp;B217&amp;"})")))</f>
        <v/>
      </c>
      <c r="J217">
        <f>IF(E217="INCLUDE","Included by explicit yes","Not included")</f>
        <v/>
      </c>
      <c r="K217">
        <f>K216&amp;IF(H217="","",","&amp;H217)</f>
        <v/>
      </c>
      <c r="L217">
        <f>L216&amp;IF(I217="","",","&amp;I217)</f>
        <v/>
      </c>
    </row>
    <row r="218">
      <c r="A218" t="n">
        <v>235</v>
      </c>
      <c r="B218">
        <f>survey!B235</f>
        <v/>
      </c>
      <c r="C218">
        <f>survey!A235</f>
        <v/>
      </c>
      <c r="D218" t="inlineStr"/>
      <c r="E218">
        <f>IF(OR(B218="",C218=""),"",IF(LOWER(D218)="yes","INCLUDE","EXCLUDE"))</f>
        <v/>
      </c>
      <c r="F218">
        <f>IF(E218&lt;&gt;"INCLUDE","",IF(LEFT(LOWER(C218),10)="select_one ","select_one",IF(LOWER(C218)="date","date",IF(OR(LOWER(C218)="integer",LOWER(C218)="decimal",LOWER(C218)="range"),LOWER(C218),"sha256"))))</f>
        <v/>
      </c>
      <c r="G218">
        <f>IF(E218&lt;&gt;"INCLUDE","",IF(F218="date","yyyy-mm-dd",IF(F218="select_one","stored-choice-name",IF(F218="sha256","odk-lexical-utf8-sha256","odk-canonical-scalar"))))</f>
        <v/>
      </c>
      <c r="H218">
        <f>IF(E218&lt;&gt;"INCLUDE","","{"&amp;CHAR(34)&amp;"path"&amp;CHAR(34)&amp;":"&amp;CHAR(34)&amp;B218&amp;CHAR(34)&amp;","&amp;CHAR(34)&amp;"type"&amp;CHAR(34)&amp;":"&amp;CHAR(34)&amp;F218&amp;CHAR(34)&amp;","&amp;CHAR(34)&amp;"xlsform_type"&amp;CHAR(34)&amp;":"&amp;CHAR(34)&amp;C218&amp;CHAR(34)&amp;","&amp;CHAR(34)&amp;"commitment"&amp;CHAR(34)&amp;":"&amp;CHAR(34)&amp;IF(F218="sha256","text-utf8-sha256","value")&amp;CHAR(34)&amp;","&amp;CHAR(34)&amp;"transform"&amp;CHAR(34)&amp;":"&amp;CHAR(34)&amp;G218&amp;CHAR(34)&amp;"}")</f>
        <v/>
      </c>
      <c r="I218">
        <f>IF(E218&lt;&gt;"INCLUDE","","'|"&amp;B218&amp;"=', "&amp;IF(F218="date","if(string-length(string(${"&amp;B218&amp;"})) &gt; 0, format-date(${"&amp;B218&amp;"}, '%Y-%m-%d'), '')",IF(F218="sha256","digest(string(${"&amp;B218&amp;"}), 'SHA-256', 'hex')","string(${"&amp;B218&amp;"})")))</f>
        <v/>
      </c>
      <c r="J218">
        <f>IF(E218="INCLUDE","Included by explicit yes","Not included")</f>
        <v/>
      </c>
      <c r="K218">
        <f>K217&amp;IF(H218="","",","&amp;H218)</f>
        <v/>
      </c>
      <c r="L218">
        <f>L217&amp;IF(I218="","",","&amp;I218)</f>
        <v/>
      </c>
    </row>
    <row r="219">
      <c r="A219" t="n">
        <v>236</v>
      </c>
      <c r="B219">
        <f>survey!B236</f>
        <v/>
      </c>
      <c r="C219">
        <f>survey!A236</f>
        <v/>
      </c>
      <c r="D219" t="inlineStr"/>
      <c r="E219">
        <f>IF(OR(B219="",C219=""),"",IF(LOWER(D219)="yes","INCLUDE","EXCLUDE"))</f>
        <v/>
      </c>
      <c r="F219">
        <f>IF(E219&lt;&gt;"INCLUDE","",IF(LEFT(LOWER(C219),10)="select_one ","select_one",IF(LOWER(C219)="date","date",IF(OR(LOWER(C219)="integer",LOWER(C219)="decimal",LOWER(C219)="range"),LOWER(C219),"sha256"))))</f>
        <v/>
      </c>
      <c r="G219">
        <f>IF(E219&lt;&gt;"INCLUDE","",IF(F219="date","yyyy-mm-dd",IF(F219="select_one","stored-choice-name",IF(F219="sha256","odk-lexical-utf8-sha256","odk-canonical-scalar"))))</f>
        <v/>
      </c>
      <c r="H219">
        <f>IF(E219&lt;&gt;"INCLUDE","","{"&amp;CHAR(34)&amp;"path"&amp;CHAR(34)&amp;":"&amp;CHAR(34)&amp;B219&amp;CHAR(34)&amp;","&amp;CHAR(34)&amp;"type"&amp;CHAR(34)&amp;":"&amp;CHAR(34)&amp;F219&amp;CHAR(34)&amp;","&amp;CHAR(34)&amp;"xlsform_type"&amp;CHAR(34)&amp;":"&amp;CHAR(34)&amp;C219&amp;CHAR(34)&amp;","&amp;CHAR(34)&amp;"commitment"&amp;CHAR(34)&amp;":"&amp;CHAR(34)&amp;IF(F219="sha256","text-utf8-sha256","value")&amp;CHAR(34)&amp;","&amp;CHAR(34)&amp;"transform"&amp;CHAR(34)&amp;":"&amp;CHAR(34)&amp;G219&amp;CHAR(34)&amp;"}")</f>
        <v/>
      </c>
      <c r="I219">
        <f>IF(E219&lt;&gt;"INCLUDE","","'|"&amp;B219&amp;"=', "&amp;IF(F219="date","if(string-length(string(${"&amp;B219&amp;"})) &gt; 0, format-date(${"&amp;B219&amp;"}, '%Y-%m-%d'), '')",IF(F219="sha256","digest(string(${"&amp;B219&amp;"}), 'SHA-256', 'hex')","string(${"&amp;B219&amp;"})")))</f>
        <v/>
      </c>
      <c r="J219">
        <f>IF(E219="INCLUDE","Included by explicit yes","Not included")</f>
        <v/>
      </c>
      <c r="K219">
        <f>K218&amp;IF(H219="","",","&amp;H219)</f>
        <v/>
      </c>
      <c r="L219">
        <f>L218&amp;IF(I219="","",","&amp;I219)</f>
        <v/>
      </c>
    </row>
    <row r="220">
      <c r="A220" t="n">
        <v>237</v>
      </c>
      <c r="B220">
        <f>survey!B237</f>
        <v/>
      </c>
      <c r="C220">
        <f>survey!A237</f>
        <v/>
      </c>
      <c r="D220" t="inlineStr"/>
      <c r="E220">
        <f>IF(OR(B220="",C220=""),"",IF(LOWER(D220)="yes","INCLUDE","EXCLUDE"))</f>
        <v/>
      </c>
      <c r="F220">
        <f>IF(E220&lt;&gt;"INCLUDE","",IF(LEFT(LOWER(C220),10)="select_one ","select_one",IF(LOWER(C220)="date","date",IF(OR(LOWER(C220)="integer",LOWER(C220)="decimal",LOWER(C220)="range"),LOWER(C220),"sha256"))))</f>
        <v/>
      </c>
      <c r="G220">
        <f>IF(E220&lt;&gt;"INCLUDE","",IF(F220="date","yyyy-mm-dd",IF(F220="select_one","stored-choice-name",IF(F220="sha256","odk-lexical-utf8-sha256","odk-canonical-scalar"))))</f>
        <v/>
      </c>
      <c r="H220">
        <f>IF(E220&lt;&gt;"INCLUDE","","{"&amp;CHAR(34)&amp;"path"&amp;CHAR(34)&amp;":"&amp;CHAR(34)&amp;B220&amp;CHAR(34)&amp;","&amp;CHAR(34)&amp;"type"&amp;CHAR(34)&amp;":"&amp;CHAR(34)&amp;F220&amp;CHAR(34)&amp;","&amp;CHAR(34)&amp;"xlsform_type"&amp;CHAR(34)&amp;":"&amp;CHAR(34)&amp;C220&amp;CHAR(34)&amp;","&amp;CHAR(34)&amp;"commitment"&amp;CHAR(34)&amp;":"&amp;CHAR(34)&amp;IF(F220="sha256","text-utf8-sha256","value")&amp;CHAR(34)&amp;","&amp;CHAR(34)&amp;"transform"&amp;CHAR(34)&amp;":"&amp;CHAR(34)&amp;G220&amp;CHAR(34)&amp;"}")</f>
        <v/>
      </c>
      <c r="I220">
        <f>IF(E220&lt;&gt;"INCLUDE","","'|"&amp;B220&amp;"=', "&amp;IF(F220="date","if(string-length(string(${"&amp;B220&amp;"})) &gt; 0, format-date(${"&amp;B220&amp;"}, '%Y-%m-%d'), '')",IF(F220="sha256","digest(string(${"&amp;B220&amp;"}), 'SHA-256', 'hex')","string(${"&amp;B220&amp;"})")))</f>
        <v/>
      </c>
      <c r="J220">
        <f>IF(E220="INCLUDE","Included by explicit yes","Not included")</f>
        <v/>
      </c>
      <c r="K220">
        <f>K219&amp;IF(H220="","",","&amp;H220)</f>
        <v/>
      </c>
      <c r="L220">
        <f>L219&amp;IF(I220="","",","&amp;I220)</f>
        <v/>
      </c>
    </row>
    <row r="221">
      <c r="A221" t="n">
        <v>238</v>
      </c>
      <c r="B221">
        <f>survey!B238</f>
        <v/>
      </c>
      <c r="C221">
        <f>survey!A238</f>
        <v/>
      </c>
      <c r="D221" t="inlineStr"/>
      <c r="E221">
        <f>IF(OR(B221="",C221=""),"",IF(LOWER(D221)="yes","INCLUDE","EXCLUDE"))</f>
        <v/>
      </c>
      <c r="F221">
        <f>IF(E221&lt;&gt;"INCLUDE","",IF(LEFT(LOWER(C221),10)="select_one ","select_one",IF(LOWER(C221)="date","date",IF(OR(LOWER(C221)="integer",LOWER(C221)="decimal",LOWER(C221)="range"),LOWER(C221),"sha256"))))</f>
        <v/>
      </c>
      <c r="G221">
        <f>IF(E221&lt;&gt;"INCLUDE","",IF(F221="date","yyyy-mm-dd",IF(F221="select_one","stored-choice-name",IF(F221="sha256","odk-lexical-utf8-sha256","odk-canonical-scalar"))))</f>
        <v/>
      </c>
      <c r="H221">
        <f>IF(E221&lt;&gt;"INCLUDE","","{"&amp;CHAR(34)&amp;"path"&amp;CHAR(34)&amp;":"&amp;CHAR(34)&amp;B221&amp;CHAR(34)&amp;","&amp;CHAR(34)&amp;"type"&amp;CHAR(34)&amp;":"&amp;CHAR(34)&amp;F221&amp;CHAR(34)&amp;","&amp;CHAR(34)&amp;"xlsform_type"&amp;CHAR(34)&amp;":"&amp;CHAR(34)&amp;C221&amp;CHAR(34)&amp;","&amp;CHAR(34)&amp;"commitment"&amp;CHAR(34)&amp;":"&amp;CHAR(34)&amp;IF(F221="sha256","text-utf8-sha256","value")&amp;CHAR(34)&amp;","&amp;CHAR(34)&amp;"transform"&amp;CHAR(34)&amp;":"&amp;CHAR(34)&amp;G221&amp;CHAR(34)&amp;"}")</f>
        <v/>
      </c>
      <c r="I221">
        <f>IF(E221&lt;&gt;"INCLUDE","","'|"&amp;B221&amp;"=', "&amp;IF(F221="date","if(string-length(string(${"&amp;B221&amp;"})) &gt; 0, format-date(${"&amp;B221&amp;"}, '%Y-%m-%d'), '')",IF(F221="sha256","digest(string(${"&amp;B221&amp;"}), 'SHA-256', 'hex')","string(${"&amp;B221&amp;"})")))</f>
        <v/>
      </c>
      <c r="J221">
        <f>IF(E221="INCLUDE","Included by explicit yes","Not included")</f>
        <v/>
      </c>
      <c r="K221">
        <f>K220&amp;IF(H221="","",","&amp;H221)</f>
        <v/>
      </c>
      <c r="L221">
        <f>L220&amp;IF(I221="","",","&amp;I221)</f>
        <v/>
      </c>
    </row>
    <row r="222">
      <c r="A222" t="n">
        <v>239</v>
      </c>
      <c r="B222">
        <f>survey!B239</f>
        <v/>
      </c>
      <c r="C222">
        <f>survey!A239</f>
        <v/>
      </c>
      <c r="D222" t="inlineStr"/>
      <c r="E222">
        <f>IF(OR(B222="",C222=""),"",IF(LOWER(D222)="yes","INCLUDE","EXCLUDE"))</f>
        <v/>
      </c>
      <c r="F222">
        <f>IF(E222&lt;&gt;"INCLUDE","",IF(LEFT(LOWER(C222),10)="select_one ","select_one",IF(LOWER(C222)="date","date",IF(OR(LOWER(C222)="integer",LOWER(C222)="decimal",LOWER(C222)="range"),LOWER(C222),"sha256"))))</f>
        <v/>
      </c>
      <c r="G222">
        <f>IF(E222&lt;&gt;"INCLUDE","",IF(F222="date","yyyy-mm-dd",IF(F222="select_one","stored-choice-name",IF(F222="sha256","odk-lexical-utf8-sha256","odk-canonical-scalar"))))</f>
        <v/>
      </c>
      <c r="H222">
        <f>IF(E222&lt;&gt;"INCLUDE","","{"&amp;CHAR(34)&amp;"path"&amp;CHAR(34)&amp;":"&amp;CHAR(34)&amp;B222&amp;CHAR(34)&amp;","&amp;CHAR(34)&amp;"type"&amp;CHAR(34)&amp;":"&amp;CHAR(34)&amp;F222&amp;CHAR(34)&amp;","&amp;CHAR(34)&amp;"xlsform_type"&amp;CHAR(34)&amp;":"&amp;CHAR(34)&amp;C222&amp;CHAR(34)&amp;","&amp;CHAR(34)&amp;"commitment"&amp;CHAR(34)&amp;":"&amp;CHAR(34)&amp;IF(F222="sha256","text-utf8-sha256","value")&amp;CHAR(34)&amp;","&amp;CHAR(34)&amp;"transform"&amp;CHAR(34)&amp;":"&amp;CHAR(34)&amp;G222&amp;CHAR(34)&amp;"}")</f>
        <v/>
      </c>
      <c r="I222">
        <f>IF(E222&lt;&gt;"INCLUDE","","'|"&amp;B222&amp;"=', "&amp;IF(F222="date","if(string-length(string(${"&amp;B222&amp;"})) &gt; 0, format-date(${"&amp;B222&amp;"}, '%Y-%m-%d'), '')",IF(F222="sha256","digest(string(${"&amp;B222&amp;"}), 'SHA-256', 'hex')","string(${"&amp;B222&amp;"})")))</f>
        <v/>
      </c>
      <c r="J222">
        <f>IF(E222="INCLUDE","Included by explicit yes","Not included")</f>
        <v/>
      </c>
      <c r="K222">
        <f>K221&amp;IF(H222="","",","&amp;H222)</f>
        <v/>
      </c>
      <c r="L222">
        <f>L221&amp;IF(I222="","",","&amp;I222)</f>
        <v/>
      </c>
    </row>
    <row r="223">
      <c r="A223" t="n">
        <v>240</v>
      </c>
      <c r="B223">
        <f>survey!B240</f>
        <v/>
      </c>
      <c r="C223">
        <f>survey!A240</f>
        <v/>
      </c>
      <c r="D223" t="inlineStr"/>
      <c r="E223">
        <f>IF(OR(B223="",C223=""),"",IF(LOWER(D223)="yes","INCLUDE","EXCLUDE"))</f>
        <v/>
      </c>
      <c r="F223">
        <f>IF(E223&lt;&gt;"INCLUDE","",IF(LEFT(LOWER(C223),10)="select_one ","select_one",IF(LOWER(C223)="date","date",IF(OR(LOWER(C223)="integer",LOWER(C223)="decimal",LOWER(C223)="range"),LOWER(C223),"sha256"))))</f>
        <v/>
      </c>
      <c r="G223">
        <f>IF(E223&lt;&gt;"INCLUDE","",IF(F223="date","yyyy-mm-dd",IF(F223="select_one","stored-choice-name",IF(F223="sha256","odk-lexical-utf8-sha256","odk-canonical-scalar"))))</f>
        <v/>
      </c>
      <c r="H223">
        <f>IF(E223&lt;&gt;"INCLUDE","","{"&amp;CHAR(34)&amp;"path"&amp;CHAR(34)&amp;":"&amp;CHAR(34)&amp;B223&amp;CHAR(34)&amp;","&amp;CHAR(34)&amp;"type"&amp;CHAR(34)&amp;":"&amp;CHAR(34)&amp;F223&amp;CHAR(34)&amp;","&amp;CHAR(34)&amp;"xlsform_type"&amp;CHAR(34)&amp;":"&amp;CHAR(34)&amp;C223&amp;CHAR(34)&amp;","&amp;CHAR(34)&amp;"commitment"&amp;CHAR(34)&amp;":"&amp;CHAR(34)&amp;IF(F223="sha256","text-utf8-sha256","value")&amp;CHAR(34)&amp;","&amp;CHAR(34)&amp;"transform"&amp;CHAR(34)&amp;":"&amp;CHAR(34)&amp;G223&amp;CHAR(34)&amp;"}")</f>
        <v/>
      </c>
      <c r="I223">
        <f>IF(E223&lt;&gt;"INCLUDE","","'|"&amp;B223&amp;"=', "&amp;IF(F223="date","if(string-length(string(${"&amp;B223&amp;"})) &gt; 0, format-date(${"&amp;B223&amp;"}, '%Y-%m-%d'), '')",IF(F223="sha256","digest(string(${"&amp;B223&amp;"}), 'SHA-256', 'hex')","string(${"&amp;B223&amp;"})")))</f>
        <v/>
      </c>
      <c r="J223">
        <f>IF(E223="INCLUDE","Included by explicit yes","Not included")</f>
        <v/>
      </c>
      <c r="K223">
        <f>K222&amp;IF(H223="","",","&amp;H223)</f>
        <v/>
      </c>
      <c r="L223">
        <f>L222&amp;IF(I223="","",","&amp;I223)</f>
        <v/>
      </c>
    </row>
    <row r="224">
      <c r="A224" t="n">
        <v>241</v>
      </c>
      <c r="B224">
        <f>survey!B241</f>
        <v/>
      </c>
      <c r="C224">
        <f>survey!A241</f>
        <v/>
      </c>
      <c r="D224" t="inlineStr"/>
      <c r="E224">
        <f>IF(OR(B224="",C224=""),"",IF(LOWER(D224)="yes","INCLUDE","EXCLUDE"))</f>
        <v/>
      </c>
      <c r="F224">
        <f>IF(E224&lt;&gt;"INCLUDE","",IF(LEFT(LOWER(C224),10)="select_one ","select_one",IF(LOWER(C224)="date","date",IF(OR(LOWER(C224)="integer",LOWER(C224)="decimal",LOWER(C224)="range"),LOWER(C224),"sha256"))))</f>
        <v/>
      </c>
      <c r="G224">
        <f>IF(E224&lt;&gt;"INCLUDE","",IF(F224="date","yyyy-mm-dd",IF(F224="select_one","stored-choice-name",IF(F224="sha256","odk-lexical-utf8-sha256","odk-canonical-scalar"))))</f>
        <v/>
      </c>
      <c r="H224">
        <f>IF(E224&lt;&gt;"INCLUDE","","{"&amp;CHAR(34)&amp;"path"&amp;CHAR(34)&amp;":"&amp;CHAR(34)&amp;B224&amp;CHAR(34)&amp;","&amp;CHAR(34)&amp;"type"&amp;CHAR(34)&amp;":"&amp;CHAR(34)&amp;F224&amp;CHAR(34)&amp;","&amp;CHAR(34)&amp;"xlsform_type"&amp;CHAR(34)&amp;":"&amp;CHAR(34)&amp;C224&amp;CHAR(34)&amp;","&amp;CHAR(34)&amp;"commitment"&amp;CHAR(34)&amp;":"&amp;CHAR(34)&amp;IF(F224="sha256","text-utf8-sha256","value")&amp;CHAR(34)&amp;","&amp;CHAR(34)&amp;"transform"&amp;CHAR(34)&amp;":"&amp;CHAR(34)&amp;G224&amp;CHAR(34)&amp;"}")</f>
        <v/>
      </c>
      <c r="I224">
        <f>IF(E224&lt;&gt;"INCLUDE","","'|"&amp;B224&amp;"=', "&amp;IF(F224="date","if(string-length(string(${"&amp;B224&amp;"})) &gt; 0, format-date(${"&amp;B224&amp;"}, '%Y-%m-%d'), '')",IF(F224="sha256","digest(string(${"&amp;B224&amp;"}), 'SHA-256', 'hex')","string(${"&amp;B224&amp;"})")))</f>
        <v/>
      </c>
      <c r="J224">
        <f>IF(E224="INCLUDE","Included by explicit yes","Not included")</f>
        <v/>
      </c>
      <c r="K224">
        <f>K223&amp;IF(H224="","",","&amp;H224)</f>
        <v/>
      </c>
      <c r="L224">
        <f>L223&amp;IF(I224="","",","&amp;I224)</f>
        <v/>
      </c>
    </row>
    <row r="225">
      <c r="A225" t="n">
        <v>242</v>
      </c>
      <c r="B225">
        <f>survey!B242</f>
        <v/>
      </c>
      <c r="C225">
        <f>survey!A242</f>
        <v/>
      </c>
      <c r="D225" t="inlineStr"/>
      <c r="E225">
        <f>IF(OR(B225="",C225=""),"",IF(LOWER(D225)="yes","INCLUDE","EXCLUDE"))</f>
        <v/>
      </c>
      <c r="F225">
        <f>IF(E225&lt;&gt;"INCLUDE","",IF(LEFT(LOWER(C225),10)="select_one ","select_one",IF(LOWER(C225)="date","date",IF(OR(LOWER(C225)="integer",LOWER(C225)="decimal",LOWER(C225)="range"),LOWER(C225),"sha256"))))</f>
        <v/>
      </c>
      <c r="G225">
        <f>IF(E225&lt;&gt;"INCLUDE","",IF(F225="date","yyyy-mm-dd",IF(F225="select_one","stored-choice-name",IF(F225="sha256","odk-lexical-utf8-sha256","odk-canonical-scalar"))))</f>
        <v/>
      </c>
      <c r="H225">
        <f>IF(E225&lt;&gt;"INCLUDE","","{"&amp;CHAR(34)&amp;"path"&amp;CHAR(34)&amp;":"&amp;CHAR(34)&amp;B225&amp;CHAR(34)&amp;","&amp;CHAR(34)&amp;"type"&amp;CHAR(34)&amp;":"&amp;CHAR(34)&amp;F225&amp;CHAR(34)&amp;","&amp;CHAR(34)&amp;"xlsform_type"&amp;CHAR(34)&amp;":"&amp;CHAR(34)&amp;C225&amp;CHAR(34)&amp;","&amp;CHAR(34)&amp;"commitment"&amp;CHAR(34)&amp;":"&amp;CHAR(34)&amp;IF(F225="sha256","text-utf8-sha256","value")&amp;CHAR(34)&amp;","&amp;CHAR(34)&amp;"transform"&amp;CHAR(34)&amp;":"&amp;CHAR(34)&amp;G225&amp;CHAR(34)&amp;"}")</f>
        <v/>
      </c>
      <c r="I225">
        <f>IF(E225&lt;&gt;"INCLUDE","","'|"&amp;B225&amp;"=', "&amp;IF(F225="date","if(string-length(string(${"&amp;B225&amp;"})) &gt; 0, format-date(${"&amp;B225&amp;"}, '%Y-%m-%d'), '')",IF(F225="sha256","digest(string(${"&amp;B225&amp;"}), 'SHA-256', 'hex')","string(${"&amp;B225&amp;"})")))</f>
        <v/>
      </c>
      <c r="J225">
        <f>IF(E225="INCLUDE","Included by explicit yes","Not included")</f>
        <v/>
      </c>
      <c r="K225">
        <f>K224&amp;IF(H225="","",","&amp;H225)</f>
        <v/>
      </c>
      <c r="L225">
        <f>L224&amp;IF(I225="","",","&amp;I225)</f>
        <v/>
      </c>
    </row>
    <row r="226">
      <c r="A226" t="n">
        <v>243</v>
      </c>
      <c r="B226">
        <f>survey!B243</f>
        <v/>
      </c>
      <c r="C226">
        <f>survey!A243</f>
        <v/>
      </c>
      <c r="D226" t="inlineStr"/>
      <c r="E226">
        <f>IF(OR(B226="",C226=""),"",IF(LOWER(D226)="yes","INCLUDE","EXCLUDE"))</f>
        <v/>
      </c>
      <c r="F226">
        <f>IF(E226&lt;&gt;"INCLUDE","",IF(LEFT(LOWER(C226),10)="select_one ","select_one",IF(LOWER(C226)="date","date",IF(OR(LOWER(C226)="integer",LOWER(C226)="decimal",LOWER(C226)="range"),LOWER(C226),"sha256"))))</f>
        <v/>
      </c>
      <c r="G226">
        <f>IF(E226&lt;&gt;"INCLUDE","",IF(F226="date","yyyy-mm-dd",IF(F226="select_one","stored-choice-name",IF(F226="sha256","odk-lexical-utf8-sha256","odk-canonical-scalar"))))</f>
        <v/>
      </c>
      <c r="H226">
        <f>IF(E226&lt;&gt;"INCLUDE","","{"&amp;CHAR(34)&amp;"path"&amp;CHAR(34)&amp;":"&amp;CHAR(34)&amp;B226&amp;CHAR(34)&amp;","&amp;CHAR(34)&amp;"type"&amp;CHAR(34)&amp;":"&amp;CHAR(34)&amp;F226&amp;CHAR(34)&amp;","&amp;CHAR(34)&amp;"xlsform_type"&amp;CHAR(34)&amp;":"&amp;CHAR(34)&amp;C226&amp;CHAR(34)&amp;","&amp;CHAR(34)&amp;"commitment"&amp;CHAR(34)&amp;":"&amp;CHAR(34)&amp;IF(F226="sha256","text-utf8-sha256","value")&amp;CHAR(34)&amp;","&amp;CHAR(34)&amp;"transform"&amp;CHAR(34)&amp;":"&amp;CHAR(34)&amp;G226&amp;CHAR(34)&amp;"}")</f>
        <v/>
      </c>
      <c r="I226">
        <f>IF(E226&lt;&gt;"INCLUDE","","'|"&amp;B226&amp;"=', "&amp;IF(F226="date","if(string-length(string(${"&amp;B226&amp;"})) &gt; 0, format-date(${"&amp;B226&amp;"}, '%Y-%m-%d'), '')",IF(F226="sha256","digest(string(${"&amp;B226&amp;"}), 'SHA-256', 'hex')","string(${"&amp;B226&amp;"})")))</f>
        <v/>
      </c>
      <c r="J226">
        <f>IF(E226="INCLUDE","Included by explicit yes","Not included")</f>
        <v/>
      </c>
      <c r="K226">
        <f>K225&amp;IF(H226="","",","&amp;H226)</f>
        <v/>
      </c>
      <c r="L226">
        <f>L225&amp;IF(I226="","",","&amp;I226)</f>
        <v/>
      </c>
    </row>
    <row r="227">
      <c r="A227" t="n">
        <v>244</v>
      </c>
      <c r="B227">
        <f>survey!B244</f>
        <v/>
      </c>
      <c r="C227">
        <f>survey!A244</f>
        <v/>
      </c>
      <c r="D227" t="inlineStr"/>
      <c r="E227">
        <f>IF(OR(B227="",C227=""),"",IF(LOWER(D227)="yes","INCLUDE","EXCLUDE"))</f>
        <v/>
      </c>
      <c r="F227">
        <f>IF(E227&lt;&gt;"INCLUDE","",IF(LEFT(LOWER(C227),10)="select_one ","select_one",IF(LOWER(C227)="date","date",IF(OR(LOWER(C227)="integer",LOWER(C227)="decimal",LOWER(C227)="range"),LOWER(C227),"sha256"))))</f>
        <v/>
      </c>
      <c r="G227">
        <f>IF(E227&lt;&gt;"INCLUDE","",IF(F227="date","yyyy-mm-dd",IF(F227="select_one","stored-choice-name",IF(F227="sha256","odk-lexical-utf8-sha256","odk-canonical-scalar"))))</f>
        <v/>
      </c>
      <c r="H227">
        <f>IF(E227&lt;&gt;"INCLUDE","","{"&amp;CHAR(34)&amp;"path"&amp;CHAR(34)&amp;":"&amp;CHAR(34)&amp;B227&amp;CHAR(34)&amp;","&amp;CHAR(34)&amp;"type"&amp;CHAR(34)&amp;":"&amp;CHAR(34)&amp;F227&amp;CHAR(34)&amp;","&amp;CHAR(34)&amp;"xlsform_type"&amp;CHAR(34)&amp;":"&amp;CHAR(34)&amp;C227&amp;CHAR(34)&amp;","&amp;CHAR(34)&amp;"commitment"&amp;CHAR(34)&amp;":"&amp;CHAR(34)&amp;IF(F227="sha256","text-utf8-sha256","value")&amp;CHAR(34)&amp;","&amp;CHAR(34)&amp;"transform"&amp;CHAR(34)&amp;":"&amp;CHAR(34)&amp;G227&amp;CHAR(34)&amp;"}")</f>
        <v/>
      </c>
      <c r="I227">
        <f>IF(E227&lt;&gt;"INCLUDE","","'|"&amp;B227&amp;"=', "&amp;IF(F227="date","if(string-length(string(${"&amp;B227&amp;"})) &gt; 0, format-date(${"&amp;B227&amp;"}, '%Y-%m-%d'), '')",IF(F227="sha256","digest(string(${"&amp;B227&amp;"}), 'SHA-256', 'hex')","string(${"&amp;B227&amp;"})")))</f>
        <v/>
      </c>
      <c r="J227">
        <f>IF(E227="INCLUDE","Included by explicit yes","Not included")</f>
        <v/>
      </c>
      <c r="K227">
        <f>K226&amp;IF(H227="","",","&amp;H227)</f>
        <v/>
      </c>
      <c r="L227">
        <f>L226&amp;IF(I227="","",","&amp;I227)</f>
        <v/>
      </c>
    </row>
    <row r="228">
      <c r="A228" t="n">
        <v>245</v>
      </c>
      <c r="B228">
        <f>survey!B245</f>
        <v/>
      </c>
      <c r="C228">
        <f>survey!A245</f>
        <v/>
      </c>
      <c r="D228" t="inlineStr"/>
      <c r="E228">
        <f>IF(OR(B228="",C228=""),"",IF(LOWER(D228)="yes","INCLUDE","EXCLUDE"))</f>
        <v/>
      </c>
      <c r="F228">
        <f>IF(E228&lt;&gt;"INCLUDE","",IF(LEFT(LOWER(C228),10)="select_one ","select_one",IF(LOWER(C228)="date","date",IF(OR(LOWER(C228)="integer",LOWER(C228)="decimal",LOWER(C228)="range"),LOWER(C228),"sha256"))))</f>
        <v/>
      </c>
      <c r="G228">
        <f>IF(E228&lt;&gt;"INCLUDE","",IF(F228="date","yyyy-mm-dd",IF(F228="select_one","stored-choice-name",IF(F228="sha256","odk-lexical-utf8-sha256","odk-canonical-scalar"))))</f>
        <v/>
      </c>
      <c r="H228">
        <f>IF(E228&lt;&gt;"INCLUDE","","{"&amp;CHAR(34)&amp;"path"&amp;CHAR(34)&amp;":"&amp;CHAR(34)&amp;B228&amp;CHAR(34)&amp;","&amp;CHAR(34)&amp;"type"&amp;CHAR(34)&amp;":"&amp;CHAR(34)&amp;F228&amp;CHAR(34)&amp;","&amp;CHAR(34)&amp;"xlsform_type"&amp;CHAR(34)&amp;":"&amp;CHAR(34)&amp;C228&amp;CHAR(34)&amp;","&amp;CHAR(34)&amp;"commitment"&amp;CHAR(34)&amp;":"&amp;CHAR(34)&amp;IF(F228="sha256","text-utf8-sha256","value")&amp;CHAR(34)&amp;","&amp;CHAR(34)&amp;"transform"&amp;CHAR(34)&amp;":"&amp;CHAR(34)&amp;G228&amp;CHAR(34)&amp;"}")</f>
        <v/>
      </c>
      <c r="I228">
        <f>IF(E228&lt;&gt;"INCLUDE","","'|"&amp;B228&amp;"=', "&amp;IF(F228="date","if(string-length(string(${"&amp;B228&amp;"})) &gt; 0, format-date(${"&amp;B228&amp;"}, '%Y-%m-%d'), '')",IF(F228="sha256","digest(string(${"&amp;B228&amp;"}), 'SHA-256', 'hex')","string(${"&amp;B228&amp;"})")))</f>
        <v/>
      </c>
      <c r="J228">
        <f>IF(E228="INCLUDE","Included by explicit yes","Not included")</f>
        <v/>
      </c>
      <c r="K228">
        <f>K227&amp;IF(H228="","",","&amp;H228)</f>
        <v/>
      </c>
      <c r="L228">
        <f>L227&amp;IF(I228="","",","&amp;I228)</f>
        <v/>
      </c>
    </row>
    <row r="229">
      <c r="A229" t="n">
        <v>246</v>
      </c>
      <c r="B229">
        <f>survey!B246</f>
        <v/>
      </c>
      <c r="C229">
        <f>survey!A246</f>
        <v/>
      </c>
      <c r="D229" t="inlineStr"/>
      <c r="E229">
        <f>IF(OR(B229="",C229=""),"",IF(LOWER(D229)="yes","INCLUDE","EXCLUDE"))</f>
        <v/>
      </c>
      <c r="F229">
        <f>IF(E229&lt;&gt;"INCLUDE","",IF(LEFT(LOWER(C229),10)="select_one ","select_one",IF(LOWER(C229)="date","date",IF(OR(LOWER(C229)="integer",LOWER(C229)="decimal",LOWER(C229)="range"),LOWER(C229),"sha256"))))</f>
        <v/>
      </c>
      <c r="G229">
        <f>IF(E229&lt;&gt;"INCLUDE","",IF(F229="date","yyyy-mm-dd",IF(F229="select_one","stored-choice-name",IF(F229="sha256","odk-lexical-utf8-sha256","odk-canonical-scalar"))))</f>
        <v/>
      </c>
      <c r="H229">
        <f>IF(E229&lt;&gt;"INCLUDE","","{"&amp;CHAR(34)&amp;"path"&amp;CHAR(34)&amp;":"&amp;CHAR(34)&amp;B229&amp;CHAR(34)&amp;","&amp;CHAR(34)&amp;"type"&amp;CHAR(34)&amp;":"&amp;CHAR(34)&amp;F229&amp;CHAR(34)&amp;","&amp;CHAR(34)&amp;"xlsform_type"&amp;CHAR(34)&amp;":"&amp;CHAR(34)&amp;C229&amp;CHAR(34)&amp;","&amp;CHAR(34)&amp;"commitment"&amp;CHAR(34)&amp;":"&amp;CHAR(34)&amp;IF(F229="sha256","text-utf8-sha256","value")&amp;CHAR(34)&amp;","&amp;CHAR(34)&amp;"transform"&amp;CHAR(34)&amp;":"&amp;CHAR(34)&amp;G229&amp;CHAR(34)&amp;"}")</f>
        <v/>
      </c>
      <c r="I229">
        <f>IF(E229&lt;&gt;"INCLUDE","","'|"&amp;B229&amp;"=', "&amp;IF(F229="date","if(string-length(string(${"&amp;B229&amp;"})) &gt; 0, format-date(${"&amp;B229&amp;"}, '%Y-%m-%d'), '')",IF(F229="sha256","digest(string(${"&amp;B229&amp;"}), 'SHA-256', 'hex')","string(${"&amp;B229&amp;"})")))</f>
        <v/>
      </c>
      <c r="J229">
        <f>IF(E229="INCLUDE","Included by explicit yes","Not included")</f>
        <v/>
      </c>
      <c r="K229">
        <f>K228&amp;IF(H229="","",","&amp;H229)</f>
        <v/>
      </c>
      <c r="L229">
        <f>L228&amp;IF(I229="","",","&amp;I229)</f>
        <v/>
      </c>
    </row>
    <row r="230">
      <c r="A230" t="n">
        <v>247</v>
      </c>
      <c r="B230">
        <f>survey!B247</f>
        <v/>
      </c>
      <c r="C230">
        <f>survey!A247</f>
        <v/>
      </c>
      <c r="D230" t="inlineStr"/>
      <c r="E230">
        <f>IF(OR(B230="",C230=""),"",IF(LOWER(D230)="yes","INCLUDE","EXCLUDE"))</f>
        <v/>
      </c>
      <c r="F230">
        <f>IF(E230&lt;&gt;"INCLUDE","",IF(LEFT(LOWER(C230),10)="select_one ","select_one",IF(LOWER(C230)="date","date",IF(OR(LOWER(C230)="integer",LOWER(C230)="decimal",LOWER(C230)="range"),LOWER(C230),"sha256"))))</f>
        <v/>
      </c>
      <c r="G230">
        <f>IF(E230&lt;&gt;"INCLUDE","",IF(F230="date","yyyy-mm-dd",IF(F230="select_one","stored-choice-name",IF(F230="sha256","odk-lexical-utf8-sha256","odk-canonical-scalar"))))</f>
        <v/>
      </c>
      <c r="H230">
        <f>IF(E230&lt;&gt;"INCLUDE","","{"&amp;CHAR(34)&amp;"path"&amp;CHAR(34)&amp;":"&amp;CHAR(34)&amp;B230&amp;CHAR(34)&amp;","&amp;CHAR(34)&amp;"type"&amp;CHAR(34)&amp;":"&amp;CHAR(34)&amp;F230&amp;CHAR(34)&amp;","&amp;CHAR(34)&amp;"xlsform_type"&amp;CHAR(34)&amp;":"&amp;CHAR(34)&amp;C230&amp;CHAR(34)&amp;","&amp;CHAR(34)&amp;"commitment"&amp;CHAR(34)&amp;":"&amp;CHAR(34)&amp;IF(F230="sha256","text-utf8-sha256","value")&amp;CHAR(34)&amp;","&amp;CHAR(34)&amp;"transform"&amp;CHAR(34)&amp;":"&amp;CHAR(34)&amp;G230&amp;CHAR(34)&amp;"}")</f>
        <v/>
      </c>
      <c r="I230">
        <f>IF(E230&lt;&gt;"INCLUDE","","'|"&amp;B230&amp;"=', "&amp;IF(F230="date","if(string-length(string(${"&amp;B230&amp;"})) &gt; 0, format-date(${"&amp;B230&amp;"}, '%Y-%m-%d'), '')",IF(F230="sha256","digest(string(${"&amp;B230&amp;"}), 'SHA-256', 'hex')","string(${"&amp;B230&amp;"})")))</f>
        <v/>
      </c>
      <c r="J230">
        <f>IF(E230="INCLUDE","Included by explicit yes","Not included")</f>
        <v/>
      </c>
      <c r="K230">
        <f>K229&amp;IF(H230="","",","&amp;H230)</f>
        <v/>
      </c>
      <c r="L230">
        <f>L229&amp;IF(I230="","",","&amp;I230)</f>
        <v/>
      </c>
    </row>
    <row r="231">
      <c r="A231" t="n">
        <v>248</v>
      </c>
      <c r="B231">
        <f>survey!B248</f>
        <v/>
      </c>
      <c r="C231">
        <f>survey!A248</f>
        <v/>
      </c>
      <c r="D231" t="inlineStr"/>
      <c r="E231">
        <f>IF(OR(B231="",C231=""),"",IF(LOWER(D231)="yes","INCLUDE","EXCLUDE"))</f>
        <v/>
      </c>
      <c r="F231">
        <f>IF(E231&lt;&gt;"INCLUDE","",IF(LEFT(LOWER(C231),10)="select_one ","select_one",IF(LOWER(C231)="date","date",IF(OR(LOWER(C231)="integer",LOWER(C231)="decimal",LOWER(C231)="range"),LOWER(C231),"sha256"))))</f>
        <v/>
      </c>
      <c r="G231">
        <f>IF(E231&lt;&gt;"INCLUDE","",IF(F231="date","yyyy-mm-dd",IF(F231="select_one","stored-choice-name",IF(F231="sha256","odk-lexical-utf8-sha256","odk-canonical-scalar"))))</f>
        <v/>
      </c>
      <c r="H231">
        <f>IF(E231&lt;&gt;"INCLUDE","","{"&amp;CHAR(34)&amp;"path"&amp;CHAR(34)&amp;":"&amp;CHAR(34)&amp;B231&amp;CHAR(34)&amp;","&amp;CHAR(34)&amp;"type"&amp;CHAR(34)&amp;":"&amp;CHAR(34)&amp;F231&amp;CHAR(34)&amp;","&amp;CHAR(34)&amp;"xlsform_type"&amp;CHAR(34)&amp;":"&amp;CHAR(34)&amp;C231&amp;CHAR(34)&amp;","&amp;CHAR(34)&amp;"commitment"&amp;CHAR(34)&amp;":"&amp;CHAR(34)&amp;IF(F231="sha256","text-utf8-sha256","value")&amp;CHAR(34)&amp;","&amp;CHAR(34)&amp;"transform"&amp;CHAR(34)&amp;":"&amp;CHAR(34)&amp;G231&amp;CHAR(34)&amp;"}")</f>
        <v/>
      </c>
      <c r="I231">
        <f>IF(E231&lt;&gt;"INCLUDE","","'|"&amp;B231&amp;"=', "&amp;IF(F231="date","if(string-length(string(${"&amp;B231&amp;"})) &gt; 0, format-date(${"&amp;B231&amp;"}, '%Y-%m-%d'), '')",IF(F231="sha256","digest(string(${"&amp;B231&amp;"}), 'SHA-256', 'hex')","string(${"&amp;B231&amp;"})")))</f>
        <v/>
      </c>
      <c r="J231">
        <f>IF(E231="INCLUDE","Included by explicit yes","Not included")</f>
        <v/>
      </c>
      <c r="K231">
        <f>K230&amp;IF(H231="","",","&amp;H231)</f>
        <v/>
      </c>
      <c r="L231">
        <f>L230&amp;IF(I231="","",","&amp;I231)</f>
        <v/>
      </c>
    </row>
    <row r="232">
      <c r="A232" t="n">
        <v>249</v>
      </c>
      <c r="B232">
        <f>survey!B249</f>
        <v/>
      </c>
      <c r="C232">
        <f>survey!A249</f>
        <v/>
      </c>
      <c r="D232" t="inlineStr"/>
      <c r="E232">
        <f>IF(OR(B232="",C232=""),"",IF(LOWER(D232)="yes","INCLUDE","EXCLUDE"))</f>
        <v/>
      </c>
      <c r="F232">
        <f>IF(E232&lt;&gt;"INCLUDE","",IF(LEFT(LOWER(C232),10)="select_one ","select_one",IF(LOWER(C232)="date","date",IF(OR(LOWER(C232)="integer",LOWER(C232)="decimal",LOWER(C232)="range"),LOWER(C232),"sha256"))))</f>
        <v/>
      </c>
      <c r="G232">
        <f>IF(E232&lt;&gt;"INCLUDE","",IF(F232="date","yyyy-mm-dd",IF(F232="select_one","stored-choice-name",IF(F232="sha256","odk-lexical-utf8-sha256","odk-canonical-scalar"))))</f>
        <v/>
      </c>
      <c r="H232">
        <f>IF(E232&lt;&gt;"INCLUDE","","{"&amp;CHAR(34)&amp;"path"&amp;CHAR(34)&amp;":"&amp;CHAR(34)&amp;B232&amp;CHAR(34)&amp;","&amp;CHAR(34)&amp;"type"&amp;CHAR(34)&amp;":"&amp;CHAR(34)&amp;F232&amp;CHAR(34)&amp;","&amp;CHAR(34)&amp;"xlsform_type"&amp;CHAR(34)&amp;":"&amp;CHAR(34)&amp;C232&amp;CHAR(34)&amp;","&amp;CHAR(34)&amp;"commitment"&amp;CHAR(34)&amp;":"&amp;CHAR(34)&amp;IF(F232="sha256","text-utf8-sha256","value")&amp;CHAR(34)&amp;","&amp;CHAR(34)&amp;"transform"&amp;CHAR(34)&amp;":"&amp;CHAR(34)&amp;G232&amp;CHAR(34)&amp;"}")</f>
        <v/>
      </c>
      <c r="I232">
        <f>IF(E232&lt;&gt;"INCLUDE","","'|"&amp;B232&amp;"=', "&amp;IF(F232="date","if(string-length(string(${"&amp;B232&amp;"})) &gt; 0, format-date(${"&amp;B232&amp;"}, '%Y-%m-%d'), '')",IF(F232="sha256","digest(string(${"&amp;B232&amp;"}), 'SHA-256', 'hex')","string(${"&amp;B232&amp;"})")))</f>
        <v/>
      </c>
      <c r="J232">
        <f>IF(E232="INCLUDE","Included by explicit yes","Not included")</f>
        <v/>
      </c>
      <c r="K232">
        <f>K231&amp;IF(H232="","",","&amp;H232)</f>
        <v/>
      </c>
      <c r="L232">
        <f>L231&amp;IF(I232="","",","&amp;I232)</f>
        <v/>
      </c>
    </row>
    <row r="233">
      <c r="A233" t="n">
        <v>250</v>
      </c>
      <c r="B233">
        <f>survey!B250</f>
        <v/>
      </c>
      <c r="C233">
        <f>survey!A250</f>
        <v/>
      </c>
      <c r="D233" t="inlineStr"/>
      <c r="E233">
        <f>IF(OR(B233="",C233=""),"",IF(LOWER(D233)="yes","INCLUDE","EXCLUDE"))</f>
        <v/>
      </c>
      <c r="F233">
        <f>IF(E233&lt;&gt;"INCLUDE","",IF(LEFT(LOWER(C233),10)="select_one ","select_one",IF(LOWER(C233)="date","date",IF(OR(LOWER(C233)="integer",LOWER(C233)="decimal",LOWER(C233)="range"),LOWER(C233),"sha256"))))</f>
        <v/>
      </c>
      <c r="G233">
        <f>IF(E233&lt;&gt;"INCLUDE","",IF(F233="date","yyyy-mm-dd",IF(F233="select_one","stored-choice-name",IF(F233="sha256","odk-lexical-utf8-sha256","odk-canonical-scalar"))))</f>
        <v/>
      </c>
      <c r="H233">
        <f>IF(E233&lt;&gt;"INCLUDE","","{"&amp;CHAR(34)&amp;"path"&amp;CHAR(34)&amp;":"&amp;CHAR(34)&amp;B233&amp;CHAR(34)&amp;","&amp;CHAR(34)&amp;"type"&amp;CHAR(34)&amp;":"&amp;CHAR(34)&amp;F233&amp;CHAR(34)&amp;","&amp;CHAR(34)&amp;"xlsform_type"&amp;CHAR(34)&amp;":"&amp;CHAR(34)&amp;C233&amp;CHAR(34)&amp;","&amp;CHAR(34)&amp;"commitment"&amp;CHAR(34)&amp;":"&amp;CHAR(34)&amp;IF(F233="sha256","text-utf8-sha256","value")&amp;CHAR(34)&amp;","&amp;CHAR(34)&amp;"transform"&amp;CHAR(34)&amp;":"&amp;CHAR(34)&amp;G233&amp;CHAR(34)&amp;"}")</f>
        <v/>
      </c>
      <c r="I233">
        <f>IF(E233&lt;&gt;"INCLUDE","","'|"&amp;B233&amp;"=', "&amp;IF(F233="date","if(string-length(string(${"&amp;B233&amp;"})) &gt; 0, format-date(${"&amp;B233&amp;"}, '%Y-%m-%d'), '')",IF(F233="sha256","digest(string(${"&amp;B233&amp;"}), 'SHA-256', 'hex')","string(${"&amp;B233&amp;"})")))</f>
        <v/>
      </c>
      <c r="J233">
        <f>IF(E233="INCLUDE","Included by explicit yes","Not included")</f>
        <v/>
      </c>
      <c r="K233">
        <f>K232&amp;IF(H233="","",","&amp;H233)</f>
        <v/>
      </c>
      <c r="L233">
        <f>L232&amp;IF(I233="","",","&amp;I233)</f>
        <v/>
      </c>
    </row>
    <row r="234">
      <c r="A234" t="n">
        <v>251</v>
      </c>
      <c r="B234">
        <f>survey!B251</f>
        <v/>
      </c>
      <c r="C234">
        <f>survey!A251</f>
        <v/>
      </c>
      <c r="D234" t="inlineStr"/>
      <c r="E234">
        <f>IF(OR(B234="",C234=""),"",IF(LOWER(D234)="yes","INCLUDE","EXCLUDE"))</f>
        <v/>
      </c>
      <c r="F234">
        <f>IF(E234&lt;&gt;"INCLUDE","",IF(LEFT(LOWER(C234),10)="select_one ","select_one",IF(LOWER(C234)="date","date",IF(OR(LOWER(C234)="integer",LOWER(C234)="decimal",LOWER(C234)="range"),LOWER(C234),"sha256"))))</f>
        <v/>
      </c>
      <c r="G234">
        <f>IF(E234&lt;&gt;"INCLUDE","",IF(F234="date","yyyy-mm-dd",IF(F234="select_one","stored-choice-name",IF(F234="sha256","odk-lexical-utf8-sha256","odk-canonical-scalar"))))</f>
        <v/>
      </c>
      <c r="H234">
        <f>IF(E234&lt;&gt;"INCLUDE","","{"&amp;CHAR(34)&amp;"path"&amp;CHAR(34)&amp;":"&amp;CHAR(34)&amp;B234&amp;CHAR(34)&amp;","&amp;CHAR(34)&amp;"type"&amp;CHAR(34)&amp;":"&amp;CHAR(34)&amp;F234&amp;CHAR(34)&amp;","&amp;CHAR(34)&amp;"xlsform_type"&amp;CHAR(34)&amp;":"&amp;CHAR(34)&amp;C234&amp;CHAR(34)&amp;","&amp;CHAR(34)&amp;"commitment"&amp;CHAR(34)&amp;":"&amp;CHAR(34)&amp;IF(F234="sha256","text-utf8-sha256","value")&amp;CHAR(34)&amp;","&amp;CHAR(34)&amp;"transform"&amp;CHAR(34)&amp;":"&amp;CHAR(34)&amp;G234&amp;CHAR(34)&amp;"}")</f>
        <v/>
      </c>
      <c r="I234">
        <f>IF(E234&lt;&gt;"INCLUDE","","'|"&amp;B234&amp;"=', "&amp;IF(F234="date","if(string-length(string(${"&amp;B234&amp;"})) &gt; 0, format-date(${"&amp;B234&amp;"}, '%Y-%m-%d'), '')",IF(F234="sha256","digest(string(${"&amp;B234&amp;"}), 'SHA-256', 'hex')","string(${"&amp;B234&amp;"})")))</f>
        <v/>
      </c>
      <c r="J234">
        <f>IF(E234="INCLUDE","Included by explicit yes","Not included")</f>
        <v/>
      </c>
      <c r="K234">
        <f>K233&amp;IF(H234="","",","&amp;H234)</f>
        <v/>
      </c>
      <c r="L234">
        <f>L233&amp;IF(I234="","",","&amp;I234)</f>
        <v/>
      </c>
    </row>
    <row r="235">
      <c r="A235" t="n">
        <v>252</v>
      </c>
      <c r="B235">
        <f>survey!B252</f>
        <v/>
      </c>
      <c r="C235">
        <f>survey!A252</f>
        <v/>
      </c>
      <c r="D235" t="inlineStr"/>
      <c r="E235">
        <f>IF(OR(B235="",C235=""),"",IF(LOWER(D235)="yes","INCLUDE","EXCLUDE"))</f>
        <v/>
      </c>
      <c r="F235">
        <f>IF(E235&lt;&gt;"INCLUDE","",IF(LEFT(LOWER(C235),10)="select_one ","select_one",IF(LOWER(C235)="date","date",IF(OR(LOWER(C235)="integer",LOWER(C235)="decimal",LOWER(C235)="range"),LOWER(C235),"sha256"))))</f>
        <v/>
      </c>
      <c r="G235">
        <f>IF(E235&lt;&gt;"INCLUDE","",IF(F235="date","yyyy-mm-dd",IF(F235="select_one","stored-choice-name",IF(F235="sha256","odk-lexical-utf8-sha256","odk-canonical-scalar"))))</f>
        <v/>
      </c>
      <c r="H235">
        <f>IF(E235&lt;&gt;"INCLUDE","","{"&amp;CHAR(34)&amp;"path"&amp;CHAR(34)&amp;":"&amp;CHAR(34)&amp;B235&amp;CHAR(34)&amp;","&amp;CHAR(34)&amp;"type"&amp;CHAR(34)&amp;":"&amp;CHAR(34)&amp;F235&amp;CHAR(34)&amp;","&amp;CHAR(34)&amp;"xlsform_type"&amp;CHAR(34)&amp;":"&amp;CHAR(34)&amp;C235&amp;CHAR(34)&amp;","&amp;CHAR(34)&amp;"commitment"&amp;CHAR(34)&amp;":"&amp;CHAR(34)&amp;IF(F235="sha256","text-utf8-sha256","value")&amp;CHAR(34)&amp;","&amp;CHAR(34)&amp;"transform"&amp;CHAR(34)&amp;":"&amp;CHAR(34)&amp;G235&amp;CHAR(34)&amp;"}")</f>
        <v/>
      </c>
      <c r="I235">
        <f>IF(E235&lt;&gt;"INCLUDE","","'|"&amp;B235&amp;"=', "&amp;IF(F235="date","if(string-length(string(${"&amp;B235&amp;"})) &gt; 0, format-date(${"&amp;B235&amp;"}, '%Y-%m-%d'), '')",IF(F235="sha256","digest(string(${"&amp;B235&amp;"}), 'SHA-256', 'hex')","string(${"&amp;B235&amp;"})")))</f>
        <v/>
      </c>
      <c r="J235">
        <f>IF(E235="INCLUDE","Included by explicit yes","Not included")</f>
        <v/>
      </c>
      <c r="K235">
        <f>K234&amp;IF(H235="","",","&amp;H235)</f>
        <v/>
      </c>
      <c r="L235">
        <f>L234&amp;IF(I235="","",","&amp;I235)</f>
        <v/>
      </c>
    </row>
    <row r="236">
      <c r="A236" t="n">
        <v>253</v>
      </c>
      <c r="B236">
        <f>survey!B253</f>
        <v/>
      </c>
      <c r="C236">
        <f>survey!A253</f>
        <v/>
      </c>
      <c r="D236" t="inlineStr"/>
      <c r="E236">
        <f>IF(OR(B236="",C236=""),"",IF(LOWER(D236)="yes","INCLUDE","EXCLUDE"))</f>
        <v/>
      </c>
      <c r="F236">
        <f>IF(E236&lt;&gt;"INCLUDE","",IF(LEFT(LOWER(C236),10)="select_one ","select_one",IF(LOWER(C236)="date","date",IF(OR(LOWER(C236)="integer",LOWER(C236)="decimal",LOWER(C236)="range"),LOWER(C236),"sha256"))))</f>
        <v/>
      </c>
      <c r="G236">
        <f>IF(E236&lt;&gt;"INCLUDE","",IF(F236="date","yyyy-mm-dd",IF(F236="select_one","stored-choice-name",IF(F236="sha256","odk-lexical-utf8-sha256","odk-canonical-scalar"))))</f>
        <v/>
      </c>
      <c r="H236">
        <f>IF(E236&lt;&gt;"INCLUDE","","{"&amp;CHAR(34)&amp;"path"&amp;CHAR(34)&amp;":"&amp;CHAR(34)&amp;B236&amp;CHAR(34)&amp;","&amp;CHAR(34)&amp;"type"&amp;CHAR(34)&amp;":"&amp;CHAR(34)&amp;F236&amp;CHAR(34)&amp;","&amp;CHAR(34)&amp;"xlsform_type"&amp;CHAR(34)&amp;":"&amp;CHAR(34)&amp;C236&amp;CHAR(34)&amp;","&amp;CHAR(34)&amp;"commitment"&amp;CHAR(34)&amp;":"&amp;CHAR(34)&amp;IF(F236="sha256","text-utf8-sha256","value")&amp;CHAR(34)&amp;","&amp;CHAR(34)&amp;"transform"&amp;CHAR(34)&amp;":"&amp;CHAR(34)&amp;G236&amp;CHAR(34)&amp;"}")</f>
        <v/>
      </c>
      <c r="I236">
        <f>IF(E236&lt;&gt;"INCLUDE","","'|"&amp;B236&amp;"=', "&amp;IF(F236="date","if(string-length(string(${"&amp;B236&amp;"})) &gt; 0, format-date(${"&amp;B236&amp;"}, '%Y-%m-%d'), '')",IF(F236="sha256","digest(string(${"&amp;B236&amp;"}), 'SHA-256', 'hex')","string(${"&amp;B236&amp;"})")))</f>
        <v/>
      </c>
      <c r="J236">
        <f>IF(E236="INCLUDE","Included by explicit yes","Not included")</f>
        <v/>
      </c>
      <c r="K236">
        <f>K235&amp;IF(H236="","",","&amp;H236)</f>
        <v/>
      </c>
      <c r="L236">
        <f>L235&amp;IF(I236="","",","&amp;I236)</f>
        <v/>
      </c>
    </row>
    <row r="237">
      <c r="A237" t="n">
        <v>254</v>
      </c>
      <c r="B237">
        <f>survey!B254</f>
        <v/>
      </c>
      <c r="C237">
        <f>survey!A254</f>
        <v/>
      </c>
      <c r="D237" t="inlineStr"/>
      <c r="E237">
        <f>IF(OR(B237="",C237=""),"",IF(LOWER(D237)="yes","INCLUDE","EXCLUDE"))</f>
        <v/>
      </c>
      <c r="F237">
        <f>IF(E237&lt;&gt;"INCLUDE","",IF(LEFT(LOWER(C237),10)="select_one ","select_one",IF(LOWER(C237)="date","date",IF(OR(LOWER(C237)="integer",LOWER(C237)="decimal",LOWER(C237)="range"),LOWER(C237),"sha256"))))</f>
        <v/>
      </c>
      <c r="G237">
        <f>IF(E237&lt;&gt;"INCLUDE","",IF(F237="date","yyyy-mm-dd",IF(F237="select_one","stored-choice-name",IF(F237="sha256","odk-lexical-utf8-sha256","odk-canonical-scalar"))))</f>
        <v/>
      </c>
      <c r="H237">
        <f>IF(E237&lt;&gt;"INCLUDE","","{"&amp;CHAR(34)&amp;"path"&amp;CHAR(34)&amp;":"&amp;CHAR(34)&amp;B237&amp;CHAR(34)&amp;","&amp;CHAR(34)&amp;"type"&amp;CHAR(34)&amp;":"&amp;CHAR(34)&amp;F237&amp;CHAR(34)&amp;","&amp;CHAR(34)&amp;"xlsform_type"&amp;CHAR(34)&amp;":"&amp;CHAR(34)&amp;C237&amp;CHAR(34)&amp;","&amp;CHAR(34)&amp;"commitment"&amp;CHAR(34)&amp;":"&amp;CHAR(34)&amp;IF(F237="sha256","text-utf8-sha256","value")&amp;CHAR(34)&amp;","&amp;CHAR(34)&amp;"transform"&amp;CHAR(34)&amp;":"&amp;CHAR(34)&amp;G237&amp;CHAR(34)&amp;"}")</f>
        <v/>
      </c>
      <c r="I237">
        <f>IF(E237&lt;&gt;"INCLUDE","","'|"&amp;B237&amp;"=', "&amp;IF(F237="date","if(string-length(string(${"&amp;B237&amp;"})) &gt; 0, format-date(${"&amp;B237&amp;"}, '%Y-%m-%d'), '')",IF(F237="sha256","digest(string(${"&amp;B237&amp;"}), 'SHA-256', 'hex')","string(${"&amp;B237&amp;"})")))</f>
        <v/>
      </c>
      <c r="J237">
        <f>IF(E237="INCLUDE","Included by explicit yes","Not included")</f>
        <v/>
      </c>
      <c r="K237">
        <f>K236&amp;IF(H237="","",","&amp;H237)</f>
        <v/>
      </c>
      <c r="L237">
        <f>L236&amp;IF(I237="","",","&amp;I237)</f>
        <v/>
      </c>
    </row>
    <row r="238">
      <c r="A238" t="n">
        <v>255</v>
      </c>
      <c r="B238">
        <f>survey!B255</f>
        <v/>
      </c>
      <c r="C238">
        <f>survey!A255</f>
        <v/>
      </c>
      <c r="D238" t="inlineStr"/>
      <c r="E238">
        <f>IF(OR(B238="",C238=""),"",IF(LOWER(D238)="yes","INCLUDE","EXCLUDE"))</f>
        <v/>
      </c>
      <c r="F238">
        <f>IF(E238&lt;&gt;"INCLUDE","",IF(LEFT(LOWER(C238),10)="select_one ","select_one",IF(LOWER(C238)="date","date",IF(OR(LOWER(C238)="integer",LOWER(C238)="decimal",LOWER(C238)="range"),LOWER(C238),"sha256"))))</f>
        <v/>
      </c>
      <c r="G238">
        <f>IF(E238&lt;&gt;"INCLUDE","",IF(F238="date","yyyy-mm-dd",IF(F238="select_one","stored-choice-name",IF(F238="sha256","odk-lexical-utf8-sha256","odk-canonical-scalar"))))</f>
        <v/>
      </c>
      <c r="H238">
        <f>IF(E238&lt;&gt;"INCLUDE","","{"&amp;CHAR(34)&amp;"path"&amp;CHAR(34)&amp;":"&amp;CHAR(34)&amp;B238&amp;CHAR(34)&amp;","&amp;CHAR(34)&amp;"type"&amp;CHAR(34)&amp;":"&amp;CHAR(34)&amp;F238&amp;CHAR(34)&amp;","&amp;CHAR(34)&amp;"xlsform_type"&amp;CHAR(34)&amp;":"&amp;CHAR(34)&amp;C238&amp;CHAR(34)&amp;","&amp;CHAR(34)&amp;"commitment"&amp;CHAR(34)&amp;":"&amp;CHAR(34)&amp;IF(F238="sha256","text-utf8-sha256","value")&amp;CHAR(34)&amp;","&amp;CHAR(34)&amp;"transform"&amp;CHAR(34)&amp;":"&amp;CHAR(34)&amp;G238&amp;CHAR(34)&amp;"}")</f>
        <v/>
      </c>
      <c r="I238">
        <f>IF(E238&lt;&gt;"INCLUDE","","'|"&amp;B238&amp;"=', "&amp;IF(F238="date","if(string-length(string(${"&amp;B238&amp;"})) &gt; 0, format-date(${"&amp;B238&amp;"}, '%Y-%m-%d'), '')",IF(F238="sha256","digest(string(${"&amp;B238&amp;"}), 'SHA-256', 'hex')","string(${"&amp;B238&amp;"})")))</f>
        <v/>
      </c>
      <c r="J238">
        <f>IF(E238="INCLUDE","Included by explicit yes","Not included")</f>
        <v/>
      </c>
      <c r="K238">
        <f>K237&amp;IF(H238="","",","&amp;H238)</f>
        <v/>
      </c>
      <c r="L238">
        <f>L237&amp;IF(I238="","",","&amp;I238)</f>
        <v/>
      </c>
    </row>
    <row r="239">
      <c r="A239" t="n">
        <v>256</v>
      </c>
      <c r="B239">
        <f>survey!B256</f>
        <v/>
      </c>
      <c r="C239">
        <f>survey!A256</f>
        <v/>
      </c>
      <c r="D239" t="inlineStr"/>
      <c r="E239">
        <f>IF(OR(B239="",C239=""),"",IF(LOWER(D239)="yes","INCLUDE","EXCLUDE"))</f>
        <v/>
      </c>
      <c r="F239">
        <f>IF(E239&lt;&gt;"INCLUDE","",IF(LEFT(LOWER(C239),10)="select_one ","select_one",IF(LOWER(C239)="date","date",IF(OR(LOWER(C239)="integer",LOWER(C239)="decimal",LOWER(C239)="range"),LOWER(C239),"sha256"))))</f>
        <v/>
      </c>
      <c r="G239">
        <f>IF(E239&lt;&gt;"INCLUDE","",IF(F239="date","yyyy-mm-dd",IF(F239="select_one","stored-choice-name",IF(F239="sha256","odk-lexical-utf8-sha256","odk-canonical-scalar"))))</f>
        <v/>
      </c>
      <c r="H239">
        <f>IF(E239&lt;&gt;"INCLUDE","","{"&amp;CHAR(34)&amp;"path"&amp;CHAR(34)&amp;":"&amp;CHAR(34)&amp;B239&amp;CHAR(34)&amp;","&amp;CHAR(34)&amp;"type"&amp;CHAR(34)&amp;":"&amp;CHAR(34)&amp;F239&amp;CHAR(34)&amp;","&amp;CHAR(34)&amp;"xlsform_type"&amp;CHAR(34)&amp;":"&amp;CHAR(34)&amp;C239&amp;CHAR(34)&amp;","&amp;CHAR(34)&amp;"commitment"&amp;CHAR(34)&amp;":"&amp;CHAR(34)&amp;IF(F239="sha256","text-utf8-sha256","value")&amp;CHAR(34)&amp;","&amp;CHAR(34)&amp;"transform"&amp;CHAR(34)&amp;":"&amp;CHAR(34)&amp;G239&amp;CHAR(34)&amp;"}")</f>
        <v/>
      </c>
      <c r="I239">
        <f>IF(E239&lt;&gt;"INCLUDE","","'|"&amp;B239&amp;"=', "&amp;IF(F239="date","if(string-length(string(${"&amp;B239&amp;"})) &gt; 0, format-date(${"&amp;B239&amp;"}, '%Y-%m-%d'), '')",IF(F239="sha256","digest(string(${"&amp;B239&amp;"}), 'SHA-256', 'hex')","string(${"&amp;B239&amp;"})")))</f>
        <v/>
      </c>
      <c r="J239">
        <f>IF(E239="INCLUDE","Included by explicit yes","Not included")</f>
        <v/>
      </c>
      <c r="K239">
        <f>K238&amp;IF(H239="","",","&amp;H239)</f>
        <v/>
      </c>
      <c r="L239">
        <f>L238&amp;IF(I239="","",","&amp;I239)</f>
        <v/>
      </c>
    </row>
    <row r="240">
      <c r="A240" t="n">
        <v>257</v>
      </c>
      <c r="B240">
        <f>survey!B257</f>
        <v/>
      </c>
      <c r="C240">
        <f>survey!A257</f>
        <v/>
      </c>
      <c r="D240" t="inlineStr"/>
      <c r="E240">
        <f>IF(OR(B240="",C240=""),"",IF(LOWER(D240)="yes","INCLUDE","EXCLUDE"))</f>
        <v/>
      </c>
      <c r="F240">
        <f>IF(E240&lt;&gt;"INCLUDE","",IF(LEFT(LOWER(C240),10)="select_one ","select_one",IF(LOWER(C240)="date","date",IF(OR(LOWER(C240)="integer",LOWER(C240)="decimal",LOWER(C240)="range"),LOWER(C240),"sha256"))))</f>
        <v/>
      </c>
      <c r="G240">
        <f>IF(E240&lt;&gt;"INCLUDE","",IF(F240="date","yyyy-mm-dd",IF(F240="select_one","stored-choice-name",IF(F240="sha256","odk-lexical-utf8-sha256","odk-canonical-scalar"))))</f>
        <v/>
      </c>
      <c r="H240">
        <f>IF(E240&lt;&gt;"INCLUDE","","{"&amp;CHAR(34)&amp;"path"&amp;CHAR(34)&amp;":"&amp;CHAR(34)&amp;B240&amp;CHAR(34)&amp;","&amp;CHAR(34)&amp;"type"&amp;CHAR(34)&amp;":"&amp;CHAR(34)&amp;F240&amp;CHAR(34)&amp;","&amp;CHAR(34)&amp;"xlsform_type"&amp;CHAR(34)&amp;":"&amp;CHAR(34)&amp;C240&amp;CHAR(34)&amp;","&amp;CHAR(34)&amp;"commitment"&amp;CHAR(34)&amp;":"&amp;CHAR(34)&amp;IF(F240="sha256","text-utf8-sha256","value")&amp;CHAR(34)&amp;","&amp;CHAR(34)&amp;"transform"&amp;CHAR(34)&amp;":"&amp;CHAR(34)&amp;G240&amp;CHAR(34)&amp;"}")</f>
        <v/>
      </c>
      <c r="I240">
        <f>IF(E240&lt;&gt;"INCLUDE","","'|"&amp;B240&amp;"=', "&amp;IF(F240="date","if(string-length(string(${"&amp;B240&amp;"})) &gt; 0, format-date(${"&amp;B240&amp;"}, '%Y-%m-%d'), '')",IF(F240="sha256","digest(string(${"&amp;B240&amp;"}), 'SHA-256', 'hex')","string(${"&amp;B240&amp;"})")))</f>
        <v/>
      </c>
      <c r="J240">
        <f>IF(E240="INCLUDE","Included by explicit yes","Not included")</f>
        <v/>
      </c>
      <c r="K240">
        <f>K239&amp;IF(H240="","",","&amp;H240)</f>
        <v/>
      </c>
      <c r="L240">
        <f>L239&amp;IF(I240="","",","&amp;I240)</f>
        <v/>
      </c>
    </row>
    <row r="241">
      <c r="A241" t="n">
        <v>258</v>
      </c>
      <c r="B241">
        <f>survey!B258</f>
        <v/>
      </c>
      <c r="C241">
        <f>survey!A258</f>
        <v/>
      </c>
      <c r="D241" t="inlineStr"/>
      <c r="E241">
        <f>IF(OR(B241="",C241=""),"",IF(LOWER(D241)="yes","INCLUDE","EXCLUDE"))</f>
        <v/>
      </c>
      <c r="F241">
        <f>IF(E241&lt;&gt;"INCLUDE","",IF(LEFT(LOWER(C241),10)="select_one ","select_one",IF(LOWER(C241)="date","date",IF(OR(LOWER(C241)="integer",LOWER(C241)="decimal",LOWER(C241)="range"),LOWER(C241),"sha256"))))</f>
        <v/>
      </c>
      <c r="G241">
        <f>IF(E241&lt;&gt;"INCLUDE","",IF(F241="date","yyyy-mm-dd",IF(F241="select_one","stored-choice-name",IF(F241="sha256","odk-lexical-utf8-sha256","odk-canonical-scalar"))))</f>
        <v/>
      </c>
      <c r="H241">
        <f>IF(E241&lt;&gt;"INCLUDE","","{"&amp;CHAR(34)&amp;"path"&amp;CHAR(34)&amp;":"&amp;CHAR(34)&amp;B241&amp;CHAR(34)&amp;","&amp;CHAR(34)&amp;"type"&amp;CHAR(34)&amp;":"&amp;CHAR(34)&amp;F241&amp;CHAR(34)&amp;","&amp;CHAR(34)&amp;"xlsform_type"&amp;CHAR(34)&amp;":"&amp;CHAR(34)&amp;C241&amp;CHAR(34)&amp;","&amp;CHAR(34)&amp;"commitment"&amp;CHAR(34)&amp;":"&amp;CHAR(34)&amp;IF(F241="sha256","text-utf8-sha256","value")&amp;CHAR(34)&amp;","&amp;CHAR(34)&amp;"transform"&amp;CHAR(34)&amp;":"&amp;CHAR(34)&amp;G241&amp;CHAR(34)&amp;"}")</f>
        <v/>
      </c>
      <c r="I241">
        <f>IF(E241&lt;&gt;"INCLUDE","","'|"&amp;B241&amp;"=', "&amp;IF(F241="date","if(string-length(string(${"&amp;B241&amp;"})) &gt; 0, format-date(${"&amp;B241&amp;"}, '%Y-%m-%d'), '')",IF(F241="sha256","digest(string(${"&amp;B241&amp;"}), 'SHA-256', 'hex')","string(${"&amp;B241&amp;"})")))</f>
        <v/>
      </c>
      <c r="J241">
        <f>IF(E241="INCLUDE","Included by explicit yes","Not included")</f>
        <v/>
      </c>
      <c r="K241">
        <f>K240&amp;IF(H241="","",","&amp;H241)</f>
        <v/>
      </c>
      <c r="L241">
        <f>L240&amp;IF(I241="","",","&amp;I241)</f>
        <v/>
      </c>
    </row>
    <row r="242">
      <c r="A242" t="n">
        <v>259</v>
      </c>
      <c r="B242">
        <f>survey!B259</f>
        <v/>
      </c>
      <c r="C242">
        <f>survey!A259</f>
        <v/>
      </c>
      <c r="D242" t="inlineStr"/>
      <c r="E242">
        <f>IF(OR(B242="",C242=""),"",IF(LOWER(D242)="yes","INCLUDE","EXCLUDE"))</f>
        <v/>
      </c>
      <c r="F242">
        <f>IF(E242&lt;&gt;"INCLUDE","",IF(LEFT(LOWER(C242),10)="select_one ","select_one",IF(LOWER(C242)="date","date",IF(OR(LOWER(C242)="integer",LOWER(C242)="decimal",LOWER(C242)="range"),LOWER(C242),"sha256"))))</f>
        <v/>
      </c>
      <c r="G242">
        <f>IF(E242&lt;&gt;"INCLUDE","",IF(F242="date","yyyy-mm-dd",IF(F242="select_one","stored-choice-name",IF(F242="sha256","odk-lexical-utf8-sha256","odk-canonical-scalar"))))</f>
        <v/>
      </c>
      <c r="H242">
        <f>IF(E242&lt;&gt;"INCLUDE","","{"&amp;CHAR(34)&amp;"path"&amp;CHAR(34)&amp;":"&amp;CHAR(34)&amp;B242&amp;CHAR(34)&amp;","&amp;CHAR(34)&amp;"type"&amp;CHAR(34)&amp;":"&amp;CHAR(34)&amp;F242&amp;CHAR(34)&amp;","&amp;CHAR(34)&amp;"xlsform_type"&amp;CHAR(34)&amp;":"&amp;CHAR(34)&amp;C242&amp;CHAR(34)&amp;","&amp;CHAR(34)&amp;"commitment"&amp;CHAR(34)&amp;":"&amp;CHAR(34)&amp;IF(F242="sha256","text-utf8-sha256","value")&amp;CHAR(34)&amp;","&amp;CHAR(34)&amp;"transform"&amp;CHAR(34)&amp;":"&amp;CHAR(34)&amp;G242&amp;CHAR(34)&amp;"}")</f>
        <v/>
      </c>
      <c r="I242">
        <f>IF(E242&lt;&gt;"INCLUDE","","'|"&amp;B242&amp;"=', "&amp;IF(F242="date","if(string-length(string(${"&amp;B242&amp;"})) &gt; 0, format-date(${"&amp;B242&amp;"}, '%Y-%m-%d'), '')",IF(F242="sha256","digest(string(${"&amp;B242&amp;"}), 'SHA-256', 'hex')","string(${"&amp;B242&amp;"})")))</f>
        <v/>
      </c>
      <c r="J242">
        <f>IF(E242="INCLUDE","Included by explicit yes","Not included")</f>
        <v/>
      </c>
      <c r="K242">
        <f>K241&amp;IF(H242="","",","&amp;H242)</f>
        <v/>
      </c>
      <c r="L242">
        <f>L241&amp;IF(I242="","",","&amp;I242)</f>
        <v/>
      </c>
    </row>
    <row r="243">
      <c r="A243" t="n">
        <v>260</v>
      </c>
      <c r="B243">
        <f>survey!B260</f>
        <v/>
      </c>
      <c r="C243">
        <f>survey!A260</f>
        <v/>
      </c>
      <c r="D243" t="inlineStr"/>
      <c r="E243">
        <f>IF(OR(B243="",C243=""),"",IF(LOWER(D243)="yes","INCLUDE","EXCLUDE"))</f>
        <v/>
      </c>
      <c r="F243">
        <f>IF(E243&lt;&gt;"INCLUDE","",IF(LEFT(LOWER(C243),10)="select_one ","select_one",IF(LOWER(C243)="date","date",IF(OR(LOWER(C243)="integer",LOWER(C243)="decimal",LOWER(C243)="range"),LOWER(C243),"sha256"))))</f>
        <v/>
      </c>
      <c r="G243">
        <f>IF(E243&lt;&gt;"INCLUDE","",IF(F243="date","yyyy-mm-dd",IF(F243="select_one","stored-choice-name",IF(F243="sha256","odk-lexical-utf8-sha256","odk-canonical-scalar"))))</f>
        <v/>
      </c>
      <c r="H243">
        <f>IF(E243&lt;&gt;"INCLUDE","","{"&amp;CHAR(34)&amp;"path"&amp;CHAR(34)&amp;":"&amp;CHAR(34)&amp;B243&amp;CHAR(34)&amp;","&amp;CHAR(34)&amp;"type"&amp;CHAR(34)&amp;":"&amp;CHAR(34)&amp;F243&amp;CHAR(34)&amp;","&amp;CHAR(34)&amp;"xlsform_type"&amp;CHAR(34)&amp;":"&amp;CHAR(34)&amp;C243&amp;CHAR(34)&amp;","&amp;CHAR(34)&amp;"commitment"&amp;CHAR(34)&amp;":"&amp;CHAR(34)&amp;IF(F243="sha256","text-utf8-sha256","value")&amp;CHAR(34)&amp;","&amp;CHAR(34)&amp;"transform"&amp;CHAR(34)&amp;":"&amp;CHAR(34)&amp;G243&amp;CHAR(34)&amp;"}")</f>
        <v/>
      </c>
      <c r="I243">
        <f>IF(E243&lt;&gt;"INCLUDE","","'|"&amp;B243&amp;"=', "&amp;IF(F243="date","if(string-length(string(${"&amp;B243&amp;"})) &gt; 0, format-date(${"&amp;B243&amp;"}, '%Y-%m-%d'), '')",IF(F243="sha256","digest(string(${"&amp;B243&amp;"}), 'SHA-256', 'hex')","string(${"&amp;B243&amp;"})")))</f>
        <v/>
      </c>
      <c r="J243">
        <f>IF(E243="INCLUDE","Included by explicit yes","Not included")</f>
        <v/>
      </c>
      <c r="K243">
        <f>K242&amp;IF(H243="","",","&amp;H243)</f>
        <v/>
      </c>
      <c r="L243">
        <f>L242&amp;IF(I243="","",","&amp;I243)</f>
        <v/>
      </c>
    </row>
    <row r="244">
      <c r="A244" t="n">
        <v>261</v>
      </c>
      <c r="B244">
        <f>survey!B261</f>
        <v/>
      </c>
      <c r="C244">
        <f>survey!A261</f>
        <v/>
      </c>
      <c r="D244" t="inlineStr"/>
      <c r="E244">
        <f>IF(OR(B244="",C244=""),"",IF(LOWER(D244)="yes","INCLUDE","EXCLUDE"))</f>
        <v/>
      </c>
      <c r="F244">
        <f>IF(E244&lt;&gt;"INCLUDE","",IF(LEFT(LOWER(C244),10)="select_one ","select_one",IF(LOWER(C244)="date","date",IF(OR(LOWER(C244)="integer",LOWER(C244)="decimal",LOWER(C244)="range"),LOWER(C244),"sha256"))))</f>
        <v/>
      </c>
      <c r="G244">
        <f>IF(E244&lt;&gt;"INCLUDE","",IF(F244="date","yyyy-mm-dd",IF(F244="select_one","stored-choice-name",IF(F244="sha256","odk-lexical-utf8-sha256","odk-canonical-scalar"))))</f>
        <v/>
      </c>
      <c r="H244">
        <f>IF(E244&lt;&gt;"INCLUDE","","{"&amp;CHAR(34)&amp;"path"&amp;CHAR(34)&amp;":"&amp;CHAR(34)&amp;B244&amp;CHAR(34)&amp;","&amp;CHAR(34)&amp;"type"&amp;CHAR(34)&amp;":"&amp;CHAR(34)&amp;F244&amp;CHAR(34)&amp;","&amp;CHAR(34)&amp;"xlsform_type"&amp;CHAR(34)&amp;":"&amp;CHAR(34)&amp;C244&amp;CHAR(34)&amp;","&amp;CHAR(34)&amp;"commitment"&amp;CHAR(34)&amp;":"&amp;CHAR(34)&amp;IF(F244="sha256","text-utf8-sha256","value")&amp;CHAR(34)&amp;","&amp;CHAR(34)&amp;"transform"&amp;CHAR(34)&amp;":"&amp;CHAR(34)&amp;G244&amp;CHAR(34)&amp;"}")</f>
        <v/>
      </c>
      <c r="I244">
        <f>IF(E244&lt;&gt;"INCLUDE","","'|"&amp;B244&amp;"=', "&amp;IF(F244="date","if(string-length(string(${"&amp;B244&amp;"})) &gt; 0, format-date(${"&amp;B244&amp;"}, '%Y-%m-%d'), '')",IF(F244="sha256","digest(string(${"&amp;B244&amp;"}), 'SHA-256', 'hex')","string(${"&amp;B244&amp;"})")))</f>
        <v/>
      </c>
      <c r="J244">
        <f>IF(E244="INCLUDE","Included by explicit yes","Not included")</f>
        <v/>
      </c>
      <c r="K244">
        <f>K243&amp;IF(H244="","",","&amp;H244)</f>
        <v/>
      </c>
      <c r="L244">
        <f>L243&amp;IF(I244="","",","&amp;I244)</f>
        <v/>
      </c>
    </row>
    <row r="245">
      <c r="A245" t="n">
        <v>262</v>
      </c>
      <c r="B245">
        <f>survey!B262</f>
        <v/>
      </c>
      <c r="C245">
        <f>survey!A262</f>
        <v/>
      </c>
      <c r="D245" t="inlineStr"/>
      <c r="E245">
        <f>IF(OR(B245="",C245=""),"",IF(LOWER(D245)="yes","INCLUDE","EXCLUDE"))</f>
        <v/>
      </c>
      <c r="F245">
        <f>IF(E245&lt;&gt;"INCLUDE","",IF(LEFT(LOWER(C245),10)="select_one ","select_one",IF(LOWER(C245)="date","date",IF(OR(LOWER(C245)="integer",LOWER(C245)="decimal",LOWER(C245)="range"),LOWER(C245),"sha256"))))</f>
        <v/>
      </c>
      <c r="G245">
        <f>IF(E245&lt;&gt;"INCLUDE","",IF(F245="date","yyyy-mm-dd",IF(F245="select_one","stored-choice-name",IF(F245="sha256","odk-lexical-utf8-sha256","odk-canonical-scalar"))))</f>
        <v/>
      </c>
      <c r="H245">
        <f>IF(E245&lt;&gt;"INCLUDE","","{"&amp;CHAR(34)&amp;"path"&amp;CHAR(34)&amp;":"&amp;CHAR(34)&amp;B245&amp;CHAR(34)&amp;","&amp;CHAR(34)&amp;"type"&amp;CHAR(34)&amp;":"&amp;CHAR(34)&amp;F245&amp;CHAR(34)&amp;","&amp;CHAR(34)&amp;"xlsform_type"&amp;CHAR(34)&amp;":"&amp;CHAR(34)&amp;C245&amp;CHAR(34)&amp;","&amp;CHAR(34)&amp;"commitment"&amp;CHAR(34)&amp;":"&amp;CHAR(34)&amp;IF(F245="sha256","text-utf8-sha256","value")&amp;CHAR(34)&amp;","&amp;CHAR(34)&amp;"transform"&amp;CHAR(34)&amp;":"&amp;CHAR(34)&amp;G245&amp;CHAR(34)&amp;"}")</f>
        <v/>
      </c>
      <c r="I245">
        <f>IF(E245&lt;&gt;"INCLUDE","","'|"&amp;B245&amp;"=', "&amp;IF(F245="date","if(string-length(string(${"&amp;B245&amp;"})) &gt; 0, format-date(${"&amp;B245&amp;"}, '%Y-%m-%d'), '')",IF(F245="sha256","digest(string(${"&amp;B245&amp;"}), 'SHA-256', 'hex')","string(${"&amp;B245&amp;"})")))</f>
        <v/>
      </c>
      <c r="J245">
        <f>IF(E245="INCLUDE","Included by explicit yes","Not included")</f>
        <v/>
      </c>
      <c r="K245">
        <f>K244&amp;IF(H245="","",","&amp;H245)</f>
        <v/>
      </c>
      <c r="L245">
        <f>L244&amp;IF(I245="","",","&amp;I245)</f>
        <v/>
      </c>
    </row>
    <row r="246">
      <c r="A246" t="n">
        <v>263</v>
      </c>
      <c r="B246">
        <f>survey!B263</f>
        <v/>
      </c>
      <c r="C246">
        <f>survey!A263</f>
        <v/>
      </c>
      <c r="D246" t="inlineStr"/>
      <c r="E246">
        <f>IF(OR(B246="",C246=""),"",IF(LOWER(D246)="yes","INCLUDE","EXCLUDE"))</f>
        <v/>
      </c>
      <c r="F246">
        <f>IF(E246&lt;&gt;"INCLUDE","",IF(LEFT(LOWER(C246),10)="select_one ","select_one",IF(LOWER(C246)="date","date",IF(OR(LOWER(C246)="integer",LOWER(C246)="decimal",LOWER(C246)="range"),LOWER(C246),"sha256"))))</f>
        <v/>
      </c>
      <c r="G246">
        <f>IF(E246&lt;&gt;"INCLUDE","",IF(F246="date","yyyy-mm-dd",IF(F246="select_one","stored-choice-name",IF(F246="sha256","odk-lexical-utf8-sha256","odk-canonical-scalar"))))</f>
        <v/>
      </c>
      <c r="H246">
        <f>IF(E246&lt;&gt;"INCLUDE","","{"&amp;CHAR(34)&amp;"path"&amp;CHAR(34)&amp;":"&amp;CHAR(34)&amp;B246&amp;CHAR(34)&amp;","&amp;CHAR(34)&amp;"type"&amp;CHAR(34)&amp;":"&amp;CHAR(34)&amp;F246&amp;CHAR(34)&amp;","&amp;CHAR(34)&amp;"xlsform_type"&amp;CHAR(34)&amp;":"&amp;CHAR(34)&amp;C246&amp;CHAR(34)&amp;","&amp;CHAR(34)&amp;"commitment"&amp;CHAR(34)&amp;":"&amp;CHAR(34)&amp;IF(F246="sha256","text-utf8-sha256","value")&amp;CHAR(34)&amp;","&amp;CHAR(34)&amp;"transform"&amp;CHAR(34)&amp;":"&amp;CHAR(34)&amp;G246&amp;CHAR(34)&amp;"}")</f>
        <v/>
      </c>
      <c r="I246">
        <f>IF(E246&lt;&gt;"INCLUDE","","'|"&amp;B246&amp;"=', "&amp;IF(F246="date","if(string-length(string(${"&amp;B246&amp;"})) &gt; 0, format-date(${"&amp;B246&amp;"}, '%Y-%m-%d'), '')",IF(F246="sha256","digest(string(${"&amp;B246&amp;"}), 'SHA-256', 'hex')","string(${"&amp;B246&amp;"})")))</f>
        <v/>
      </c>
      <c r="J246">
        <f>IF(E246="INCLUDE","Included by explicit yes","Not included")</f>
        <v/>
      </c>
      <c r="K246">
        <f>K245&amp;IF(H246="","",","&amp;H246)</f>
        <v/>
      </c>
      <c r="L246">
        <f>L245&amp;IF(I246="","",","&amp;I246)</f>
        <v/>
      </c>
    </row>
    <row r="247">
      <c r="A247" t="n">
        <v>264</v>
      </c>
      <c r="B247">
        <f>survey!B264</f>
        <v/>
      </c>
      <c r="C247">
        <f>survey!A264</f>
        <v/>
      </c>
      <c r="D247" t="inlineStr"/>
      <c r="E247">
        <f>IF(OR(B247="",C247=""),"",IF(LOWER(D247)="yes","INCLUDE","EXCLUDE"))</f>
        <v/>
      </c>
      <c r="F247">
        <f>IF(E247&lt;&gt;"INCLUDE","",IF(LEFT(LOWER(C247),10)="select_one ","select_one",IF(LOWER(C247)="date","date",IF(OR(LOWER(C247)="integer",LOWER(C247)="decimal",LOWER(C247)="range"),LOWER(C247),"sha256"))))</f>
        <v/>
      </c>
      <c r="G247">
        <f>IF(E247&lt;&gt;"INCLUDE","",IF(F247="date","yyyy-mm-dd",IF(F247="select_one","stored-choice-name",IF(F247="sha256","odk-lexical-utf8-sha256","odk-canonical-scalar"))))</f>
        <v/>
      </c>
      <c r="H247">
        <f>IF(E247&lt;&gt;"INCLUDE","","{"&amp;CHAR(34)&amp;"path"&amp;CHAR(34)&amp;":"&amp;CHAR(34)&amp;B247&amp;CHAR(34)&amp;","&amp;CHAR(34)&amp;"type"&amp;CHAR(34)&amp;":"&amp;CHAR(34)&amp;F247&amp;CHAR(34)&amp;","&amp;CHAR(34)&amp;"xlsform_type"&amp;CHAR(34)&amp;":"&amp;CHAR(34)&amp;C247&amp;CHAR(34)&amp;","&amp;CHAR(34)&amp;"commitment"&amp;CHAR(34)&amp;":"&amp;CHAR(34)&amp;IF(F247="sha256","text-utf8-sha256","value")&amp;CHAR(34)&amp;","&amp;CHAR(34)&amp;"transform"&amp;CHAR(34)&amp;":"&amp;CHAR(34)&amp;G247&amp;CHAR(34)&amp;"}")</f>
        <v/>
      </c>
      <c r="I247">
        <f>IF(E247&lt;&gt;"INCLUDE","","'|"&amp;B247&amp;"=', "&amp;IF(F247="date","if(string-length(string(${"&amp;B247&amp;"})) &gt; 0, format-date(${"&amp;B247&amp;"}, '%Y-%m-%d'), '')",IF(F247="sha256","digest(string(${"&amp;B247&amp;"}), 'SHA-256', 'hex')","string(${"&amp;B247&amp;"})")))</f>
        <v/>
      </c>
      <c r="J247">
        <f>IF(E247="INCLUDE","Included by explicit yes","Not included")</f>
        <v/>
      </c>
      <c r="K247">
        <f>K246&amp;IF(H247="","",","&amp;H247)</f>
        <v/>
      </c>
      <c r="L247">
        <f>L246&amp;IF(I247="","",","&amp;I247)</f>
        <v/>
      </c>
    </row>
    <row r="248">
      <c r="A248" t="n">
        <v>265</v>
      </c>
      <c r="B248">
        <f>survey!B265</f>
        <v/>
      </c>
      <c r="C248">
        <f>survey!A265</f>
        <v/>
      </c>
      <c r="D248" t="inlineStr"/>
      <c r="E248">
        <f>IF(OR(B248="",C248=""),"",IF(LOWER(D248)="yes","INCLUDE","EXCLUDE"))</f>
        <v/>
      </c>
      <c r="F248">
        <f>IF(E248&lt;&gt;"INCLUDE","",IF(LEFT(LOWER(C248),10)="select_one ","select_one",IF(LOWER(C248)="date","date",IF(OR(LOWER(C248)="integer",LOWER(C248)="decimal",LOWER(C248)="range"),LOWER(C248),"sha256"))))</f>
        <v/>
      </c>
      <c r="G248">
        <f>IF(E248&lt;&gt;"INCLUDE","",IF(F248="date","yyyy-mm-dd",IF(F248="select_one","stored-choice-name",IF(F248="sha256","odk-lexical-utf8-sha256","odk-canonical-scalar"))))</f>
        <v/>
      </c>
      <c r="H248">
        <f>IF(E248&lt;&gt;"INCLUDE","","{"&amp;CHAR(34)&amp;"path"&amp;CHAR(34)&amp;":"&amp;CHAR(34)&amp;B248&amp;CHAR(34)&amp;","&amp;CHAR(34)&amp;"type"&amp;CHAR(34)&amp;":"&amp;CHAR(34)&amp;F248&amp;CHAR(34)&amp;","&amp;CHAR(34)&amp;"xlsform_type"&amp;CHAR(34)&amp;":"&amp;CHAR(34)&amp;C248&amp;CHAR(34)&amp;","&amp;CHAR(34)&amp;"commitment"&amp;CHAR(34)&amp;":"&amp;CHAR(34)&amp;IF(F248="sha256","text-utf8-sha256","value")&amp;CHAR(34)&amp;","&amp;CHAR(34)&amp;"transform"&amp;CHAR(34)&amp;":"&amp;CHAR(34)&amp;G248&amp;CHAR(34)&amp;"}")</f>
        <v/>
      </c>
      <c r="I248">
        <f>IF(E248&lt;&gt;"INCLUDE","","'|"&amp;B248&amp;"=', "&amp;IF(F248="date","if(string-length(string(${"&amp;B248&amp;"})) &gt; 0, format-date(${"&amp;B248&amp;"}, '%Y-%m-%d'), '')",IF(F248="sha256","digest(string(${"&amp;B248&amp;"}), 'SHA-256', 'hex')","string(${"&amp;B248&amp;"})")))</f>
        <v/>
      </c>
      <c r="J248">
        <f>IF(E248="INCLUDE","Included by explicit yes","Not included")</f>
        <v/>
      </c>
      <c r="K248">
        <f>K247&amp;IF(H248="","",","&amp;H248)</f>
        <v/>
      </c>
      <c r="L248">
        <f>L247&amp;IF(I248="","",","&amp;I248)</f>
        <v/>
      </c>
    </row>
    <row r="249">
      <c r="A249" t="n">
        <v>266</v>
      </c>
      <c r="B249">
        <f>survey!B266</f>
        <v/>
      </c>
      <c r="C249">
        <f>survey!A266</f>
        <v/>
      </c>
      <c r="D249" t="inlineStr"/>
      <c r="E249">
        <f>IF(OR(B249="",C249=""),"",IF(LOWER(D249)="yes","INCLUDE","EXCLUDE"))</f>
        <v/>
      </c>
      <c r="F249">
        <f>IF(E249&lt;&gt;"INCLUDE","",IF(LEFT(LOWER(C249),10)="select_one ","select_one",IF(LOWER(C249)="date","date",IF(OR(LOWER(C249)="integer",LOWER(C249)="decimal",LOWER(C249)="range"),LOWER(C249),"sha256"))))</f>
        <v/>
      </c>
      <c r="G249">
        <f>IF(E249&lt;&gt;"INCLUDE","",IF(F249="date","yyyy-mm-dd",IF(F249="select_one","stored-choice-name",IF(F249="sha256","odk-lexical-utf8-sha256","odk-canonical-scalar"))))</f>
        <v/>
      </c>
      <c r="H249">
        <f>IF(E249&lt;&gt;"INCLUDE","","{"&amp;CHAR(34)&amp;"path"&amp;CHAR(34)&amp;":"&amp;CHAR(34)&amp;B249&amp;CHAR(34)&amp;","&amp;CHAR(34)&amp;"type"&amp;CHAR(34)&amp;":"&amp;CHAR(34)&amp;F249&amp;CHAR(34)&amp;","&amp;CHAR(34)&amp;"xlsform_type"&amp;CHAR(34)&amp;":"&amp;CHAR(34)&amp;C249&amp;CHAR(34)&amp;","&amp;CHAR(34)&amp;"commitment"&amp;CHAR(34)&amp;":"&amp;CHAR(34)&amp;IF(F249="sha256","text-utf8-sha256","value")&amp;CHAR(34)&amp;","&amp;CHAR(34)&amp;"transform"&amp;CHAR(34)&amp;":"&amp;CHAR(34)&amp;G249&amp;CHAR(34)&amp;"}")</f>
        <v/>
      </c>
      <c r="I249">
        <f>IF(E249&lt;&gt;"INCLUDE","","'|"&amp;B249&amp;"=', "&amp;IF(F249="date","if(string-length(string(${"&amp;B249&amp;"})) &gt; 0, format-date(${"&amp;B249&amp;"}, '%Y-%m-%d'), '')",IF(F249="sha256","digest(string(${"&amp;B249&amp;"}), 'SHA-256', 'hex')","string(${"&amp;B249&amp;"})")))</f>
        <v/>
      </c>
      <c r="J249">
        <f>IF(E249="INCLUDE","Included by explicit yes","Not included")</f>
        <v/>
      </c>
      <c r="K249">
        <f>K248&amp;IF(H249="","",","&amp;H249)</f>
        <v/>
      </c>
      <c r="L249">
        <f>L248&amp;IF(I249="","",","&amp;I249)</f>
        <v/>
      </c>
    </row>
    <row r="250">
      <c r="A250" t="n">
        <v>267</v>
      </c>
      <c r="B250">
        <f>survey!B267</f>
        <v/>
      </c>
      <c r="C250">
        <f>survey!A267</f>
        <v/>
      </c>
      <c r="D250" t="inlineStr"/>
      <c r="E250">
        <f>IF(OR(B250="",C250=""),"",IF(LOWER(D250)="yes","INCLUDE","EXCLUDE"))</f>
        <v/>
      </c>
      <c r="F250">
        <f>IF(E250&lt;&gt;"INCLUDE","",IF(LEFT(LOWER(C250),10)="select_one ","select_one",IF(LOWER(C250)="date","date",IF(OR(LOWER(C250)="integer",LOWER(C250)="decimal",LOWER(C250)="range"),LOWER(C250),"sha256"))))</f>
        <v/>
      </c>
      <c r="G250">
        <f>IF(E250&lt;&gt;"INCLUDE","",IF(F250="date","yyyy-mm-dd",IF(F250="select_one","stored-choice-name",IF(F250="sha256","odk-lexical-utf8-sha256","odk-canonical-scalar"))))</f>
        <v/>
      </c>
      <c r="H250">
        <f>IF(E250&lt;&gt;"INCLUDE","","{"&amp;CHAR(34)&amp;"path"&amp;CHAR(34)&amp;":"&amp;CHAR(34)&amp;B250&amp;CHAR(34)&amp;","&amp;CHAR(34)&amp;"type"&amp;CHAR(34)&amp;":"&amp;CHAR(34)&amp;F250&amp;CHAR(34)&amp;","&amp;CHAR(34)&amp;"xlsform_type"&amp;CHAR(34)&amp;":"&amp;CHAR(34)&amp;C250&amp;CHAR(34)&amp;","&amp;CHAR(34)&amp;"commitment"&amp;CHAR(34)&amp;":"&amp;CHAR(34)&amp;IF(F250="sha256","text-utf8-sha256","value")&amp;CHAR(34)&amp;","&amp;CHAR(34)&amp;"transform"&amp;CHAR(34)&amp;":"&amp;CHAR(34)&amp;G250&amp;CHAR(34)&amp;"}")</f>
        <v/>
      </c>
      <c r="I250">
        <f>IF(E250&lt;&gt;"INCLUDE","","'|"&amp;B250&amp;"=', "&amp;IF(F250="date","if(string-length(string(${"&amp;B250&amp;"})) &gt; 0, format-date(${"&amp;B250&amp;"}, '%Y-%m-%d'), '')",IF(F250="sha256","digest(string(${"&amp;B250&amp;"}), 'SHA-256', 'hex')","string(${"&amp;B250&amp;"})")))</f>
        <v/>
      </c>
      <c r="J250">
        <f>IF(E250="INCLUDE","Included by explicit yes","Not included")</f>
        <v/>
      </c>
      <c r="K250">
        <f>K249&amp;IF(H250="","",","&amp;H250)</f>
        <v/>
      </c>
      <c r="L250">
        <f>L249&amp;IF(I250="","",","&amp;I250)</f>
        <v/>
      </c>
    </row>
    <row r="251">
      <c r="A251" t="n">
        <v>268</v>
      </c>
      <c r="B251">
        <f>survey!B268</f>
        <v/>
      </c>
      <c r="C251">
        <f>survey!A268</f>
        <v/>
      </c>
      <c r="D251" t="inlineStr"/>
      <c r="E251">
        <f>IF(OR(B251="",C251=""),"",IF(LOWER(D251)="yes","INCLUDE","EXCLUDE"))</f>
        <v/>
      </c>
      <c r="F251">
        <f>IF(E251&lt;&gt;"INCLUDE","",IF(LEFT(LOWER(C251),10)="select_one ","select_one",IF(LOWER(C251)="date","date",IF(OR(LOWER(C251)="integer",LOWER(C251)="decimal",LOWER(C251)="range"),LOWER(C251),"sha256"))))</f>
        <v/>
      </c>
      <c r="G251">
        <f>IF(E251&lt;&gt;"INCLUDE","",IF(F251="date","yyyy-mm-dd",IF(F251="select_one","stored-choice-name",IF(F251="sha256","odk-lexical-utf8-sha256","odk-canonical-scalar"))))</f>
        <v/>
      </c>
      <c r="H251">
        <f>IF(E251&lt;&gt;"INCLUDE","","{"&amp;CHAR(34)&amp;"path"&amp;CHAR(34)&amp;":"&amp;CHAR(34)&amp;B251&amp;CHAR(34)&amp;","&amp;CHAR(34)&amp;"type"&amp;CHAR(34)&amp;":"&amp;CHAR(34)&amp;F251&amp;CHAR(34)&amp;","&amp;CHAR(34)&amp;"xlsform_type"&amp;CHAR(34)&amp;":"&amp;CHAR(34)&amp;C251&amp;CHAR(34)&amp;","&amp;CHAR(34)&amp;"commitment"&amp;CHAR(34)&amp;":"&amp;CHAR(34)&amp;IF(F251="sha256","text-utf8-sha256","value")&amp;CHAR(34)&amp;","&amp;CHAR(34)&amp;"transform"&amp;CHAR(34)&amp;":"&amp;CHAR(34)&amp;G251&amp;CHAR(34)&amp;"}")</f>
        <v/>
      </c>
      <c r="I251">
        <f>IF(E251&lt;&gt;"INCLUDE","","'|"&amp;B251&amp;"=', "&amp;IF(F251="date","if(string-length(string(${"&amp;B251&amp;"})) &gt; 0, format-date(${"&amp;B251&amp;"}, '%Y-%m-%d'), '')",IF(F251="sha256","digest(string(${"&amp;B251&amp;"}), 'SHA-256', 'hex')","string(${"&amp;B251&amp;"})")))</f>
        <v/>
      </c>
      <c r="J251">
        <f>IF(E251="INCLUDE","Included by explicit yes","Not included")</f>
        <v/>
      </c>
      <c r="K251">
        <f>K250&amp;IF(H251="","",","&amp;H251)</f>
        <v/>
      </c>
      <c r="L251">
        <f>L250&amp;IF(I251="","",","&amp;I251)</f>
        <v/>
      </c>
    </row>
    <row r="252">
      <c r="A252" t="n">
        <v>269</v>
      </c>
      <c r="B252">
        <f>survey!B269</f>
        <v/>
      </c>
      <c r="C252">
        <f>survey!A269</f>
        <v/>
      </c>
      <c r="D252" t="inlineStr"/>
      <c r="E252">
        <f>IF(OR(B252="",C252=""),"",IF(LOWER(D252)="yes","INCLUDE","EXCLUDE"))</f>
        <v/>
      </c>
      <c r="F252">
        <f>IF(E252&lt;&gt;"INCLUDE","",IF(LEFT(LOWER(C252),10)="select_one ","select_one",IF(LOWER(C252)="date","date",IF(OR(LOWER(C252)="integer",LOWER(C252)="decimal",LOWER(C252)="range"),LOWER(C252),"sha256"))))</f>
        <v/>
      </c>
      <c r="G252">
        <f>IF(E252&lt;&gt;"INCLUDE","",IF(F252="date","yyyy-mm-dd",IF(F252="select_one","stored-choice-name",IF(F252="sha256","odk-lexical-utf8-sha256","odk-canonical-scalar"))))</f>
        <v/>
      </c>
      <c r="H252">
        <f>IF(E252&lt;&gt;"INCLUDE","","{"&amp;CHAR(34)&amp;"path"&amp;CHAR(34)&amp;":"&amp;CHAR(34)&amp;B252&amp;CHAR(34)&amp;","&amp;CHAR(34)&amp;"type"&amp;CHAR(34)&amp;":"&amp;CHAR(34)&amp;F252&amp;CHAR(34)&amp;","&amp;CHAR(34)&amp;"xlsform_type"&amp;CHAR(34)&amp;":"&amp;CHAR(34)&amp;C252&amp;CHAR(34)&amp;","&amp;CHAR(34)&amp;"commitment"&amp;CHAR(34)&amp;":"&amp;CHAR(34)&amp;IF(F252="sha256","text-utf8-sha256","value")&amp;CHAR(34)&amp;","&amp;CHAR(34)&amp;"transform"&amp;CHAR(34)&amp;":"&amp;CHAR(34)&amp;G252&amp;CHAR(34)&amp;"}")</f>
        <v/>
      </c>
      <c r="I252">
        <f>IF(E252&lt;&gt;"INCLUDE","","'|"&amp;B252&amp;"=', "&amp;IF(F252="date","if(string-length(string(${"&amp;B252&amp;"})) &gt; 0, format-date(${"&amp;B252&amp;"}, '%Y-%m-%d'), '')",IF(F252="sha256","digest(string(${"&amp;B252&amp;"}), 'SHA-256', 'hex')","string(${"&amp;B252&amp;"})")))</f>
        <v/>
      </c>
      <c r="J252">
        <f>IF(E252="INCLUDE","Included by explicit yes","Not included")</f>
        <v/>
      </c>
      <c r="K252">
        <f>K251&amp;IF(H252="","",","&amp;H252)</f>
        <v/>
      </c>
      <c r="L252">
        <f>L251&amp;IF(I252="","",","&amp;I252)</f>
        <v/>
      </c>
    </row>
    <row r="253">
      <c r="A253" t="n">
        <v>270</v>
      </c>
      <c r="B253">
        <f>survey!B270</f>
        <v/>
      </c>
      <c r="C253">
        <f>survey!A270</f>
        <v/>
      </c>
      <c r="D253" t="inlineStr"/>
      <c r="E253">
        <f>IF(OR(B253="",C253=""),"",IF(LOWER(D253)="yes","INCLUDE","EXCLUDE"))</f>
        <v/>
      </c>
      <c r="F253">
        <f>IF(E253&lt;&gt;"INCLUDE","",IF(LEFT(LOWER(C253),10)="select_one ","select_one",IF(LOWER(C253)="date","date",IF(OR(LOWER(C253)="integer",LOWER(C253)="decimal",LOWER(C253)="range"),LOWER(C253),"sha256"))))</f>
        <v/>
      </c>
      <c r="G253">
        <f>IF(E253&lt;&gt;"INCLUDE","",IF(F253="date","yyyy-mm-dd",IF(F253="select_one","stored-choice-name",IF(F253="sha256","odk-lexical-utf8-sha256","odk-canonical-scalar"))))</f>
        <v/>
      </c>
      <c r="H253">
        <f>IF(E253&lt;&gt;"INCLUDE","","{"&amp;CHAR(34)&amp;"path"&amp;CHAR(34)&amp;":"&amp;CHAR(34)&amp;B253&amp;CHAR(34)&amp;","&amp;CHAR(34)&amp;"type"&amp;CHAR(34)&amp;":"&amp;CHAR(34)&amp;F253&amp;CHAR(34)&amp;","&amp;CHAR(34)&amp;"xlsform_type"&amp;CHAR(34)&amp;":"&amp;CHAR(34)&amp;C253&amp;CHAR(34)&amp;","&amp;CHAR(34)&amp;"commitment"&amp;CHAR(34)&amp;":"&amp;CHAR(34)&amp;IF(F253="sha256","text-utf8-sha256","value")&amp;CHAR(34)&amp;","&amp;CHAR(34)&amp;"transform"&amp;CHAR(34)&amp;":"&amp;CHAR(34)&amp;G253&amp;CHAR(34)&amp;"}")</f>
        <v/>
      </c>
      <c r="I253">
        <f>IF(E253&lt;&gt;"INCLUDE","","'|"&amp;B253&amp;"=', "&amp;IF(F253="date","if(string-length(string(${"&amp;B253&amp;"})) &gt; 0, format-date(${"&amp;B253&amp;"}, '%Y-%m-%d'), '')",IF(F253="sha256","digest(string(${"&amp;B253&amp;"}), 'SHA-256', 'hex')","string(${"&amp;B253&amp;"})")))</f>
        <v/>
      </c>
      <c r="J253">
        <f>IF(E253="INCLUDE","Included by explicit yes","Not included")</f>
        <v/>
      </c>
      <c r="K253">
        <f>K252&amp;IF(H253="","",","&amp;H253)</f>
        <v/>
      </c>
      <c r="L253">
        <f>L252&amp;IF(I253="","",","&amp;I253)</f>
        <v/>
      </c>
    </row>
    <row r="254">
      <c r="A254" t="n">
        <v>271</v>
      </c>
      <c r="B254">
        <f>survey!B271</f>
        <v/>
      </c>
      <c r="C254">
        <f>survey!A271</f>
        <v/>
      </c>
      <c r="D254" t="inlineStr"/>
      <c r="E254">
        <f>IF(OR(B254="",C254=""),"",IF(LOWER(D254)="yes","INCLUDE","EXCLUDE"))</f>
        <v/>
      </c>
      <c r="F254">
        <f>IF(E254&lt;&gt;"INCLUDE","",IF(LEFT(LOWER(C254),10)="select_one ","select_one",IF(LOWER(C254)="date","date",IF(OR(LOWER(C254)="integer",LOWER(C254)="decimal",LOWER(C254)="range"),LOWER(C254),"sha256"))))</f>
        <v/>
      </c>
      <c r="G254">
        <f>IF(E254&lt;&gt;"INCLUDE","",IF(F254="date","yyyy-mm-dd",IF(F254="select_one","stored-choice-name",IF(F254="sha256","odk-lexical-utf8-sha256","odk-canonical-scalar"))))</f>
        <v/>
      </c>
      <c r="H254">
        <f>IF(E254&lt;&gt;"INCLUDE","","{"&amp;CHAR(34)&amp;"path"&amp;CHAR(34)&amp;":"&amp;CHAR(34)&amp;B254&amp;CHAR(34)&amp;","&amp;CHAR(34)&amp;"type"&amp;CHAR(34)&amp;":"&amp;CHAR(34)&amp;F254&amp;CHAR(34)&amp;","&amp;CHAR(34)&amp;"xlsform_type"&amp;CHAR(34)&amp;":"&amp;CHAR(34)&amp;C254&amp;CHAR(34)&amp;","&amp;CHAR(34)&amp;"commitment"&amp;CHAR(34)&amp;":"&amp;CHAR(34)&amp;IF(F254="sha256","text-utf8-sha256","value")&amp;CHAR(34)&amp;","&amp;CHAR(34)&amp;"transform"&amp;CHAR(34)&amp;":"&amp;CHAR(34)&amp;G254&amp;CHAR(34)&amp;"}")</f>
        <v/>
      </c>
      <c r="I254">
        <f>IF(E254&lt;&gt;"INCLUDE","","'|"&amp;B254&amp;"=', "&amp;IF(F254="date","if(string-length(string(${"&amp;B254&amp;"})) &gt; 0, format-date(${"&amp;B254&amp;"}, '%Y-%m-%d'), '')",IF(F254="sha256","digest(string(${"&amp;B254&amp;"}), 'SHA-256', 'hex')","string(${"&amp;B254&amp;"})")))</f>
        <v/>
      </c>
      <c r="J254">
        <f>IF(E254="INCLUDE","Included by explicit yes","Not included")</f>
        <v/>
      </c>
      <c r="K254">
        <f>K253&amp;IF(H254="","",","&amp;H254)</f>
        <v/>
      </c>
      <c r="L254">
        <f>L253&amp;IF(I254="","",","&amp;I254)</f>
        <v/>
      </c>
    </row>
    <row r="255">
      <c r="A255" t="n">
        <v>272</v>
      </c>
      <c r="B255">
        <f>survey!B272</f>
        <v/>
      </c>
      <c r="C255">
        <f>survey!A272</f>
        <v/>
      </c>
      <c r="D255" t="inlineStr"/>
      <c r="E255">
        <f>IF(OR(B255="",C255=""),"",IF(LOWER(D255)="yes","INCLUDE","EXCLUDE"))</f>
        <v/>
      </c>
      <c r="F255">
        <f>IF(E255&lt;&gt;"INCLUDE","",IF(LEFT(LOWER(C255),10)="select_one ","select_one",IF(LOWER(C255)="date","date",IF(OR(LOWER(C255)="integer",LOWER(C255)="decimal",LOWER(C255)="range"),LOWER(C255),"sha256"))))</f>
        <v/>
      </c>
      <c r="G255">
        <f>IF(E255&lt;&gt;"INCLUDE","",IF(F255="date","yyyy-mm-dd",IF(F255="select_one","stored-choice-name",IF(F255="sha256","odk-lexical-utf8-sha256","odk-canonical-scalar"))))</f>
        <v/>
      </c>
      <c r="H255">
        <f>IF(E255&lt;&gt;"INCLUDE","","{"&amp;CHAR(34)&amp;"path"&amp;CHAR(34)&amp;":"&amp;CHAR(34)&amp;B255&amp;CHAR(34)&amp;","&amp;CHAR(34)&amp;"type"&amp;CHAR(34)&amp;":"&amp;CHAR(34)&amp;F255&amp;CHAR(34)&amp;","&amp;CHAR(34)&amp;"xlsform_type"&amp;CHAR(34)&amp;":"&amp;CHAR(34)&amp;C255&amp;CHAR(34)&amp;","&amp;CHAR(34)&amp;"commitment"&amp;CHAR(34)&amp;":"&amp;CHAR(34)&amp;IF(F255="sha256","text-utf8-sha256","value")&amp;CHAR(34)&amp;","&amp;CHAR(34)&amp;"transform"&amp;CHAR(34)&amp;":"&amp;CHAR(34)&amp;G255&amp;CHAR(34)&amp;"}")</f>
        <v/>
      </c>
      <c r="I255">
        <f>IF(E255&lt;&gt;"INCLUDE","","'|"&amp;B255&amp;"=', "&amp;IF(F255="date","if(string-length(string(${"&amp;B255&amp;"})) &gt; 0, format-date(${"&amp;B255&amp;"}, '%Y-%m-%d'), '')",IF(F255="sha256","digest(string(${"&amp;B255&amp;"}), 'SHA-256', 'hex')","string(${"&amp;B255&amp;"})")))</f>
        <v/>
      </c>
      <c r="J255">
        <f>IF(E255="INCLUDE","Included by explicit yes","Not included")</f>
        <v/>
      </c>
      <c r="K255">
        <f>K254&amp;IF(H255="","",","&amp;H255)</f>
        <v/>
      </c>
      <c r="L255">
        <f>L254&amp;IF(I255="","",","&amp;I255)</f>
        <v/>
      </c>
    </row>
    <row r="256">
      <c r="A256" t="n">
        <v>273</v>
      </c>
      <c r="B256">
        <f>survey!B273</f>
        <v/>
      </c>
      <c r="C256">
        <f>survey!A273</f>
        <v/>
      </c>
      <c r="D256" t="inlineStr"/>
      <c r="E256">
        <f>IF(OR(B256="",C256=""),"",IF(LOWER(D256)="yes","INCLUDE","EXCLUDE"))</f>
        <v/>
      </c>
      <c r="F256">
        <f>IF(E256&lt;&gt;"INCLUDE","",IF(LEFT(LOWER(C256),10)="select_one ","select_one",IF(LOWER(C256)="date","date",IF(OR(LOWER(C256)="integer",LOWER(C256)="decimal",LOWER(C256)="range"),LOWER(C256),"sha256"))))</f>
        <v/>
      </c>
      <c r="G256">
        <f>IF(E256&lt;&gt;"INCLUDE","",IF(F256="date","yyyy-mm-dd",IF(F256="select_one","stored-choice-name",IF(F256="sha256","odk-lexical-utf8-sha256","odk-canonical-scalar"))))</f>
        <v/>
      </c>
      <c r="H256">
        <f>IF(E256&lt;&gt;"INCLUDE","","{"&amp;CHAR(34)&amp;"path"&amp;CHAR(34)&amp;":"&amp;CHAR(34)&amp;B256&amp;CHAR(34)&amp;","&amp;CHAR(34)&amp;"type"&amp;CHAR(34)&amp;":"&amp;CHAR(34)&amp;F256&amp;CHAR(34)&amp;","&amp;CHAR(34)&amp;"xlsform_type"&amp;CHAR(34)&amp;":"&amp;CHAR(34)&amp;C256&amp;CHAR(34)&amp;","&amp;CHAR(34)&amp;"commitment"&amp;CHAR(34)&amp;":"&amp;CHAR(34)&amp;IF(F256="sha256","text-utf8-sha256","value")&amp;CHAR(34)&amp;","&amp;CHAR(34)&amp;"transform"&amp;CHAR(34)&amp;":"&amp;CHAR(34)&amp;G256&amp;CHAR(34)&amp;"}")</f>
        <v/>
      </c>
      <c r="I256">
        <f>IF(E256&lt;&gt;"INCLUDE","","'|"&amp;B256&amp;"=', "&amp;IF(F256="date","if(string-length(string(${"&amp;B256&amp;"})) &gt; 0, format-date(${"&amp;B256&amp;"}, '%Y-%m-%d'), '')",IF(F256="sha256","digest(string(${"&amp;B256&amp;"}), 'SHA-256', 'hex')","string(${"&amp;B256&amp;"})")))</f>
        <v/>
      </c>
      <c r="J256">
        <f>IF(E256="INCLUDE","Included by explicit yes","Not included")</f>
        <v/>
      </c>
      <c r="K256">
        <f>K255&amp;IF(H256="","",","&amp;H256)</f>
        <v/>
      </c>
      <c r="L256">
        <f>L255&amp;IF(I256="","",","&amp;I256)</f>
        <v/>
      </c>
    </row>
    <row r="257">
      <c r="A257" t="n">
        <v>274</v>
      </c>
      <c r="B257">
        <f>survey!B274</f>
        <v/>
      </c>
      <c r="C257">
        <f>survey!A274</f>
        <v/>
      </c>
      <c r="D257" t="inlineStr"/>
      <c r="E257">
        <f>IF(OR(B257="",C257=""),"",IF(LOWER(D257)="yes","INCLUDE","EXCLUDE"))</f>
        <v/>
      </c>
      <c r="F257">
        <f>IF(E257&lt;&gt;"INCLUDE","",IF(LEFT(LOWER(C257),10)="select_one ","select_one",IF(LOWER(C257)="date","date",IF(OR(LOWER(C257)="integer",LOWER(C257)="decimal",LOWER(C257)="range"),LOWER(C257),"sha256"))))</f>
        <v/>
      </c>
      <c r="G257">
        <f>IF(E257&lt;&gt;"INCLUDE","",IF(F257="date","yyyy-mm-dd",IF(F257="select_one","stored-choice-name",IF(F257="sha256","odk-lexical-utf8-sha256","odk-canonical-scalar"))))</f>
        <v/>
      </c>
      <c r="H257">
        <f>IF(E257&lt;&gt;"INCLUDE","","{"&amp;CHAR(34)&amp;"path"&amp;CHAR(34)&amp;":"&amp;CHAR(34)&amp;B257&amp;CHAR(34)&amp;","&amp;CHAR(34)&amp;"type"&amp;CHAR(34)&amp;":"&amp;CHAR(34)&amp;F257&amp;CHAR(34)&amp;","&amp;CHAR(34)&amp;"xlsform_type"&amp;CHAR(34)&amp;":"&amp;CHAR(34)&amp;C257&amp;CHAR(34)&amp;","&amp;CHAR(34)&amp;"commitment"&amp;CHAR(34)&amp;":"&amp;CHAR(34)&amp;IF(F257="sha256","text-utf8-sha256","value")&amp;CHAR(34)&amp;","&amp;CHAR(34)&amp;"transform"&amp;CHAR(34)&amp;":"&amp;CHAR(34)&amp;G257&amp;CHAR(34)&amp;"}")</f>
        <v/>
      </c>
      <c r="I257">
        <f>IF(E257&lt;&gt;"INCLUDE","","'|"&amp;B257&amp;"=', "&amp;IF(F257="date","if(string-length(string(${"&amp;B257&amp;"})) &gt; 0, format-date(${"&amp;B257&amp;"}, '%Y-%m-%d'), '')",IF(F257="sha256","digest(string(${"&amp;B257&amp;"}), 'SHA-256', 'hex')","string(${"&amp;B257&amp;"})")))</f>
        <v/>
      </c>
      <c r="J257">
        <f>IF(E257="INCLUDE","Included by explicit yes","Not included")</f>
        <v/>
      </c>
      <c r="K257">
        <f>K256&amp;IF(H257="","",","&amp;H257)</f>
        <v/>
      </c>
      <c r="L257">
        <f>L256&amp;IF(I257="","",","&amp;I257)</f>
        <v/>
      </c>
    </row>
    <row r="258">
      <c r="A258" t="n">
        <v>275</v>
      </c>
      <c r="B258">
        <f>survey!B275</f>
        <v/>
      </c>
      <c r="C258">
        <f>survey!A275</f>
        <v/>
      </c>
      <c r="D258" t="inlineStr"/>
      <c r="E258">
        <f>IF(OR(B258="",C258=""),"",IF(LOWER(D258)="yes","INCLUDE","EXCLUDE"))</f>
        <v/>
      </c>
      <c r="F258">
        <f>IF(E258&lt;&gt;"INCLUDE","",IF(LEFT(LOWER(C258),10)="select_one ","select_one",IF(LOWER(C258)="date","date",IF(OR(LOWER(C258)="integer",LOWER(C258)="decimal",LOWER(C258)="range"),LOWER(C258),"sha256"))))</f>
        <v/>
      </c>
      <c r="G258">
        <f>IF(E258&lt;&gt;"INCLUDE","",IF(F258="date","yyyy-mm-dd",IF(F258="select_one","stored-choice-name",IF(F258="sha256","odk-lexical-utf8-sha256","odk-canonical-scalar"))))</f>
        <v/>
      </c>
      <c r="H258">
        <f>IF(E258&lt;&gt;"INCLUDE","","{"&amp;CHAR(34)&amp;"path"&amp;CHAR(34)&amp;":"&amp;CHAR(34)&amp;B258&amp;CHAR(34)&amp;","&amp;CHAR(34)&amp;"type"&amp;CHAR(34)&amp;":"&amp;CHAR(34)&amp;F258&amp;CHAR(34)&amp;","&amp;CHAR(34)&amp;"xlsform_type"&amp;CHAR(34)&amp;":"&amp;CHAR(34)&amp;C258&amp;CHAR(34)&amp;","&amp;CHAR(34)&amp;"commitment"&amp;CHAR(34)&amp;":"&amp;CHAR(34)&amp;IF(F258="sha256","text-utf8-sha256","value")&amp;CHAR(34)&amp;","&amp;CHAR(34)&amp;"transform"&amp;CHAR(34)&amp;":"&amp;CHAR(34)&amp;G258&amp;CHAR(34)&amp;"}")</f>
        <v/>
      </c>
      <c r="I258">
        <f>IF(E258&lt;&gt;"INCLUDE","","'|"&amp;B258&amp;"=', "&amp;IF(F258="date","if(string-length(string(${"&amp;B258&amp;"})) &gt; 0, format-date(${"&amp;B258&amp;"}, '%Y-%m-%d'), '')",IF(F258="sha256","digest(string(${"&amp;B258&amp;"}), 'SHA-256', 'hex')","string(${"&amp;B258&amp;"})")))</f>
        <v/>
      </c>
      <c r="J258">
        <f>IF(E258="INCLUDE","Included by explicit yes","Not included")</f>
        <v/>
      </c>
      <c r="K258">
        <f>K257&amp;IF(H258="","",","&amp;H258)</f>
        <v/>
      </c>
      <c r="L258">
        <f>L257&amp;IF(I258="","",","&amp;I258)</f>
        <v/>
      </c>
    </row>
    <row r="259">
      <c r="A259" t="n">
        <v>276</v>
      </c>
      <c r="B259">
        <f>survey!B276</f>
        <v/>
      </c>
      <c r="C259">
        <f>survey!A276</f>
        <v/>
      </c>
      <c r="D259" t="inlineStr"/>
      <c r="E259">
        <f>IF(OR(B259="",C259=""),"",IF(LOWER(D259)="yes","INCLUDE","EXCLUDE"))</f>
        <v/>
      </c>
      <c r="F259">
        <f>IF(E259&lt;&gt;"INCLUDE","",IF(LEFT(LOWER(C259),10)="select_one ","select_one",IF(LOWER(C259)="date","date",IF(OR(LOWER(C259)="integer",LOWER(C259)="decimal",LOWER(C259)="range"),LOWER(C259),"sha256"))))</f>
        <v/>
      </c>
      <c r="G259">
        <f>IF(E259&lt;&gt;"INCLUDE","",IF(F259="date","yyyy-mm-dd",IF(F259="select_one","stored-choice-name",IF(F259="sha256","odk-lexical-utf8-sha256","odk-canonical-scalar"))))</f>
        <v/>
      </c>
      <c r="H259">
        <f>IF(E259&lt;&gt;"INCLUDE","","{"&amp;CHAR(34)&amp;"path"&amp;CHAR(34)&amp;":"&amp;CHAR(34)&amp;B259&amp;CHAR(34)&amp;","&amp;CHAR(34)&amp;"type"&amp;CHAR(34)&amp;":"&amp;CHAR(34)&amp;F259&amp;CHAR(34)&amp;","&amp;CHAR(34)&amp;"xlsform_type"&amp;CHAR(34)&amp;":"&amp;CHAR(34)&amp;C259&amp;CHAR(34)&amp;","&amp;CHAR(34)&amp;"commitment"&amp;CHAR(34)&amp;":"&amp;CHAR(34)&amp;IF(F259="sha256","text-utf8-sha256","value")&amp;CHAR(34)&amp;","&amp;CHAR(34)&amp;"transform"&amp;CHAR(34)&amp;":"&amp;CHAR(34)&amp;G259&amp;CHAR(34)&amp;"}")</f>
        <v/>
      </c>
      <c r="I259">
        <f>IF(E259&lt;&gt;"INCLUDE","","'|"&amp;B259&amp;"=', "&amp;IF(F259="date","if(string-length(string(${"&amp;B259&amp;"})) &gt; 0, format-date(${"&amp;B259&amp;"}, '%Y-%m-%d'), '')",IF(F259="sha256","digest(string(${"&amp;B259&amp;"}), 'SHA-256', 'hex')","string(${"&amp;B259&amp;"})")))</f>
        <v/>
      </c>
      <c r="J259">
        <f>IF(E259="INCLUDE","Included by explicit yes","Not included")</f>
        <v/>
      </c>
      <c r="K259">
        <f>K258&amp;IF(H259="","",","&amp;H259)</f>
        <v/>
      </c>
      <c r="L259">
        <f>L258&amp;IF(I259="","",","&amp;I259)</f>
        <v/>
      </c>
    </row>
    <row r="260">
      <c r="A260" t="n">
        <v>277</v>
      </c>
      <c r="B260">
        <f>survey!B277</f>
        <v/>
      </c>
      <c r="C260">
        <f>survey!A277</f>
        <v/>
      </c>
      <c r="D260" t="inlineStr"/>
      <c r="E260">
        <f>IF(OR(B260="",C260=""),"",IF(LOWER(D260)="yes","INCLUDE","EXCLUDE"))</f>
        <v/>
      </c>
      <c r="F260">
        <f>IF(E260&lt;&gt;"INCLUDE","",IF(LEFT(LOWER(C260),10)="select_one ","select_one",IF(LOWER(C260)="date","date",IF(OR(LOWER(C260)="integer",LOWER(C260)="decimal",LOWER(C260)="range"),LOWER(C260),"sha256"))))</f>
        <v/>
      </c>
      <c r="G260">
        <f>IF(E260&lt;&gt;"INCLUDE","",IF(F260="date","yyyy-mm-dd",IF(F260="select_one","stored-choice-name",IF(F260="sha256","odk-lexical-utf8-sha256","odk-canonical-scalar"))))</f>
        <v/>
      </c>
      <c r="H260">
        <f>IF(E260&lt;&gt;"INCLUDE","","{"&amp;CHAR(34)&amp;"path"&amp;CHAR(34)&amp;":"&amp;CHAR(34)&amp;B260&amp;CHAR(34)&amp;","&amp;CHAR(34)&amp;"type"&amp;CHAR(34)&amp;":"&amp;CHAR(34)&amp;F260&amp;CHAR(34)&amp;","&amp;CHAR(34)&amp;"xlsform_type"&amp;CHAR(34)&amp;":"&amp;CHAR(34)&amp;C260&amp;CHAR(34)&amp;","&amp;CHAR(34)&amp;"commitment"&amp;CHAR(34)&amp;":"&amp;CHAR(34)&amp;IF(F260="sha256","text-utf8-sha256","value")&amp;CHAR(34)&amp;","&amp;CHAR(34)&amp;"transform"&amp;CHAR(34)&amp;":"&amp;CHAR(34)&amp;G260&amp;CHAR(34)&amp;"}")</f>
        <v/>
      </c>
      <c r="I260">
        <f>IF(E260&lt;&gt;"INCLUDE","","'|"&amp;B260&amp;"=', "&amp;IF(F260="date","if(string-length(string(${"&amp;B260&amp;"})) &gt; 0, format-date(${"&amp;B260&amp;"}, '%Y-%m-%d'), '')",IF(F260="sha256","digest(string(${"&amp;B260&amp;"}), 'SHA-256', 'hex')","string(${"&amp;B260&amp;"})")))</f>
        <v/>
      </c>
      <c r="J260">
        <f>IF(E260="INCLUDE","Included by explicit yes","Not included")</f>
        <v/>
      </c>
      <c r="K260">
        <f>K259&amp;IF(H260="","",","&amp;H260)</f>
        <v/>
      </c>
      <c r="L260">
        <f>L259&amp;IF(I260="","",","&amp;I260)</f>
        <v/>
      </c>
    </row>
    <row r="261">
      <c r="A261" t="n">
        <v>278</v>
      </c>
      <c r="B261">
        <f>survey!B278</f>
        <v/>
      </c>
      <c r="C261">
        <f>survey!A278</f>
        <v/>
      </c>
      <c r="D261" t="inlineStr"/>
      <c r="E261">
        <f>IF(OR(B261="",C261=""),"",IF(LOWER(D261)="yes","INCLUDE","EXCLUDE"))</f>
        <v/>
      </c>
      <c r="F261">
        <f>IF(E261&lt;&gt;"INCLUDE","",IF(LEFT(LOWER(C261),10)="select_one ","select_one",IF(LOWER(C261)="date","date",IF(OR(LOWER(C261)="integer",LOWER(C261)="decimal",LOWER(C261)="range"),LOWER(C261),"sha256"))))</f>
        <v/>
      </c>
      <c r="G261">
        <f>IF(E261&lt;&gt;"INCLUDE","",IF(F261="date","yyyy-mm-dd",IF(F261="select_one","stored-choice-name",IF(F261="sha256","odk-lexical-utf8-sha256","odk-canonical-scalar"))))</f>
        <v/>
      </c>
      <c r="H261">
        <f>IF(E261&lt;&gt;"INCLUDE","","{"&amp;CHAR(34)&amp;"path"&amp;CHAR(34)&amp;":"&amp;CHAR(34)&amp;B261&amp;CHAR(34)&amp;","&amp;CHAR(34)&amp;"type"&amp;CHAR(34)&amp;":"&amp;CHAR(34)&amp;F261&amp;CHAR(34)&amp;","&amp;CHAR(34)&amp;"xlsform_type"&amp;CHAR(34)&amp;":"&amp;CHAR(34)&amp;C261&amp;CHAR(34)&amp;","&amp;CHAR(34)&amp;"commitment"&amp;CHAR(34)&amp;":"&amp;CHAR(34)&amp;IF(F261="sha256","text-utf8-sha256","value")&amp;CHAR(34)&amp;","&amp;CHAR(34)&amp;"transform"&amp;CHAR(34)&amp;":"&amp;CHAR(34)&amp;G261&amp;CHAR(34)&amp;"}")</f>
        <v/>
      </c>
      <c r="I261">
        <f>IF(E261&lt;&gt;"INCLUDE","","'|"&amp;B261&amp;"=', "&amp;IF(F261="date","if(string-length(string(${"&amp;B261&amp;"})) &gt; 0, format-date(${"&amp;B261&amp;"}, '%Y-%m-%d'), '')",IF(F261="sha256","digest(string(${"&amp;B261&amp;"}), 'SHA-256', 'hex')","string(${"&amp;B261&amp;"})")))</f>
        <v/>
      </c>
      <c r="J261">
        <f>IF(E261="INCLUDE","Included by explicit yes","Not included")</f>
        <v/>
      </c>
      <c r="K261">
        <f>K260&amp;IF(H261="","",","&amp;H261)</f>
        <v/>
      </c>
      <c r="L261">
        <f>L260&amp;IF(I261="","",","&amp;I261)</f>
        <v/>
      </c>
    </row>
    <row r="262">
      <c r="A262" t="n">
        <v>279</v>
      </c>
      <c r="B262">
        <f>survey!B279</f>
        <v/>
      </c>
      <c r="C262">
        <f>survey!A279</f>
        <v/>
      </c>
      <c r="D262" t="inlineStr"/>
      <c r="E262">
        <f>IF(OR(B262="",C262=""),"",IF(LOWER(D262)="yes","INCLUDE","EXCLUDE"))</f>
        <v/>
      </c>
      <c r="F262">
        <f>IF(E262&lt;&gt;"INCLUDE","",IF(LEFT(LOWER(C262),10)="select_one ","select_one",IF(LOWER(C262)="date","date",IF(OR(LOWER(C262)="integer",LOWER(C262)="decimal",LOWER(C262)="range"),LOWER(C262),"sha256"))))</f>
        <v/>
      </c>
      <c r="G262">
        <f>IF(E262&lt;&gt;"INCLUDE","",IF(F262="date","yyyy-mm-dd",IF(F262="select_one","stored-choice-name",IF(F262="sha256","odk-lexical-utf8-sha256","odk-canonical-scalar"))))</f>
        <v/>
      </c>
      <c r="H262">
        <f>IF(E262&lt;&gt;"INCLUDE","","{"&amp;CHAR(34)&amp;"path"&amp;CHAR(34)&amp;":"&amp;CHAR(34)&amp;B262&amp;CHAR(34)&amp;","&amp;CHAR(34)&amp;"type"&amp;CHAR(34)&amp;":"&amp;CHAR(34)&amp;F262&amp;CHAR(34)&amp;","&amp;CHAR(34)&amp;"xlsform_type"&amp;CHAR(34)&amp;":"&amp;CHAR(34)&amp;C262&amp;CHAR(34)&amp;","&amp;CHAR(34)&amp;"commitment"&amp;CHAR(34)&amp;":"&amp;CHAR(34)&amp;IF(F262="sha256","text-utf8-sha256","value")&amp;CHAR(34)&amp;","&amp;CHAR(34)&amp;"transform"&amp;CHAR(34)&amp;":"&amp;CHAR(34)&amp;G262&amp;CHAR(34)&amp;"}")</f>
        <v/>
      </c>
      <c r="I262">
        <f>IF(E262&lt;&gt;"INCLUDE","","'|"&amp;B262&amp;"=', "&amp;IF(F262="date","if(string-length(string(${"&amp;B262&amp;"})) &gt; 0, format-date(${"&amp;B262&amp;"}, '%Y-%m-%d'), '')",IF(F262="sha256","digest(string(${"&amp;B262&amp;"}), 'SHA-256', 'hex')","string(${"&amp;B262&amp;"})")))</f>
        <v/>
      </c>
      <c r="J262">
        <f>IF(E262="INCLUDE","Included by explicit yes","Not included")</f>
        <v/>
      </c>
      <c r="K262">
        <f>K261&amp;IF(H262="","",","&amp;H262)</f>
        <v/>
      </c>
      <c r="L262">
        <f>L261&amp;IF(I262="","",","&amp;I262)</f>
        <v/>
      </c>
    </row>
    <row r="263">
      <c r="A263" t="n">
        <v>280</v>
      </c>
      <c r="B263">
        <f>survey!B280</f>
        <v/>
      </c>
      <c r="C263">
        <f>survey!A280</f>
        <v/>
      </c>
      <c r="D263" t="inlineStr"/>
      <c r="E263">
        <f>IF(OR(B263="",C263=""),"",IF(LOWER(D263)="yes","INCLUDE","EXCLUDE"))</f>
        <v/>
      </c>
      <c r="F263">
        <f>IF(E263&lt;&gt;"INCLUDE","",IF(LEFT(LOWER(C263),10)="select_one ","select_one",IF(LOWER(C263)="date","date",IF(OR(LOWER(C263)="integer",LOWER(C263)="decimal",LOWER(C263)="range"),LOWER(C263),"sha256"))))</f>
        <v/>
      </c>
      <c r="G263">
        <f>IF(E263&lt;&gt;"INCLUDE","",IF(F263="date","yyyy-mm-dd",IF(F263="select_one","stored-choice-name",IF(F263="sha256","odk-lexical-utf8-sha256","odk-canonical-scalar"))))</f>
        <v/>
      </c>
      <c r="H263">
        <f>IF(E263&lt;&gt;"INCLUDE","","{"&amp;CHAR(34)&amp;"path"&amp;CHAR(34)&amp;":"&amp;CHAR(34)&amp;B263&amp;CHAR(34)&amp;","&amp;CHAR(34)&amp;"type"&amp;CHAR(34)&amp;":"&amp;CHAR(34)&amp;F263&amp;CHAR(34)&amp;","&amp;CHAR(34)&amp;"xlsform_type"&amp;CHAR(34)&amp;":"&amp;CHAR(34)&amp;C263&amp;CHAR(34)&amp;","&amp;CHAR(34)&amp;"commitment"&amp;CHAR(34)&amp;":"&amp;CHAR(34)&amp;IF(F263="sha256","text-utf8-sha256","value")&amp;CHAR(34)&amp;","&amp;CHAR(34)&amp;"transform"&amp;CHAR(34)&amp;":"&amp;CHAR(34)&amp;G263&amp;CHAR(34)&amp;"}")</f>
        <v/>
      </c>
      <c r="I263">
        <f>IF(E263&lt;&gt;"INCLUDE","","'|"&amp;B263&amp;"=', "&amp;IF(F263="date","if(string-length(string(${"&amp;B263&amp;"})) &gt; 0, format-date(${"&amp;B263&amp;"}, '%Y-%m-%d'), '')",IF(F263="sha256","digest(string(${"&amp;B263&amp;"}), 'SHA-256', 'hex')","string(${"&amp;B263&amp;"})")))</f>
        <v/>
      </c>
      <c r="J263">
        <f>IF(E263="INCLUDE","Included by explicit yes","Not included")</f>
        <v/>
      </c>
      <c r="K263">
        <f>K262&amp;IF(H263="","",","&amp;H263)</f>
        <v/>
      </c>
      <c r="L263">
        <f>L262&amp;IF(I263="","",","&amp;I263)</f>
        <v/>
      </c>
    </row>
    <row r="264">
      <c r="A264" t="n">
        <v>281</v>
      </c>
      <c r="B264">
        <f>survey!B281</f>
        <v/>
      </c>
      <c r="C264">
        <f>survey!A281</f>
        <v/>
      </c>
      <c r="D264" t="inlineStr"/>
      <c r="E264">
        <f>IF(OR(B264="",C264=""),"",IF(LOWER(D264)="yes","INCLUDE","EXCLUDE"))</f>
        <v/>
      </c>
      <c r="F264">
        <f>IF(E264&lt;&gt;"INCLUDE","",IF(LEFT(LOWER(C264),10)="select_one ","select_one",IF(LOWER(C264)="date","date",IF(OR(LOWER(C264)="integer",LOWER(C264)="decimal",LOWER(C264)="range"),LOWER(C264),"sha256"))))</f>
        <v/>
      </c>
      <c r="G264">
        <f>IF(E264&lt;&gt;"INCLUDE","",IF(F264="date","yyyy-mm-dd",IF(F264="select_one","stored-choice-name",IF(F264="sha256","odk-lexical-utf8-sha256","odk-canonical-scalar"))))</f>
        <v/>
      </c>
      <c r="H264">
        <f>IF(E264&lt;&gt;"INCLUDE","","{"&amp;CHAR(34)&amp;"path"&amp;CHAR(34)&amp;":"&amp;CHAR(34)&amp;B264&amp;CHAR(34)&amp;","&amp;CHAR(34)&amp;"type"&amp;CHAR(34)&amp;":"&amp;CHAR(34)&amp;F264&amp;CHAR(34)&amp;","&amp;CHAR(34)&amp;"xlsform_type"&amp;CHAR(34)&amp;":"&amp;CHAR(34)&amp;C264&amp;CHAR(34)&amp;","&amp;CHAR(34)&amp;"commitment"&amp;CHAR(34)&amp;":"&amp;CHAR(34)&amp;IF(F264="sha256","text-utf8-sha256","value")&amp;CHAR(34)&amp;","&amp;CHAR(34)&amp;"transform"&amp;CHAR(34)&amp;":"&amp;CHAR(34)&amp;G264&amp;CHAR(34)&amp;"}")</f>
        <v/>
      </c>
      <c r="I264">
        <f>IF(E264&lt;&gt;"INCLUDE","","'|"&amp;B264&amp;"=', "&amp;IF(F264="date","if(string-length(string(${"&amp;B264&amp;"})) &gt; 0, format-date(${"&amp;B264&amp;"}, '%Y-%m-%d'), '')",IF(F264="sha256","digest(string(${"&amp;B264&amp;"}), 'SHA-256', 'hex')","string(${"&amp;B264&amp;"})")))</f>
        <v/>
      </c>
      <c r="J264">
        <f>IF(E264="INCLUDE","Included by explicit yes","Not included")</f>
        <v/>
      </c>
      <c r="K264">
        <f>K263&amp;IF(H264="","",","&amp;H264)</f>
        <v/>
      </c>
      <c r="L264">
        <f>L263&amp;IF(I264="","",","&amp;I264)</f>
        <v/>
      </c>
    </row>
    <row r="265">
      <c r="A265" t="n">
        <v>282</v>
      </c>
      <c r="B265">
        <f>survey!B282</f>
        <v/>
      </c>
      <c r="C265">
        <f>survey!A282</f>
        <v/>
      </c>
      <c r="D265" t="inlineStr"/>
      <c r="E265">
        <f>IF(OR(B265="",C265=""),"",IF(LOWER(D265)="yes","INCLUDE","EXCLUDE"))</f>
        <v/>
      </c>
      <c r="F265">
        <f>IF(E265&lt;&gt;"INCLUDE","",IF(LEFT(LOWER(C265),10)="select_one ","select_one",IF(LOWER(C265)="date","date",IF(OR(LOWER(C265)="integer",LOWER(C265)="decimal",LOWER(C265)="range"),LOWER(C265),"sha256"))))</f>
        <v/>
      </c>
      <c r="G265">
        <f>IF(E265&lt;&gt;"INCLUDE","",IF(F265="date","yyyy-mm-dd",IF(F265="select_one","stored-choice-name",IF(F265="sha256","odk-lexical-utf8-sha256","odk-canonical-scalar"))))</f>
        <v/>
      </c>
      <c r="H265">
        <f>IF(E265&lt;&gt;"INCLUDE","","{"&amp;CHAR(34)&amp;"path"&amp;CHAR(34)&amp;":"&amp;CHAR(34)&amp;B265&amp;CHAR(34)&amp;","&amp;CHAR(34)&amp;"type"&amp;CHAR(34)&amp;":"&amp;CHAR(34)&amp;F265&amp;CHAR(34)&amp;","&amp;CHAR(34)&amp;"xlsform_type"&amp;CHAR(34)&amp;":"&amp;CHAR(34)&amp;C265&amp;CHAR(34)&amp;","&amp;CHAR(34)&amp;"commitment"&amp;CHAR(34)&amp;":"&amp;CHAR(34)&amp;IF(F265="sha256","text-utf8-sha256","value")&amp;CHAR(34)&amp;","&amp;CHAR(34)&amp;"transform"&amp;CHAR(34)&amp;":"&amp;CHAR(34)&amp;G265&amp;CHAR(34)&amp;"}")</f>
        <v/>
      </c>
      <c r="I265">
        <f>IF(E265&lt;&gt;"INCLUDE","","'|"&amp;B265&amp;"=', "&amp;IF(F265="date","if(string-length(string(${"&amp;B265&amp;"})) &gt; 0, format-date(${"&amp;B265&amp;"}, '%Y-%m-%d'), '')",IF(F265="sha256","digest(string(${"&amp;B265&amp;"}), 'SHA-256', 'hex')","string(${"&amp;B265&amp;"})")))</f>
        <v/>
      </c>
      <c r="J265">
        <f>IF(E265="INCLUDE","Included by explicit yes","Not included")</f>
        <v/>
      </c>
      <c r="K265">
        <f>K264&amp;IF(H265="","",","&amp;H265)</f>
        <v/>
      </c>
      <c r="L265">
        <f>L264&amp;IF(I265="","",","&amp;I265)</f>
        <v/>
      </c>
    </row>
    <row r="266">
      <c r="A266" t="n">
        <v>283</v>
      </c>
      <c r="B266">
        <f>survey!B283</f>
        <v/>
      </c>
      <c r="C266">
        <f>survey!A283</f>
        <v/>
      </c>
      <c r="D266" t="inlineStr"/>
      <c r="E266">
        <f>IF(OR(B266="",C266=""),"",IF(LOWER(D266)="yes","INCLUDE","EXCLUDE"))</f>
        <v/>
      </c>
      <c r="F266">
        <f>IF(E266&lt;&gt;"INCLUDE","",IF(LEFT(LOWER(C266),10)="select_one ","select_one",IF(LOWER(C266)="date","date",IF(OR(LOWER(C266)="integer",LOWER(C266)="decimal",LOWER(C266)="range"),LOWER(C266),"sha256"))))</f>
        <v/>
      </c>
      <c r="G266">
        <f>IF(E266&lt;&gt;"INCLUDE","",IF(F266="date","yyyy-mm-dd",IF(F266="select_one","stored-choice-name",IF(F266="sha256","odk-lexical-utf8-sha256","odk-canonical-scalar"))))</f>
        <v/>
      </c>
      <c r="H266">
        <f>IF(E266&lt;&gt;"INCLUDE","","{"&amp;CHAR(34)&amp;"path"&amp;CHAR(34)&amp;":"&amp;CHAR(34)&amp;B266&amp;CHAR(34)&amp;","&amp;CHAR(34)&amp;"type"&amp;CHAR(34)&amp;":"&amp;CHAR(34)&amp;F266&amp;CHAR(34)&amp;","&amp;CHAR(34)&amp;"xlsform_type"&amp;CHAR(34)&amp;":"&amp;CHAR(34)&amp;C266&amp;CHAR(34)&amp;","&amp;CHAR(34)&amp;"commitment"&amp;CHAR(34)&amp;":"&amp;CHAR(34)&amp;IF(F266="sha256","text-utf8-sha256","value")&amp;CHAR(34)&amp;","&amp;CHAR(34)&amp;"transform"&amp;CHAR(34)&amp;":"&amp;CHAR(34)&amp;G266&amp;CHAR(34)&amp;"}")</f>
        <v/>
      </c>
      <c r="I266">
        <f>IF(E266&lt;&gt;"INCLUDE","","'|"&amp;B266&amp;"=', "&amp;IF(F266="date","if(string-length(string(${"&amp;B266&amp;"})) &gt; 0, format-date(${"&amp;B266&amp;"}, '%Y-%m-%d'), '')",IF(F266="sha256","digest(string(${"&amp;B266&amp;"}), 'SHA-256', 'hex')","string(${"&amp;B266&amp;"})")))</f>
        <v/>
      </c>
      <c r="J266">
        <f>IF(E266="INCLUDE","Included by explicit yes","Not included")</f>
        <v/>
      </c>
      <c r="K266">
        <f>K265&amp;IF(H266="","",","&amp;H266)</f>
        <v/>
      </c>
      <c r="L266">
        <f>L265&amp;IF(I266="","",","&amp;I266)</f>
        <v/>
      </c>
    </row>
    <row r="267">
      <c r="A267" t="n">
        <v>284</v>
      </c>
      <c r="B267">
        <f>survey!B284</f>
        <v/>
      </c>
      <c r="C267">
        <f>survey!A284</f>
        <v/>
      </c>
      <c r="D267" t="inlineStr"/>
      <c r="E267">
        <f>IF(OR(B267="",C267=""),"",IF(LOWER(D267)="yes","INCLUDE","EXCLUDE"))</f>
        <v/>
      </c>
      <c r="F267">
        <f>IF(E267&lt;&gt;"INCLUDE","",IF(LEFT(LOWER(C267),10)="select_one ","select_one",IF(LOWER(C267)="date","date",IF(OR(LOWER(C267)="integer",LOWER(C267)="decimal",LOWER(C267)="range"),LOWER(C267),"sha256"))))</f>
        <v/>
      </c>
      <c r="G267">
        <f>IF(E267&lt;&gt;"INCLUDE","",IF(F267="date","yyyy-mm-dd",IF(F267="select_one","stored-choice-name",IF(F267="sha256","odk-lexical-utf8-sha256","odk-canonical-scalar"))))</f>
        <v/>
      </c>
      <c r="H267">
        <f>IF(E267&lt;&gt;"INCLUDE","","{"&amp;CHAR(34)&amp;"path"&amp;CHAR(34)&amp;":"&amp;CHAR(34)&amp;B267&amp;CHAR(34)&amp;","&amp;CHAR(34)&amp;"type"&amp;CHAR(34)&amp;":"&amp;CHAR(34)&amp;F267&amp;CHAR(34)&amp;","&amp;CHAR(34)&amp;"xlsform_type"&amp;CHAR(34)&amp;":"&amp;CHAR(34)&amp;C267&amp;CHAR(34)&amp;","&amp;CHAR(34)&amp;"commitment"&amp;CHAR(34)&amp;":"&amp;CHAR(34)&amp;IF(F267="sha256","text-utf8-sha256","value")&amp;CHAR(34)&amp;","&amp;CHAR(34)&amp;"transform"&amp;CHAR(34)&amp;":"&amp;CHAR(34)&amp;G267&amp;CHAR(34)&amp;"}")</f>
        <v/>
      </c>
      <c r="I267">
        <f>IF(E267&lt;&gt;"INCLUDE","","'|"&amp;B267&amp;"=', "&amp;IF(F267="date","if(string-length(string(${"&amp;B267&amp;"})) &gt; 0, format-date(${"&amp;B267&amp;"}, '%Y-%m-%d'), '')",IF(F267="sha256","digest(string(${"&amp;B267&amp;"}), 'SHA-256', 'hex')","string(${"&amp;B267&amp;"})")))</f>
        <v/>
      </c>
      <c r="J267">
        <f>IF(E267="INCLUDE","Included by explicit yes","Not included")</f>
        <v/>
      </c>
      <c r="K267">
        <f>K266&amp;IF(H267="","",","&amp;H267)</f>
        <v/>
      </c>
      <c r="L267">
        <f>L266&amp;IF(I267="","",","&amp;I267)</f>
        <v/>
      </c>
    </row>
    <row r="268">
      <c r="A268" t="n">
        <v>285</v>
      </c>
      <c r="B268">
        <f>survey!B285</f>
        <v/>
      </c>
      <c r="C268">
        <f>survey!A285</f>
        <v/>
      </c>
      <c r="D268" t="inlineStr"/>
      <c r="E268">
        <f>IF(OR(B268="",C268=""),"",IF(LOWER(D268)="yes","INCLUDE","EXCLUDE"))</f>
        <v/>
      </c>
      <c r="F268">
        <f>IF(E268&lt;&gt;"INCLUDE","",IF(LEFT(LOWER(C268),10)="select_one ","select_one",IF(LOWER(C268)="date","date",IF(OR(LOWER(C268)="integer",LOWER(C268)="decimal",LOWER(C268)="range"),LOWER(C268),"sha256"))))</f>
        <v/>
      </c>
      <c r="G268">
        <f>IF(E268&lt;&gt;"INCLUDE","",IF(F268="date","yyyy-mm-dd",IF(F268="select_one","stored-choice-name",IF(F268="sha256","odk-lexical-utf8-sha256","odk-canonical-scalar"))))</f>
        <v/>
      </c>
      <c r="H268">
        <f>IF(E268&lt;&gt;"INCLUDE","","{"&amp;CHAR(34)&amp;"path"&amp;CHAR(34)&amp;":"&amp;CHAR(34)&amp;B268&amp;CHAR(34)&amp;","&amp;CHAR(34)&amp;"type"&amp;CHAR(34)&amp;":"&amp;CHAR(34)&amp;F268&amp;CHAR(34)&amp;","&amp;CHAR(34)&amp;"xlsform_type"&amp;CHAR(34)&amp;":"&amp;CHAR(34)&amp;C268&amp;CHAR(34)&amp;","&amp;CHAR(34)&amp;"commitment"&amp;CHAR(34)&amp;":"&amp;CHAR(34)&amp;IF(F268="sha256","text-utf8-sha256","value")&amp;CHAR(34)&amp;","&amp;CHAR(34)&amp;"transform"&amp;CHAR(34)&amp;":"&amp;CHAR(34)&amp;G268&amp;CHAR(34)&amp;"}")</f>
        <v/>
      </c>
      <c r="I268">
        <f>IF(E268&lt;&gt;"INCLUDE","","'|"&amp;B268&amp;"=', "&amp;IF(F268="date","if(string-length(string(${"&amp;B268&amp;"})) &gt; 0, format-date(${"&amp;B268&amp;"}, '%Y-%m-%d'), '')",IF(F268="sha256","digest(string(${"&amp;B268&amp;"}), 'SHA-256', 'hex')","string(${"&amp;B268&amp;"})")))</f>
        <v/>
      </c>
      <c r="J268">
        <f>IF(E268="INCLUDE","Included by explicit yes","Not included")</f>
        <v/>
      </c>
      <c r="K268">
        <f>K267&amp;IF(H268="","",","&amp;H268)</f>
        <v/>
      </c>
      <c r="L268">
        <f>L267&amp;IF(I268="","",","&amp;I268)</f>
        <v/>
      </c>
    </row>
    <row r="269">
      <c r="A269" t="n">
        <v>286</v>
      </c>
      <c r="B269">
        <f>survey!B286</f>
        <v/>
      </c>
      <c r="C269">
        <f>survey!A286</f>
        <v/>
      </c>
      <c r="D269" t="inlineStr"/>
      <c r="E269">
        <f>IF(OR(B269="",C269=""),"",IF(LOWER(D269)="yes","INCLUDE","EXCLUDE"))</f>
        <v/>
      </c>
      <c r="F269">
        <f>IF(E269&lt;&gt;"INCLUDE","",IF(LEFT(LOWER(C269),10)="select_one ","select_one",IF(LOWER(C269)="date","date",IF(OR(LOWER(C269)="integer",LOWER(C269)="decimal",LOWER(C269)="range"),LOWER(C269),"sha256"))))</f>
        <v/>
      </c>
      <c r="G269">
        <f>IF(E269&lt;&gt;"INCLUDE","",IF(F269="date","yyyy-mm-dd",IF(F269="select_one","stored-choice-name",IF(F269="sha256","odk-lexical-utf8-sha256","odk-canonical-scalar"))))</f>
        <v/>
      </c>
      <c r="H269">
        <f>IF(E269&lt;&gt;"INCLUDE","","{"&amp;CHAR(34)&amp;"path"&amp;CHAR(34)&amp;":"&amp;CHAR(34)&amp;B269&amp;CHAR(34)&amp;","&amp;CHAR(34)&amp;"type"&amp;CHAR(34)&amp;":"&amp;CHAR(34)&amp;F269&amp;CHAR(34)&amp;","&amp;CHAR(34)&amp;"xlsform_type"&amp;CHAR(34)&amp;":"&amp;CHAR(34)&amp;C269&amp;CHAR(34)&amp;","&amp;CHAR(34)&amp;"commitment"&amp;CHAR(34)&amp;":"&amp;CHAR(34)&amp;IF(F269="sha256","text-utf8-sha256","value")&amp;CHAR(34)&amp;","&amp;CHAR(34)&amp;"transform"&amp;CHAR(34)&amp;":"&amp;CHAR(34)&amp;G269&amp;CHAR(34)&amp;"}")</f>
        <v/>
      </c>
      <c r="I269">
        <f>IF(E269&lt;&gt;"INCLUDE","","'|"&amp;B269&amp;"=', "&amp;IF(F269="date","if(string-length(string(${"&amp;B269&amp;"})) &gt; 0, format-date(${"&amp;B269&amp;"}, '%Y-%m-%d'), '')",IF(F269="sha256","digest(string(${"&amp;B269&amp;"}), 'SHA-256', 'hex')","string(${"&amp;B269&amp;"})")))</f>
        <v/>
      </c>
      <c r="J269">
        <f>IF(E269="INCLUDE","Included by explicit yes","Not included")</f>
        <v/>
      </c>
      <c r="K269">
        <f>K268&amp;IF(H269="","",","&amp;H269)</f>
        <v/>
      </c>
      <c r="L269">
        <f>L268&amp;IF(I269="","",","&amp;I269)</f>
        <v/>
      </c>
    </row>
    <row r="270">
      <c r="A270" t="n">
        <v>287</v>
      </c>
      <c r="B270">
        <f>survey!B287</f>
        <v/>
      </c>
      <c r="C270">
        <f>survey!A287</f>
        <v/>
      </c>
      <c r="D270" t="inlineStr"/>
      <c r="E270">
        <f>IF(OR(B270="",C270=""),"",IF(LOWER(D270)="yes","INCLUDE","EXCLUDE"))</f>
        <v/>
      </c>
      <c r="F270">
        <f>IF(E270&lt;&gt;"INCLUDE","",IF(LEFT(LOWER(C270),10)="select_one ","select_one",IF(LOWER(C270)="date","date",IF(OR(LOWER(C270)="integer",LOWER(C270)="decimal",LOWER(C270)="range"),LOWER(C270),"sha256"))))</f>
        <v/>
      </c>
      <c r="G270">
        <f>IF(E270&lt;&gt;"INCLUDE","",IF(F270="date","yyyy-mm-dd",IF(F270="select_one","stored-choice-name",IF(F270="sha256","odk-lexical-utf8-sha256","odk-canonical-scalar"))))</f>
        <v/>
      </c>
      <c r="H270">
        <f>IF(E270&lt;&gt;"INCLUDE","","{"&amp;CHAR(34)&amp;"path"&amp;CHAR(34)&amp;":"&amp;CHAR(34)&amp;B270&amp;CHAR(34)&amp;","&amp;CHAR(34)&amp;"type"&amp;CHAR(34)&amp;":"&amp;CHAR(34)&amp;F270&amp;CHAR(34)&amp;","&amp;CHAR(34)&amp;"xlsform_type"&amp;CHAR(34)&amp;":"&amp;CHAR(34)&amp;C270&amp;CHAR(34)&amp;","&amp;CHAR(34)&amp;"commitment"&amp;CHAR(34)&amp;":"&amp;CHAR(34)&amp;IF(F270="sha256","text-utf8-sha256","value")&amp;CHAR(34)&amp;","&amp;CHAR(34)&amp;"transform"&amp;CHAR(34)&amp;":"&amp;CHAR(34)&amp;G270&amp;CHAR(34)&amp;"}")</f>
        <v/>
      </c>
      <c r="I270">
        <f>IF(E270&lt;&gt;"INCLUDE","","'|"&amp;B270&amp;"=', "&amp;IF(F270="date","if(string-length(string(${"&amp;B270&amp;"})) &gt; 0, format-date(${"&amp;B270&amp;"}, '%Y-%m-%d'), '')",IF(F270="sha256","digest(string(${"&amp;B270&amp;"}), 'SHA-256', 'hex')","string(${"&amp;B270&amp;"})")))</f>
        <v/>
      </c>
      <c r="J270">
        <f>IF(E270="INCLUDE","Included by explicit yes","Not included")</f>
        <v/>
      </c>
      <c r="K270">
        <f>K269&amp;IF(H270="","",","&amp;H270)</f>
        <v/>
      </c>
      <c r="L270">
        <f>L269&amp;IF(I270="","",","&amp;I270)</f>
        <v/>
      </c>
    </row>
    <row r="271">
      <c r="A271" t="n">
        <v>288</v>
      </c>
      <c r="B271">
        <f>survey!B288</f>
        <v/>
      </c>
      <c r="C271">
        <f>survey!A288</f>
        <v/>
      </c>
      <c r="D271" t="inlineStr"/>
      <c r="E271">
        <f>IF(OR(B271="",C271=""),"",IF(LOWER(D271)="yes","INCLUDE","EXCLUDE"))</f>
        <v/>
      </c>
      <c r="F271">
        <f>IF(E271&lt;&gt;"INCLUDE","",IF(LEFT(LOWER(C271),10)="select_one ","select_one",IF(LOWER(C271)="date","date",IF(OR(LOWER(C271)="integer",LOWER(C271)="decimal",LOWER(C271)="range"),LOWER(C271),"sha256"))))</f>
        <v/>
      </c>
      <c r="G271">
        <f>IF(E271&lt;&gt;"INCLUDE","",IF(F271="date","yyyy-mm-dd",IF(F271="select_one","stored-choice-name",IF(F271="sha256","odk-lexical-utf8-sha256","odk-canonical-scalar"))))</f>
        <v/>
      </c>
      <c r="H271">
        <f>IF(E271&lt;&gt;"INCLUDE","","{"&amp;CHAR(34)&amp;"path"&amp;CHAR(34)&amp;":"&amp;CHAR(34)&amp;B271&amp;CHAR(34)&amp;","&amp;CHAR(34)&amp;"type"&amp;CHAR(34)&amp;":"&amp;CHAR(34)&amp;F271&amp;CHAR(34)&amp;","&amp;CHAR(34)&amp;"xlsform_type"&amp;CHAR(34)&amp;":"&amp;CHAR(34)&amp;C271&amp;CHAR(34)&amp;","&amp;CHAR(34)&amp;"commitment"&amp;CHAR(34)&amp;":"&amp;CHAR(34)&amp;IF(F271="sha256","text-utf8-sha256","value")&amp;CHAR(34)&amp;","&amp;CHAR(34)&amp;"transform"&amp;CHAR(34)&amp;":"&amp;CHAR(34)&amp;G271&amp;CHAR(34)&amp;"}")</f>
        <v/>
      </c>
      <c r="I271">
        <f>IF(E271&lt;&gt;"INCLUDE","","'|"&amp;B271&amp;"=', "&amp;IF(F271="date","if(string-length(string(${"&amp;B271&amp;"})) &gt; 0, format-date(${"&amp;B271&amp;"}, '%Y-%m-%d'), '')",IF(F271="sha256","digest(string(${"&amp;B271&amp;"}), 'SHA-256', 'hex')","string(${"&amp;B271&amp;"})")))</f>
        <v/>
      </c>
      <c r="J271">
        <f>IF(E271="INCLUDE","Included by explicit yes","Not included")</f>
        <v/>
      </c>
      <c r="K271">
        <f>K270&amp;IF(H271="","",","&amp;H271)</f>
        <v/>
      </c>
      <c r="L271">
        <f>L270&amp;IF(I271="","",","&amp;I271)</f>
        <v/>
      </c>
    </row>
    <row r="272">
      <c r="A272" t="n">
        <v>289</v>
      </c>
      <c r="B272">
        <f>survey!B289</f>
        <v/>
      </c>
      <c r="C272">
        <f>survey!A289</f>
        <v/>
      </c>
      <c r="D272" t="inlineStr"/>
      <c r="E272">
        <f>IF(OR(B272="",C272=""),"",IF(LOWER(D272)="yes","INCLUDE","EXCLUDE"))</f>
        <v/>
      </c>
      <c r="F272">
        <f>IF(E272&lt;&gt;"INCLUDE","",IF(LEFT(LOWER(C272),10)="select_one ","select_one",IF(LOWER(C272)="date","date",IF(OR(LOWER(C272)="integer",LOWER(C272)="decimal",LOWER(C272)="range"),LOWER(C272),"sha256"))))</f>
        <v/>
      </c>
      <c r="G272">
        <f>IF(E272&lt;&gt;"INCLUDE","",IF(F272="date","yyyy-mm-dd",IF(F272="select_one","stored-choice-name",IF(F272="sha256","odk-lexical-utf8-sha256","odk-canonical-scalar"))))</f>
        <v/>
      </c>
      <c r="H272">
        <f>IF(E272&lt;&gt;"INCLUDE","","{"&amp;CHAR(34)&amp;"path"&amp;CHAR(34)&amp;":"&amp;CHAR(34)&amp;B272&amp;CHAR(34)&amp;","&amp;CHAR(34)&amp;"type"&amp;CHAR(34)&amp;":"&amp;CHAR(34)&amp;F272&amp;CHAR(34)&amp;","&amp;CHAR(34)&amp;"xlsform_type"&amp;CHAR(34)&amp;":"&amp;CHAR(34)&amp;C272&amp;CHAR(34)&amp;","&amp;CHAR(34)&amp;"commitment"&amp;CHAR(34)&amp;":"&amp;CHAR(34)&amp;IF(F272="sha256","text-utf8-sha256","value")&amp;CHAR(34)&amp;","&amp;CHAR(34)&amp;"transform"&amp;CHAR(34)&amp;":"&amp;CHAR(34)&amp;G272&amp;CHAR(34)&amp;"}")</f>
        <v/>
      </c>
      <c r="I272">
        <f>IF(E272&lt;&gt;"INCLUDE","","'|"&amp;B272&amp;"=', "&amp;IF(F272="date","if(string-length(string(${"&amp;B272&amp;"})) &gt; 0, format-date(${"&amp;B272&amp;"}, '%Y-%m-%d'), '')",IF(F272="sha256","digest(string(${"&amp;B272&amp;"}), 'SHA-256', 'hex')","string(${"&amp;B272&amp;"})")))</f>
        <v/>
      </c>
      <c r="J272">
        <f>IF(E272="INCLUDE","Included by explicit yes","Not included")</f>
        <v/>
      </c>
      <c r="K272">
        <f>K271&amp;IF(H272="","",","&amp;H272)</f>
        <v/>
      </c>
      <c r="L272">
        <f>L271&amp;IF(I272="","",","&amp;I272)</f>
        <v/>
      </c>
    </row>
    <row r="273">
      <c r="A273" t="n">
        <v>290</v>
      </c>
      <c r="B273">
        <f>survey!B290</f>
        <v/>
      </c>
      <c r="C273">
        <f>survey!A290</f>
        <v/>
      </c>
      <c r="D273" t="inlineStr"/>
      <c r="E273">
        <f>IF(OR(B273="",C273=""),"",IF(LOWER(D273)="yes","INCLUDE","EXCLUDE"))</f>
        <v/>
      </c>
      <c r="F273">
        <f>IF(E273&lt;&gt;"INCLUDE","",IF(LEFT(LOWER(C273),10)="select_one ","select_one",IF(LOWER(C273)="date","date",IF(OR(LOWER(C273)="integer",LOWER(C273)="decimal",LOWER(C273)="range"),LOWER(C273),"sha256"))))</f>
        <v/>
      </c>
      <c r="G273">
        <f>IF(E273&lt;&gt;"INCLUDE","",IF(F273="date","yyyy-mm-dd",IF(F273="select_one","stored-choice-name",IF(F273="sha256","odk-lexical-utf8-sha256","odk-canonical-scalar"))))</f>
        <v/>
      </c>
      <c r="H273">
        <f>IF(E273&lt;&gt;"INCLUDE","","{"&amp;CHAR(34)&amp;"path"&amp;CHAR(34)&amp;":"&amp;CHAR(34)&amp;B273&amp;CHAR(34)&amp;","&amp;CHAR(34)&amp;"type"&amp;CHAR(34)&amp;":"&amp;CHAR(34)&amp;F273&amp;CHAR(34)&amp;","&amp;CHAR(34)&amp;"xlsform_type"&amp;CHAR(34)&amp;":"&amp;CHAR(34)&amp;C273&amp;CHAR(34)&amp;","&amp;CHAR(34)&amp;"commitment"&amp;CHAR(34)&amp;":"&amp;CHAR(34)&amp;IF(F273="sha256","text-utf8-sha256","value")&amp;CHAR(34)&amp;","&amp;CHAR(34)&amp;"transform"&amp;CHAR(34)&amp;":"&amp;CHAR(34)&amp;G273&amp;CHAR(34)&amp;"}")</f>
        <v/>
      </c>
      <c r="I273">
        <f>IF(E273&lt;&gt;"INCLUDE","","'|"&amp;B273&amp;"=', "&amp;IF(F273="date","if(string-length(string(${"&amp;B273&amp;"})) &gt; 0, format-date(${"&amp;B273&amp;"}, '%Y-%m-%d'), '')",IF(F273="sha256","digest(string(${"&amp;B273&amp;"}), 'SHA-256', 'hex')","string(${"&amp;B273&amp;"})")))</f>
        <v/>
      </c>
      <c r="J273">
        <f>IF(E273="INCLUDE","Included by explicit yes","Not included")</f>
        <v/>
      </c>
      <c r="K273">
        <f>K272&amp;IF(H273="","",","&amp;H273)</f>
        <v/>
      </c>
      <c r="L273">
        <f>L272&amp;IF(I273="","",","&amp;I273)</f>
        <v/>
      </c>
    </row>
    <row r="274">
      <c r="A274" t="n">
        <v>291</v>
      </c>
      <c r="B274">
        <f>survey!B291</f>
        <v/>
      </c>
      <c r="C274">
        <f>survey!A291</f>
        <v/>
      </c>
      <c r="D274" t="inlineStr"/>
      <c r="E274">
        <f>IF(OR(B274="",C274=""),"",IF(LOWER(D274)="yes","INCLUDE","EXCLUDE"))</f>
        <v/>
      </c>
      <c r="F274">
        <f>IF(E274&lt;&gt;"INCLUDE","",IF(LEFT(LOWER(C274),10)="select_one ","select_one",IF(LOWER(C274)="date","date",IF(OR(LOWER(C274)="integer",LOWER(C274)="decimal",LOWER(C274)="range"),LOWER(C274),"sha256"))))</f>
        <v/>
      </c>
      <c r="G274">
        <f>IF(E274&lt;&gt;"INCLUDE","",IF(F274="date","yyyy-mm-dd",IF(F274="select_one","stored-choice-name",IF(F274="sha256","odk-lexical-utf8-sha256","odk-canonical-scalar"))))</f>
        <v/>
      </c>
      <c r="H274">
        <f>IF(E274&lt;&gt;"INCLUDE","","{"&amp;CHAR(34)&amp;"path"&amp;CHAR(34)&amp;":"&amp;CHAR(34)&amp;B274&amp;CHAR(34)&amp;","&amp;CHAR(34)&amp;"type"&amp;CHAR(34)&amp;":"&amp;CHAR(34)&amp;F274&amp;CHAR(34)&amp;","&amp;CHAR(34)&amp;"xlsform_type"&amp;CHAR(34)&amp;":"&amp;CHAR(34)&amp;C274&amp;CHAR(34)&amp;","&amp;CHAR(34)&amp;"commitment"&amp;CHAR(34)&amp;":"&amp;CHAR(34)&amp;IF(F274="sha256","text-utf8-sha256","value")&amp;CHAR(34)&amp;","&amp;CHAR(34)&amp;"transform"&amp;CHAR(34)&amp;":"&amp;CHAR(34)&amp;G274&amp;CHAR(34)&amp;"}")</f>
        <v/>
      </c>
      <c r="I274">
        <f>IF(E274&lt;&gt;"INCLUDE","","'|"&amp;B274&amp;"=', "&amp;IF(F274="date","if(string-length(string(${"&amp;B274&amp;"})) &gt; 0, format-date(${"&amp;B274&amp;"}, '%Y-%m-%d'), '')",IF(F274="sha256","digest(string(${"&amp;B274&amp;"}), 'SHA-256', 'hex')","string(${"&amp;B274&amp;"})")))</f>
        <v/>
      </c>
      <c r="J274">
        <f>IF(E274="INCLUDE","Included by explicit yes","Not included")</f>
        <v/>
      </c>
      <c r="K274">
        <f>K273&amp;IF(H274="","",","&amp;H274)</f>
        <v/>
      </c>
      <c r="L274">
        <f>L273&amp;IF(I274="","",","&amp;I274)</f>
        <v/>
      </c>
    </row>
    <row r="275">
      <c r="A275" t="n">
        <v>292</v>
      </c>
      <c r="B275">
        <f>survey!B292</f>
        <v/>
      </c>
      <c r="C275">
        <f>survey!A292</f>
        <v/>
      </c>
      <c r="D275" t="inlineStr"/>
      <c r="E275">
        <f>IF(OR(B275="",C275=""),"",IF(LOWER(D275)="yes","INCLUDE","EXCLUDE"))</f>
        <v/>
      </c>
      <c r="F275">
        <f>IF(E275&lt;&gt;"INCLUDE","",IF(LEFT(LOWER(C275),10)="select_one ","select_one",IF(LOWER(C275)="date","date",IF(OR(LOWER(C275)="integer",LOWER(C275)="decimal",LOWER(C275)="range"),LOWER(C275),"sha256"))))</f>
        <v/>
      </c>
      <c r="G275">
        <f>IF(E275&lt;&gt;"INCLUDE","",IF(F275="date","yyyy-mm-dd",IF(F275="select_one","stored-choice-name",IF(F275="sha256","odk-lexical-utf8-sha256","odk-canonical-scalar"))))</f>
        <v/>
      </c>
      <c r="H275">
        <f>IF(E275&lt;&gt;"INCLUDE","","{"&amp;CHAR(34)&amp;"path"&amp;CHAR(34)&amp;":"&amp;CHAR(34)&amp;B275&amp;CHAR(34)&amp;","&amp;CHAR(34)&amp;"type"&amp;CHAR(34)&amp;":"&amp;CHAR(34)&amp;F275&amp;CHAR(34)&amp;","&amp;CHAR(34)&amp;"xlsform_type"&amp;CHAR(34)&amp;":"&amp;CHAR(34)&amp;C275&amp;CHAR(34)&amp;","&amp;CHAR(34)&amp;"commitment"&amp;CHAR(34)&amp;":"&amp;CHAR(34)&amp;IF(F275="sha256","text-utf8-sha256","value")&amp;CHAR(34)&amp;","&amp;CHAR(34)&amp;"transform"&amp;CHAR(34)&amp;":"&amp;CHAR(34)&amp;G275&amp;CHAR(34)&amp;"}")</f>
        <v/>
      </c>
      <c r="I275">
        <f>IF(E275&lt;&gt;"INCLUDE","","'|"&amp;B275&amp;"=', "&amp;IF(F275="date","if(string-length(string(${"&amp;B275&amp;"})) &gt; 0, format-date(${"&amp;B275&amp;"}, '%Y-%m-%d'), '')",IF(F275="sha256","digest(string(${"&amp;B275&amp;"}), 'SHA-256', 'hex')","string(${"&amp;B275&amp;"})")))</f>
        <v/>
      </c>
      <c r="J275">
        <f>IF(E275="INCLUDE","Included by explicit yes","Not included")</f>
        <v/>
      </c>
      <c r="K275">
        <f>K274&amp;IF(H275="","",","&amp;H275)</f>
        <v/>
      </c>
      <c r="L275">
        <f>L274&amp;IF(I275="","",","&amp;I275)</f>
        <v/>
      </c>
    </row>
    <row r="276">
      <c r="A276" t="n">
        <v>293</v>
      </c>
      <c r="B276">
        <f>survey!B293</f>
        <v/>
      </c>
      <c r="C276">
        <f>survey!A293</f>
        <v/>
      </c>
      <c r="D276" t="inlineStr"/>
      <c r="E276">
        <f>IF(OR(B276="",C276=""),"",IF(LOWER(D276)="yes","INCLUDE","EXCLUDE"))</f>
        <v/>
      </c>
      <c r="F276">
        <f>IF(E276&lt;&gt;"INCLUDE","",IF(LEFT(LOWER(C276),10)="select_one ","select_one",IF(LOWER(C276)="date","date",IF(OR(LOWER(C276)="integer",LOWER(C276)="decimal",LOWER(C276)="range"),LOWER(C276),"sha256"))))</f>
        <v/>
      </c>
      <c r="G276">
        <f>IF(E276&lt;&gt;"INCLUDE","",IF(F276="date","yyyy-mm-dd",IF(F276="select_one","stored-choice-name",IF(F276="sha256","odk-lexical-utf8-sha256","odk-canonical-scalar"))))</f>
        <v/>
      </c>
      <c r="H276">
        <f>IF(E276&lt;&gt;"INCLUDE","","{"&amp;CHAR(34)&amp;"path"&amp;CHAR(34)&amp;":"&amp;CHAR(34)&amp;B276&amp;CHAR(34)&amp;","&amp;CHAR(34)&amp;"type"&amp;CHAR(34)&amp;":"&amp;CHAR(34)&amp;F276&amp;CHAR(34)&amp;","&amp;CHAR(34)&amp;"xlsform_type"&amp;CHAR(34)&amp;":"&amp;CHAR(34)&amp;C276&amp;CHAR(34)&amp;","&amp;CHAR(34)&amp;"commitment"&amp;CHAR(34)&amp;":"&amp;CHAR(34)&amp;IF(F276="sha256","text-utf8-sha256","value")&amp;CHAR(34)&amp;","&amp;CHAR(34)&amp;"transform"&amp;CHAR(34)&amp;":"&amp;CHAR(34)&amp;G276&amp;CHAR(34)&amp;"}")</f>
        <v/>
      </c>
      <c r="I276">
        <f>IF(E276&lt;&gt;"INCLUDE","","'|"&amp;B276&amp;"=', "&amp;IF(F276="date","if(string-length(string(${"&amp;B276&amp;"})) &gt; 0, format-date(${"&amp;B276&amp;"}, '%Y-%m-%d'), '')",IF(F276="sha256","digest(string(${"&amp;B276&amp;"}), 'SHA-256', 'hex')","string(${"&amp;B276&amp;"})")))</f>
        <v/>
      </c>
      <c r="J276">
        <f>IF(E276="INCLUDE","Included by explicit yes","Not included")</f>
        <v/>
      </c>
      <c r="K276">
        <f>K275&amp;IF(H276="","",","&amp;H276)</f>
        <v/>
      </c>
      <c r="L276">
        <f>L275&amp;IF(I276="","",","&amp;I276)</f>
        <v/>
      </c>
    </row>
    <row r="277">
      <c r="A277" t="n">
        <v>294</v>
      </c>
      <c r="B277">
        <f>survey!B294</f>
        <v/>
      </c>
      <c r="C277">
        <f>survey!A294</f>
        <v/>
      </c>
      <c r="D277" t="inlineStr"/>
      <c r="E277">
        <f>IF(OR(B277="",C277=""),"",IF(LOWER(D277)="yes","INCLUDE","EXCLUDE"))</f>
        <v/>
      </c>
      <c r="F277">
        <f>IF(E277&lt;&gt;"INCLUDE","",IF(LEFT(LOWER(C277),10)="select_one ","select_one",IF(LOWER(C277)="date","date",IF(OR(LOWER(C277)="integer",LOWER(C277)="decimal",LOWER(C277)="range"),LOWER(C277),"sha256"))))</f>
        <v/>
      </c>
      <c r="G277">
        <f>IF(E277&lt;&gt;"INCLUDE","",IF(F277="date","yyyy-mm-dd",IF(F277="select_one","stored-choice-name",IF(F277="sha256","odk-lexical-utf8-sha256","odk-canonical-scalar"))))</f>
        <v/>
      </c>
      <c r="H277">
        <f>IF(E277&lt;&gt;"INCLUDE","","{"&amp;CHAR(34)&amp;"path"&amp;CHAR(34)&amp;":"&amp;CHAR(34)&amp;B277&amp;CHAR(34)&amp;","&amp;CHAR(34)&amp;"type"&amp;CHAR(34)&amp;":"&amp;CHAR(34)&amp;F277&amp;CHAR(34)&amp;","&amp;CHAR(34)&amp;"xlsform_type"&amp;CHAR(34)&amp;":"&amp;CHAR(34)&amp;C277&amp;CHAR(34)&amp;","&amp;CHAR(34)&amp;"commitment"&amp;CHAR(34)&amp;":"&amp;CHAR(34)&amp;IF(F277="sha256","text-utf8-sha256","value")&amp;CHAR(34)&amp;","&amp;CHAR(34)&amp;"transform"&amp;CHAR(34)&amp;":"&amp;CHAR(34)&amp;G277&amp;CHAR(34)&amp;"}")</f>
        <v/>
      </c>
      <c r="I277">
        <f>IF(E277&lt;&gt;"INCLUDE","","'|"&amp;B277&amp;"=', "&amp;IF(F277="date","if(string-length(string(${"&amp;B277&amp;"})) &gt; 0, format-date(${"&amp;B277&amp;"}, '%Y-%m-%d'), '')",IF(F277="sha256","digest(string(${"&amp;B277&amp;"}), 'SHA-256', 'hex')","string(${"&amp;B277&amp;"})")))</f>
        <v/>
      </c>
      <c r="J277">
        <f>IF(E277="INCLUDE","Included by explicit yes","Not included")</f>
        <v/>
      </c>
      <c r="K277">
        <f>K276&amp;IF(H277="","",","&amp;H277)</f>
        <v/>
      </c>
      <c r="L277">
        <f>L276&amp;IF(I277="","",","&amp;I277)</f>
        <v/>
      </c>
    </row>
    <row r="278">
      <c r="A278" t="n">
        <v>295</v>
      </c>
      <c r="B278">
        <f>survey!B295</f>
        <v/>
      </c>
      <c r="C278">
        <f>survey!A295</f>
        <v/>
      </c>
      <c r="D278" t="inlineStr"/>
      <c r="E278">
        <f>IF(OR(B278="",C278=""),"",IF(LOWER(D278)="yes","INCLUDE","EXCLUDE"))</f>
        <v/>
      </c>
      <c r="F278">
        <f>IF(E278&lt;&gt;"INCLUDE","",IF(LEFT(LOWER(C278),10)="select_one ","select_one",IF(LOWER(C278)="date","date",IF(OR(LOWER(C278)="integer",LOWER(C278)="decimal",LOWER(C278)="range"),LOWER(C278),"sha256"))))</f>
        <v/>
      </c>
      <c r="G278">
        <f>IF(E278&lt;&gt;"INCLUDE","",IF(F278="date","yyyy-mm-dd",IF(F278="select_one","stored-choice-name",IF(F278="sha256","odk-lexical-utf8-sha256","odk-canonical-scalar"))))</f>
        <v/>
      </c>
      <c r="H278">
        <f>IF(E278&lt;&gt;"INCLUDE","","{"&amp;CHAR(34)&amp;"path"&amp;CHAR(34)&amp;":"&amp;CHAR(34)&amp;B278&amp;CHAR(34)&amp;","&amp;CHAR(34)&amp;"type"&amp;CHAR(34)&amp;":"&amp;CHAR(34)&amp;F278&amp;CHAR(34)&amp;","&amp;CHAR(34)&amp;"xlsform_type"&amp;CHAR(34)&amp;":"&amp;CHAR(34)&amp;C278&amp;CHAR(34)&amp;","&amp;CHAR(34)&amp;"commitment"&amp;CHAR(34)&amp;":"&amp;CHAR(34)&amp;IF(F278="sha256","text-utf8-sha256","value")&amp;CHAR(34)&amp;","&amp;CHAR(34)&amp;"transform"&amp;CHAR(34)&amp;":"&amp;CHAR(34)&amp;G278&amp;CHAR(34)&amp;"}")</f>
        <v/>
      </c>
      <c r="I278">
        <f>IF(E278&lt;&gt;"INCLUDE","","'|"&amp;B278&amp;"=', "&amp;IF(F278="date","if(string-length(string(${"&amp;B278&amp;"})) &gt; 0, format-date(${"&amp;B278&amp;"}, '%Y-%m-%d'), '')",IF(F278="sha256","digest(string(${"&amp;B278&amp;"}), 'SHA-256', 'hex')","string(${"&amp;B278&amp;"})")))</f>
        <v/>
      </c>
      <c r="J278">
        <f>IF(E278="INCLUDE","Included by explicit yes","Not included")</f>
        <v/>
      </c>
      <c r="K278">
        <f>K277&amp;IF(H278="","",","&amp;H278)</f>
        <v/>
      </c>
      <c r="L278">
        <f>L277&amp;IF(I278="","",","&amp;I278)</f>
        <v/>
      </c>
    </row>
    <row r="279">
      <c r="A279" t="n">
        <v>296</v>
      </c>
      <c r="B279">
        <f>survey!B296</f>
        <v/>
      </c>
      <c r="C279">
        <f>survey!A296</f>
        <v/>
      </c>
      <c r="D279" t="inlineStr"/>
      <c r="E279">
        <f>IF(OR(B279="",C279=""),"",IF(LOWER(D279)="yes","INCLUDE","EXCLUDE"))</f>
        <v/>
      </c>
      <c r="F279">
        <f>IF(E279&lt;&gt;"INCLUDE","",IF(LEFT(LOWER(C279),10)="select_one ","select_one",IF(LOWER(C279)="date","date",IF(OR(LOWER(C279)="integer",LOWER(C279)="decimal",LOWER(C279)="range"),LOWER(C279),"sha256"))))</f>
        <v/>
      </c>
      <c r="G279">
        <f>IF(E279&lt;&gt;"INCLUDE","",IF(F279="date","yyyy-mm-dd",IF(F279="select_one","stored-choice-name",IF(F279="sha256","odk-lexical-utf8-sha256","odk-canonical-scalar"))))</f>
        <v/>
      </c>
      <c r="H279">
        <f>IF(E279&lt;&gt;"INCLUDE","","{"&amp;CHAR(34)&amp;"path"&amp;CHAR(34)&amp;":"&amp;CHAR(34)&amp;B279&amp;CHAR(34)&amp;","&amp;CHAR(34)&amp;"type"&amp;CHAR(34)&amp;":"&amp;CHAR(34)&amp;F279&amp;CHAR(34)&amp;","&amp;CHAR(34)&amp;"xlsform_type"&amp;CHAR(34)&amp;":"&amp;CHAR(34)&amp;C279&amp;CHAR(34)&amp;","&amp;CHAR(34)&amp;"commitment"&amp;CHAR(34)&amp;":"&amp;CHAR(34)&amp;IF(F279="sha256","text-utf8-sha256","value")&amp;CHAR(34)&amp;","&amp;CHAR(34)&amp;"transform"&amp;CHAR(34)&amp;":"&amp;CHAR(34)&amp;G279&amp;CHAR(34)&amp;"}")</f>
        <v/>
      </c>
      <c r="I279">
        <f>IF(E279&lt;&gt;"INCLUDE","","'|"&amp;B279&amp;"=', "&amp;IF(F279="date","if(string-length(string(${"&amp;B279&amp;"})) &gt; 0, format-date(${"&amp;B279&amp;"}, '%Y-%m-%d'), '')",IF(F279="sha256","digest(string(${"&amp;B279&amp;"}), 'SHA-256', 'hex')","string(${"&amp;B279&amp;"})")))</f>
        <v/>
      </c>
      <c r="J279">
        <f>IF(E279="INCLUDE","Included by explicit yes","Not included")</f>
        <v/>
      </c>
      <c r="K279">
        <f>K278&amp;IF(H279="","",","&amp;H279)</f>
        <v/>
      </c>
      <c r="L279">
        <f>L278&amp;IF(I279="","",","&amp;I279)</f>
        <v/>
      </c>
    </row>
    <row r="280">
      <c r="A280" t="n">
        <v>297</v>
      </c>
      <c r="B280">
        <f>survey!B297</f>
        <v/>
      </c>
      <c r="C280">
        <f>survey!A297</f>
        <v/>
      </c>
      <c r="D280" t="inlineStr"/>
      <c r="E280">
        <f>IF(OR(B280="",C280=""),"",IF(LOWER(D280)="yes","INCLUDE","EXCLUDE"))</f>
        <v/>
      </c>
      <c r="F280">
        <f>IF(E280&lt;&gt;"INCLUDE","",IF(LEFT(LOWER(C280),10)="select_one ","select_one",IF(LOWER(C280)="date","date",IF(OR(LOWER(C280)="integer",LOWER(C280)="decimal",LOWER(C280)="range"),LOWER(C280),"sha256"))))</f>
        <v/>
      </c>
      <c r="G280">
        <f>IF(E280&lt;&gt;"INCLUDE","",IF(F280="date","yyyy-mm-dd",IF(F280="select_one","stored-choice-name",IF(F280="sha256","odk-lexical-utf8-sha256","odk-canonical-scalar"))))</f>
        <v/>
      </c>
      <c r="H280">
        <f>IF(E280&lt;&gt;"INCLUDE","","{"&amp;CHAR(34)&amp;"path"&amp;CHAR(34)&amp;":"&amp;CHAR(34)&amp;B280&amp;CHAR(34)&amp;","&amp;CHAR(34)&amp;"type"&amp;CHAR(34)&amp;":"&amp;CHAR(34)&amp;F280&amp;CHAR(34)&amp;","&amp;CHAR(34)&amp;"xlsform_type"&amp;CHAR(34)&amp;":"&amp;CHAR(34)&amp;C280&amp;CHAR(34)&amp;","&amp;CHAR(34)&amp;"commitment"&amp;CHAR(34)&amp;":"&amp;CHAR(34)&amp;IF(F280="sha256","text-utf8-sha256","value")&amp;CHAR(34)&amp;","&amp;CHAR(34)&amp;"transform"&amp;CHAR(34)&amp;":"&amp;CHAR(34)&amp;G280&amp;CHAR(34)&amp;"}")</f>
        <v/>
      </c>
      <c r="I280">
        <f>IF(E280&lt;&gt;"INCLUDE","","'|"&amp;B280&amp;"=', "&amp;IF(F280="date","if(string-length(string(${"&amp;B280&amp;"})) &gt; 0, format-date(${"&amp;B280&amp;"}, '%Y-%m-%d'), '')",IF(F280="sha256","digest(string(${"&amp;B280&amp;"}), 'SHA-256', 'hex')","string(${"&amp;B280&amp;"})")))</f>
        <v/>
      </c>
      <c r="J280">
        <f>IF(E280="INCLUDE","Included by explicit yes","Not included")</f>
        <v/>
      </c>
      <c r="K280">
        <f>K279&amp;IF(H280="","",","&amp;H280)</f>
        <v/>
      </c>
      <c r="L280">
        <f>L279&amp;IF(I280="","",","&amp;I280)</f>
        <v/>
      </c>
    </row>
    <row r="281">
      <c r="A281" t="n">
        <v>298</v>
      </c>
      <c r="B281">
        <f>survey!B298</f>
        <v/>
      </c>
      <c r="C281">
        <f>survey!A298</f>
        <v/>
      </c>
      <c r="D281" t="inlineStr"/>
      <c r="E281">
        <f>IF(OR(B281="",C281=""),"",IF(LOWER(D281)="yes","INCLUDE","EXCLUDE"))</f>
        <v/>
      </c>
      <c r="F281">
        <f>IF(E281&lt;&gt;"INCLUDE","",IF(LEFT(LOWER(C281),10)="select_one ","select_one",IF(LOWER(C281)="date","date",IF(OR(LOWER(C281)="integer",LOWER(C281)="decimal",LOWER(C281)="range"),LOWER(C281),"sha256"))))</f>
        <v/>
      </c>
      <c r="G281">
        <f>IF(E281&lt;&gt;"INCLUDE","",IF(F281="date","yyyy-mm-dd",IF(F281="select_one","stored-choice-name",IF(F281="sha256","odk-lexical-utf8-sha256","odk-canonical-scalar"))))</f>
        <v/>
      </c>
      <c r="H281">
        <f>IF(E281&lt;&gt;"INCLUDE","","{"&amp;CHAR(34)&amp;"path"&amp;CHAR(34)&amp;":"&amp;CHAR(34)&amp;B281&amp;CHAR(34)&amp;","&amp;CHAR(34)&amp;"type"&amp;CHAR(34)&amp;":"&amp;CHAR(34)&amp;F281&amp;CHAR(34)&amp;","&amp;CHAR(34)&amp;"xlsform_type"&amp;CHAR(34)&amp;":"&amp;CHAR(34)&amp;C281&amp;CHAR(34)&amp;","&amp;CHAR(34)&amp;"commitment"&amp;CHAR(34)&amp;":"&amp;CHAR(34)&amp;IF(F281="sha256","text-utf8-sha256","value")&amp;CHAR(34)&amp;","&amp;CHAR(34)&amp;"transform"&amp;CHAR(34)&amp;":"&amp;CHAR(34)&amp;G281&amp;CHAR(34)&amp;"}")</f>
        <v/>
      </c>
      <c r="I281">
        <f>IF(E281&lt;&gt;"INCLUDE","","'|"&amp;B281&amp;"=', "&amp;IF(F281="date","if(string-length(string(${"&amp;B281&amp;"})) &gt; 0, format-date(${"&amp;B281&amp;"}, '%Y-%m-%d'), '')",IF(F281="sha256","digest(string(${"&amp;B281&amp;"}), 'SHA-256', 'hex')","string(${"&amp;B281&amp;"})")))</f>
        <v/>
      </c>
      <c r="J281">
        <f>IF(E281="INCLUDE","Included by explicit yes","Not included")</f>
        <v/>
      </c>
      <c r="K281">
        <f>K280&amp;IF(H281="","",","&amp;H281)</f>
        <v/>
      </c>
      <c r="L281">
        <f>L280&amp;IF(I281="","",","&amp;I281)</f>
        <v/>
      </c>
    </row>
    <row r="282">
      <c r="A282" t="n">
        <v>299</v>
      </c>
      <c r="B282">
        <f>survey!B299</f>
        <v/>
      </c>
      <c r="C282">
        <f>survey!A299</f>
        <v/>
      </c>
      <c r="D282" t="inlineStr"/>
      <c r="E282">
        <f>IF(OR(B282="",C282=""),"",IF(LOWER(D282)="yes","INCLUDE","EXCLUDE"))</f>
        <v/>
      </c>
      <c r="F282">
        <f>IF(E282&lt;&gt;"INCLUDE","",IF(LEFT(LOWER(C282),10)="select_one ","select_one",IF(LOWER(C282)="date","date",IF(OR(LOWER(C282)="integer",LOWER(C282)="decimal",LOWER(C282)="range"),LOWER(C282),"sha256"))))</f>
        <v/>
      </c>
      <c r="G282">
        <f>IF(E282&lt;&gt;"INCLUDE","",IF(F282="date","yyyy-mm-dd",IF(F282="select_one","stored-choice-name",IF(F282="sha256","odk-lexical-utf8-sha256","odk-canonical-scalar"))))</f>
        <v/>
      </c>
      <c r="H282">
        <f>IF(E282&lt;&gt;"INCLUDE","","{"&amp;CHAR(34)&amp;"path"&amp;CHAR(34)&amp;":"&amp;CHAR(34)&amp;B282&amp;CHAR(34)&amp;","&amp;CHAR(34)&amp;"type"&amp;CHAR(34)&amp;":"&amp;CHAR(34)&amp;F282&amp;CHAR(34)&amp;","&amp;CHAR(34)&amp;"xlsform_type"&amp;CHAR(34)&amp;":"&amp;CHAR(34)&amp;C282&amp;CHAR(34)&amp;","&amp;CHAR(34)&amp;"commitment"&amp;CHAR(34)&amp;":"&amp;CHAR(34)&amp;IF(F282="sha256","text-utf8-sha256","value")&amp;CHAR(34)&amp;","&amp;CHAR(34)&amp;"transform"&amp;CHAR(34)&amp;":"&amp;CHAR(34)&amp;G282&amp;CHAR(34)&amp;"}")</f>
        <v/>
      </c>
      <c r="I282">
        <f>IF(E282&lt;&gt;"INCLUDE","","'|"&amp;B282&amp;"=', "&amp;IF(F282="date","if(string-length(string(${"&amp;B282&amp;"})) &gt; 0, format-date(${"&amp;B282&amp;"}, '%Y-%m-%d'), '')",IF(F282="sha256","digest(string(${"&amp;B282&amp;"}), 'SHA-256', 'hex')","string(${"&amp;B282&amp;"})")))</f>
        <v/>
      </c>
      <c r="J282">
        <f>IF(E282="INCLUDE","Included by explicit yes","Not included")</f>
        <v/>
      </c>
      <c r="K282">
        <f>K281&amp;IF(H282="","",","&amp;H282)</f>
        <v/>
      </c>
      <c r="L282">
        <f>L281&amp;IF(I282="","",","&amp;I282)</f>
        <v/>
      </c>
    </row>
    <row r="283">
      <c r="A283" t="n">
        <v>300</v>
      </c>
      <c r="B283">
        <f>survey!B300</f>
        <v/>
      </c>
      <c r="C283">
        <f>survey!A300</f>
        <v/>
      </c>
      <c r="D283" t="inlineStr"/>
      <c r="E283">
        <f>IF(OR(B283="",C283=""),"",IF(LOWER(D283)="yes","INCLUDE","EXCLUDE"))</f>
        <v/>
      </c>
      <c r="F283">
        <f>IF(E283&lt;&gt;"INCLUDE","",IF(LEFT(LOWER(C283),10)="select_one ","select_one",IF(LOWER(C283)="date","date",IF(OR(LOWER(C283)="integer",LOWER(C283)="decimal",LOWER(C283)="range"),LOWER(C283),"sha256"))))</f>
        <v/>
      </c>
      <c r="G283">
        <f>IF(E283&lt;&gt;"INCLUDE","",IF(F283="date","yyyy-mm-dd",IF(F283="select_one","stored-choice-name",IF(F283="sha256","odk-lexical-utf8-sha256","odk-canonical-scalar"))))</f>
        <v/>
      </c>
      <c r="H283">
        <f>IF(E283&lt;&gt;"INCLUDE","","{"&amp;CHAR(34)&amp;"path"&amp;CHAR(34)&amp;":"&amp;CHAR(34)&amp;B283&amp;CHAR(34)&amp;","&amp;CHAR(34)&amp;"type"&amp;CHAR(34)&amp;":"&amp;CHAR(34)&amp;F283&amp;CHAR(34)&amp;","&amp;CHAR(34)&amp;"xlsform_type"&amp;CHAR(34)&amp;":"&amp;CHAR(34)&amp;C283&amp;CHAR(34)&amp;","&amp;CHAR(34)&amp;"commitment"&amp;CHAR(34)&amp;":"&amp;CHAR(34)&amp;IF(F283="sha256","text-utf8-sha256","value")&amp;CHAR(34)&amp;","&amp;CHAR(34)&amp;"transform"&amp;CHAR(34)&amp;":"&amp;CHAR(34)&amp;G283&amp;CHAR(34)&amp;"}")</f>
        <v/>
      </c>
      <c r="I283">
        <f>IF(E283&lt;&gt;"INCLUDE","","'|"&amp;B283&amp;"=', "&amp;IF(F283="date","if(string-length(string(${"&amp;B283&amp;"})) &gt; 0, format-date(${"&amp;B283&amp;"}, '%Y-%m-%d'), '')",IF(F283="sha256","digest(string(${"&amp;B283&amp;"}), 'SHA-256', 'hex')","string(${"&amp;B283&amp;"})")))</f>
        <v/>
      </c>
      <c r="J283">
        <f>IF(E283="INCLUDE","Included by explicit yes","Not included")</f>
        <v/>
      </c>
      <c r="K283">
        <f>K282&amp;IF(H283="","",","&amp;H283)</f>
        <v/>
      </c>
      <c r="L283">
        <f>L282&amp;IF(I283="","",","&amp;I283)</f>
        <v/>
      </c>
    </row>
    <row r="284">
      <c r="A284" t="n">
        <v>301</v>
      </c>
      <c r="B284">
        <f>survey!B301</f>
        <v/>
      </c>
      <c r="C284">
        <f>survey!A301</f>
        <v/>
      </c>
      <c r="D284" t="inlineStr"/>
      <c r="E284">
        <f>IF(OR(B284="",C284=""),"",IF(LOWER(D284)="yes","INCLUDE","EXCLUDE"))</f>
        <v/>
      </c>
      <c r="F284">
        <f>IF(E284&lt;&gt;"INCLUDE","",IF(LEFT(LOWER(C284),10)="select_one ","select_one",IF(LOWER(C284)="date","date",IF(OR(LOWER(C284)="integer",LOWER(C284)="decimal",LOWER(C284)="range"),LOWER(C284),"sha256"))))</f>
        <v/>
      </c>
      <c r="G284">
        <f>IF(E284&lt;&gt;"INCLUDE","",IF(F284="date","yyyy-mm-dd",IF(F284="select_one","stored-choice-name",IF(F284="sha256","odk-lexical-utf8-sha256","odk-canonical-scalar"))))</f>
        <v/>
      </c>
      <c r="H284">
        <f>IF(E284&lt;&gt;"INCLUDE","","{"&amp;CHAR(34)&amp;"path"&amp;CHAR(34)&amp;":"&amp;CHAR(34)&amp;B284&amp;CHAR(34)&amp;","&amp;CHAR(34)&amp;"type"&amp;CHAR(34)&amp;":"&amp;CHAR(34)&amp;F284&amp;CHAR(34)&amp;","&amp;CHAR(34)&amp;"xlsform_type"&amp;CHAR(34)&amp;":"&amp;CHAR(34)&amp;C284&amp;CHAR(34)&amp;","&amp;CHAR(34)&amp;"commitment"&amp;CHAR(34)&amp;":"&amp;CHAR(34)&amp;IF(F284="sha256","text-utf8-sha256","value")&amp;CHAR(34)&amp;","&amp;CHAR(34)&amp;"transform"&amp;CHAR(34)&amp;":"&amp;CHAR(34)&amp;G284&amp;CHAR(34)&amp;"}")</f>
        <v/>
      </c>
      <c r="I284">
        <f>IF(E284&lt;&gt;"INCLUDE","","'|"&amp;B284&amp;"=', "&amp;IF(F284="date","if(string-length(string(${"&amp;B284&amp;"})) &gt; 0, format-date(${"&amp;B284&amp;"}, '%Y-%m-%d'), '')",IF(F284="sha256","digest(string(${"&amp;B284&amp;"}), 'SHA-256', 'hex')","string(${"&amp;B284&amp;"})")))</f>
        <v/>
      </c>
      <c r="J284">
        <f>IF(E284="INCLUDE","Included by explicit yes","Not included")</f>
        <v/>
      </c>
      <c r="K284">
        <f>K283&amp;IF(H284="","",","&amp;H284)</f>
        <v/>
      </c>
      <c r="L284">
        <f>L283&amp;IF(I284="","",","&amp;I284)</f>
        <v/>
      </c>
    </row>
    <row r="285">
      <c r="A285" t="n">
        <v>302</v>
      </c>
      <c r="B285">
        <f>survey!B302</f>
        <v/>
      </c>
      <c r="C285">
        <f>survey!A302</f>
        <v/>
      </c>
      <c r="D285" t="inlineStr"/>
      <c r="E285">
        <f>IF(OR(B285="",C285=""),"",IF(LOWER(D285)="yes","INCLUDE","EXCLUDE"))</f>
        <v/>
      </c>
      <c r="F285">
        <f>IF(E285&lt;&gt;"INCLUDE","",IF(LEFT(LOWER(C285),10)="select_one ","select_one",IF(LOWER(C285)="date","date",IF(OR(LOWER(C285)="integer",LOWER(C285)="decimal",LOWER(C285)="range"),LOWER(C285),"sha256"))))</f>
        <v/>
      </c>
      <c r="G285">
        <f>IF(E285&lt;&gt;"INCLUDE","",IF(F285="date","yyyy-mm-dd",IF(F285="select_one","stored-choice-name",IF(F285="sha256","odk-lexical-utf8-sha256","odk-canonical-scalar"))))</f>
        <v/>
      </c>
      <c r="H285">
        <f>IF(E285&lt;&gt;"INCLUDE","","{"&amp;CHAR(34)&amp;"path"&amp;CHAR(34)&amp;":"&amp;CHAR(34)&amp;B285&amp;CHAR(34)&amp;","&amp;CHAR(34)&amp;"type"&amp;CHAR(34)&amp;":"&amp;CHAR(34)&amp;F285&amp;CHAR(34)&amp;","&amp;CHAR(34)&amp;"xlsform_type"&amp;CHAR(34)&amp;":"&amp;CHAR(34)&amp;C285&amp;CHAR(34)&amp;","&amp;CHAR(34)&amp;"commitment"&amp;CHAR(34)&amp;":"&amp;CHAR(34)&amp;IF(F285="sha256","text-utf8-sha256","value")&amp;CHAR(34)&amp;","&amp;CHAR(34)&amp;"transform"&amp;CHAR(34)&amp;":"&amp;CHAR(34)&amp;G285&amp;CHAR(34)&amp;"}")</f>
        <v/>
      </c>
      <c r="I285">
        <f>IF(E285&lt;&gt;"INCLUDE","","'|"&amp;B285&amp;"=', "&amp;IF(F285="date","if(string-length(string(${"&amp;B285&amp;"})) &gt; 0, format-date(${"&amp;B285&amp;"}, '%Y-%m-%d'), '')",IF(F285="sha256","digest(string(${"&amp;B285&amp;"}), 'SHA-256', 'hex')","string(${"&amp;B285&amp;"})")))</f>
        <v/>
      </c>
      <c r="J285">
        <f>IF(E285="INCLUDE","Included by explicit yes","Not included")</f>
        <v/>
      </c>
      <c r="K285">
        <f>K284&amp;IF(H285="","",","&amp;H285)</f>
        <v/>
      </c>
      <c r="L285">
        <f>L284&amp;IF(I285="","",","&amp;I285)</f>
        <v/>
      </c>
    </row>
    <row r="286">
      <c r="A286" t="n">
        <v>303</v>
      </c>
      <c r="B286">
        <f>survey!B303</f>
        <v/>
      </c>
      <c r="C286">
        <f>survey!A303</f>
        <v/>
      </c>
      <c r="D286" t="inlineStr"/>
      <c r="E286">
        <f>IF(OR(B286="",C286=""),"",IF(LOWER(D286)="yes","INCLUDE","EXCLUDE"))</f>
        <v/>
      </c>
      <c r="F286">
        <f>IF(E286&lt;&gt;"INCLUDE","",IF(LEFT(LOWER(C286),10)="select_one ","select_one",IF(LOWER(C286)="date","date",IF(OR(LOWER(C286)="integer",LOWER(C286)="decimal",LOWER(C286)="range"),LOWER(C286),"sha256"))))</f>
        <v/>
      </c>
      <c r="G286">
        <f>IF(E286&lt;&gt;"INCLUDE","",IF(F286="date","yyyy-mm-dd",IF(F286="select_one","stored-choice-name",IF(F286="sha256","odk-lexical-utf8-sha256","odk-canonical-scalar"))))</f>
        <v/>
      </c>
      <c r="H286">
        <f>IF(E286&lt;&gt;"INCLUDE","","{"&amp;CHAR(34)&amp;"path"&amp;CHAR(34)&amp;":"&amp;CHAR(34)&amp;B286&amp;CHAR(34)&amp;","&amp;CHAR(34)&amp;"type"&amp;CHAR(34)&amp;":"&amp;CHAR(34)&amp;F286&amp;CHAR(34)&amp;","&amp;CHAR(34)&amp;"xlsform_type"&amp;CHAR(34)&amp;":"&amp;CHAR(34)&amp;C286&amp;CHAR(34)&amp;","&amp;CHAR(34)&amp;"commitment"&amp;CHAR(34)&amp;":"&amp;CHAR(34)&amp;IF(F286="sha256","text-utf8-sha256","value")&amp;CHAR(34)&amp;","&amp;CHAR(34)&amp;"transform"&amp;CHAR(34)&amp;":"&amp;CHAR(34)&amp;G286&amp;CHAR(34)&amp;"}")</f>
        <v/>
      </c>
      <c r="I286">
        <f>IF(E286&lt;&gt;"INCLUDE","","'|"&amp;B286&amp;"=', "&amp;IF(F286="date","if(string-length(string(${"&amp;B286&amp;"})) &gt; 0, format-date(${"&amp;B286&amp;"}, '%Y-%m-%d'), '')",IF(F286="sha256","digest(string(${"&amp;B286&amp;"}), 'SHA-256', 'hex')","string(${"&amp;B286&amp;"})")))</f>
        <v/>
      </c>
      <c r="J286">
        <f>IF(E286="INCLUDE","Included by explicit yes","Not included")</f>
        <v/>
      </c>
      <c r="K286">
        <f>K285&amp;IF(H286="","",","&amp;H286)</f>
        <v/>
      </c>
      <c r="L286">
        <f>L285&amp;IF(I286="","",","&amp;I286)</f>
        <v/>
      </c>
    </row>
    <row r="287">
      <c r="A287" t="n">
        <v>304</v>
      </c>
      <c r="B287">
        <f>survey!B304</f>
        <v/>
      </c>
      <c r="C287">
        <f>survey!A304</f>
        <v/>
      </c>
      <c r="D287" t="inlineStr"/>
      <c r="E287">
        <f>IF(OR(B287="",C287=""),"",IF(LOWER(D287)="yes","INCLUDE","EXCLUDE"))</f>
        <v/>
      </c>
      <c r="F287">
        <f>IF(E287&lt;&gt;"INCLUDE","",IF(LEFT(LOWER(C287),10)="select_one ","select_one",IF(LOWER(C287)="date","date",IF(OR(LOWER(C287)="integer",LOWER(C287)="decimal",LOWER(C287)="range"),LOWER(C287),"sha256"))))</f>
        <v/>
      </c>
      <c r="G287">
        <f>IF(E287&lt;&gt;"INCLUDE","",IF(F287="date","yyyy-mm-dd",IF(F287="select_one","stored-choice-name",IF(F287="sha256","odk-lexical-utf8-sha256","odk-canonical-scalar"))))</f>
        <v/>
      </c>
      <c r="H287">
        <f>IF(E287&lt;&gt;"INCLUDE","","{"&amp;CHAR(34)&amp;"path"&amp;CHAR(34)&amp;":"&amp;CHAR(34)&amp;B287&amp;CHAR(34)&amp;","&amp;CHAR(34)&amp;"type"&amp;CHAR(34)&amp;":"&amp;CHAR(34)&amp;F287&amp;CHAR(34)&amp;","&amp;CHAR(34)&amp;"xlsform_type"&amp;CHAR(34)&amp;":"&amp;CHAR(34)&amp;C287&amp;CHAR(34)&amp;","&amp;CHAR(34)&amp;"commitment"&amp;CHAR(34)&amp;":"&amp;CHAR(34)&amp;IF(F287="sha256","text-utf8-sha256","value")&amp;CHAR(34)&amp;","&amp;CHAR(34)&amp;"transform"&amp;CHAR(34)&amp;":"&amp;CHAR(34)&amp;G287&amp;CHAR(34)&amp;"}")</f>
        <v/>
      </c>
      <c r="I287">
        <f>IF(E287&lt;&gt;"INCLUDE","","'|"&amp;B287&amp;"=', "&amp;IF(F287="date","if(string-length(string(${"&amp;B287&amp;"})) &gt; 0, format-date(${"&amp;B287&amp;"}, '%Y-%m-%d'), '')",IF(F287="sha256","digest(string(${"&amp;B287&amp;"}), 'SHA-256', 'hex')","string(${"&amp;B287&amp;"})")))</f>
        <v/>
      </c>
      <c r="J287">
        <f>IF(E287="INCLUDE","Included by explicit yes","Not included")</f>
        <v/>
      </c>
      <c r="K287">
        <f>K286&amp;IF(H287="","",","&amp;H287)</f>
        <v/>
      </c>
      <c r="L287">
        <f>L286&amp;IF(I287="","",","&amp;I287)</f>
        <v/>
      </c>
    </row>
    <row r="288">
      <c r="A288" t="n">
        <v>305</v>
      </c>
      <c r="B288">
        <f>survey!B305</f>
        <v/>
      </c>
      <c r="C288">
        <f>survey!A305</f>
        <v/>
      </c>
      <c r="D288" t="inlineStr"/>
      <c r="E288">
        <f>IF(OR(B288="",C288=""),"",IF(LOWER(D288)="yes","INCLUDE","EXCLUDE"))</f>
        <v/>
      </c>
      <c r="F288">
        <f>IF(E288&lt;&gt;"INCLUDE","",IF(LEFT(LOWER(C288),10)="select_one ","select_one",IF(LOWER(C288)="date","date",IF(OR(LOWER(C288)="integer",LOWER(C288)="decimal",LOWER(C288)="range"),LOWER(C288),"sha256"))))</f>
        <v/>
      </c>
      <c r="G288">
        <f>IF(E288&lt;&gt;"INCLUDE","",IF(F288="date","yyyy-mm-dd",IF(F288="select_one","stored-choice-name",IF(F288="sha256","odk-lexical-utf8-sha256","odk-canonical-scalar"))))</f>
        <v/>
      </c>
      <c r="H288">
        <f>IF(E288&lt;&gt;"INCLUDE","","{"&amp;CHAR(34)&amp;"path"&amp;CHAR(34)&amp;":"&amp;CHAR(34)&amp;B288&amp;CHAR(34)&amp;","&amp;CHAR(34)&amp;"type"&amp;CHAR(34)&amp;":"&amp;CHAR(34)&amp;F288&amp;CHAR(34)&amp;","&amp;CHAR(34)&amp;"xlsform_type"&amp;CHAR(34)&amp;":"&amp;CHAR(34)&amp;C288&amp;CHAR(34)&amp;","&amp;CHAR(34)&amp;"commitment"&amp;CHAR(34)&amp;":"&amp;CHAR(34)&amp;IF(F288="sha256","text-utf8-sha256","value")&amp;CHAR(34)&amp;","&amp;CHAR(34)&amp;"transform"&amp;CHAR(34)&amp;":"&amp;CHAR(34)&amp;G288&amp;CHAR(34)&amp;"}")</f>
        <v/>
      </c>
      <c r="I288">
        <f>IF(E288&lt;&gt;"INCLUDE","","'|"&amp;B288&amp;"=', "&amp;IF(F288="date","if(string-length(string(${"&amp;B288&amp;"})) &gt; 0, format-date(${"&amp;B288&amp;"}, '%Y-%m-%d'), '')",IF(F288="sha256","digest(string(${"&amp;B288&amp;"}), 'SHA-256', 'hex')","string(${"&amp;B288&amp;"})")))</f>
        <v/>
      </c>
      <c r="J288">
        <f>IF(E288="INCLUDE","Included by explicit yes","Not included")</f>
        <v/>
      </c>
      <c r="K288">
        <f>K287&amp;IF(H288="","",","&amp;H288)</f>
        <v/>
      </c>
      <c r="L288">
        <f>L287&amp;IF(I288="","",","&amp;I288)</f>
        <v/>
      </c>
    </row>
    <row r="289">
      <c r="A289" t="n">
        <v>306</v>
      </c>
      <c r="B289">
        <f>survey!B306</f>
        <v/>
      </c>
      <c r="C289">
        <f>survey!A306</f>
        <v/>
      </c>
      <c r="D289" t="inlineStr"/>
      <c r="E289">
        <f>IF(OR(B289="",C289=""),"",IF(LOWER(D289)="yes","INCLUDE","EXCLUDE"))</f>
        <v/>
      </c>
      <c r="F289">
        <f>IF(E289&lt;&gt;"INCLUDE","",IF(LEFT(LOWER(C289),10)="select_one ","select_one",IF(LOWER(C289)="date","date",IF(OR(LOWER(C289)="integer",LOWER(C289)="decimal",LOWER(C289)="range"),LOWER(C289),"sha256"))))</f>
        <v/>
      </c>
      <c r="G289">
        <f>IF(E289&lt;&gt;"INCLUDE","",IF(F289="date","yyyy-mm-dd",IF(F289="select_one","stored-choice-name",IF(F289="sha256","odk-lexical-utf8-sha256","odk-canonical-scalar"))))</f>
        <v/>
      </c>
      <c r="H289">
        <f>IF(E289&lt;&gt;"INCLUDE","","{"&amp;CHAR(34)&amp;"path"&amp;CHAR(34)&amp;":"&amp;CHAR(34)&amp;B289&amp;CHAR(34)&amp;","&amp;CHAR(34)&amp;"type"&amp;CHAR(34)&amp;":"&amp;CHAR(34)&amp;F289&amp;CHAR(34)&amp;","&amp;CHAR(34)&amp;"xlsform_type"&amp;CHAR(34)&amp;":"&amp;CHAR(34)&amp;C289&amp;CHAR(34)&amp;","&amp;CHAR(34)&amp;"commitment"&amp;CHAR(34)&amp;":"&amp;CHAR(34)&amp;IF(F289="sha256","text-utf8-sha256","value")&amp;CHAR(34)&amp;","&amp;CHAR(34)&amp;"transform"&amp;CHAR(34)&amp;":"&amp;CHAR(34)&amp;G289&amp;CHAR(34)&amp;"}")</f>
        <v/>
      </c>
      <c r="I289">
        <f>IF(E289&lt;&gt;"INCLUDE","","'|"&amp;B289&amp;"=', "&amp;IF(F289="date","if(string-length(string(${"&amp;B289&amp;"})) &gt; 0, format-date(${"&amp;B289&amp;"}, '%Y-%m-%d'), '')",IF(F289="sha256","digest(string(${"&amp;B289&amp;"}), 'SHA-256', 'hex')","string(${"&amp;B289&amp;"})")))</f>
        <v/>
      </c>
      <c r="J289">
        <f>IF(E289="INCLUDE","Included by explicit yes","Not included")</f>
        <v/>
      </c>
      <c r="K289">
        <f>K288&amp;IF(H289="","",","&amp;H289)</f>
        <v/>
      </c>
      <c r="L289">
        <f>L288&amp;IF(I289="","",","&amp;I289)</f>
        <v/>
      </c>
    </row>
    <row r="290">
      <c r="A290" t="n">
        <v>307</v>
      </c>
      <c r="B290">
        <f>survey!B307</f>
        <v/>
      </c>
      <c r="C290">
        <f>survey!A307</f>
        <v/>
      </c>
      <c r="D290" t="inlineStr"/>
      <c r="E290">
        <f>IF(OR(B290="",C290=""),"",IF(LOWER(D290)="yes","INCLUDE","EXCLUDE"))</f>
        <v/>
      </c>
      <c r="F290">
        <f>IF(E290&lt;&gt;"INCLUDE","",IF(LEFT(LOWER(C290),10)="select_one ","select_one",IF(LOWER(C290)="date","date",IF(OR(LOWER(C290)="integer",LOWER(C290)="decimal",LOWER(C290)="range"),LOWER(C290),"sha256"))))</f>
        <v/>
      </c>
      <c r="G290">
        <f>IF(E290&lt;&gt;"INCLUDE","",IF(F290="date","yyyy-mm-dd",IF(F290="select_one","stored-choice-name",IF(F290="sha256","odk-lexical-utf8-sha256","odk-canonical-scalar"))))</f>
        <v/>
      </c>
      <c r="H290">
        <f>IF(E290&lt;&gt;"INCLUDE","","{"&amp;CHAR(34)&amp;"path"&amp;CHAR(34)&amp;":"&amp;CHAR(34)&amp;B290&amp;CHAR(34)&amp;","&amp;CHAR(34)&amp;"type"&amp;CHAR(34)&amp;":"&amp;CHAR(34)&amp;F290&amp;CHAR(34)&amp;","&amp;CHAR(34)&amp;"xlsform_type"&amp;CHAR(34)&amp;":"&amp;CHAR(34)&amp;C290&amp;CHAR(34)&amp;","&amp;CHAR(34)&amp;"commitment"&amp;CHAR(34)&amp;":"&amp;CHAR(34)&amp;IF(F290="sha256","text-utf8-sha256","value")&amp;CHAR(34)&amp;","&amp;CHAR(34)&amp;"transform"&amp;CHAR(34)&amp;":"&amp;CHAR(34)&amp;G290&amp;CHAR(34)&amp;"}")</f>
        <v/>
      </c>
      <c r="I290">
        <f>IF(E290&lt;&gt;"INCLUDE","","'|"&amp;B290&amp;"=', "&amp;IF(F290="date","if(string-length(string(${"&amp;B290&amp;"})) &gt; 0, format-date(${"&amp;B290&amp;"}, '%Y-%m-%d'), '')",IF(F290="sha256","digest(string(${"&amp;B290&amp;"}), 'SHA-256', 'hex')","string(${"&amp;B290&amp;"})")))</f>
        <v/>
      </c>
      <c r="J290">
        <f>IF(E290="INCLUDE","Included by explicit yes","Not included")</f>
        <v/>
      </c>
      <c r="K290">
        <f>K289&amp;IF(H290="","",","&amp;H290)</f>
        <v/>
      </c>
      <c r="L290">
        <f>L289&amp;IF(I290="","",","&amp;I290)</f>
        <v/>
      </c>
    </row>
    <row r="291">
      <c r="A291" t="n">
        <v>308</v>
      </c>
      <c r="B291">
        <f>survey!B308</f>
        <v/>
      </c>
      <c r="C291">
        <f>survey!A308</f>
        <v/>
      </c>
      <c r="D291" t="inlineStr"/>
      <c r="E291">
        <f>IF(OR(B291="",C291=""),"",IF(LOWER(D291)="yes","INCLUDE","EXCLUDE"))</f>
        <v/>
      </c>
      <c r="F291">
        <f>IF(E291&lt;&gt;"INCLUDE","",IF(LEFT(LOWER(C291),10)="select_one ","select_one",IF(LOWER(C291)="date","date",IF(OR(LOWER(C291)="integer",LOWER(C291)="decimal",LOWER(C291)="range"),LOWER(C291),"sha256"))))</f>
        <v/>
      </c>
      <c r="G291">
        <f>IF(E291&lt;&gt;"INCLUDE","",IF(F291="date","yyyy-mm-dd",IF(F291="select_one","stored-choice-name",IF(F291="sha256","odk-lexical-utf8-sha256","odk-canonical-scalar"))))</f>
        <v/>
      </c>
      <c r="H291">
        <f>IF(E291&lt;&gt;"INCLUDE","","{"&amp;CHAR(34)&amp;"path"&amp;CHAR(34)&amp;":"&amp;CHAR(34)&amp;B291&amp;CHAR(34)&amp;","&amp;CHAR(34)&amp;"type"&amp;CHAR(34)&amp;":"&amp;CHAR(34)&amp;F291&amp;CHAR(34)&amp;","&amp;CHAR(34)&amp;"xlsform_type"&amp;CHAR(34)&amp;":"&amp;CHAR(34)&amp;C291&amp;CHAR(34)&amp;","&amp;CHAR(34)&amp;"commitment"&amp;CHAR(34)&amp;":"&amp;CHAR(34)&amp;IF(F291="sha256","text-utf8-sha256","value")&amp;CHAR(34)&amp;","&amp;CHAR(34)&amp;"transform"&amp;CHAR(34)&amp;":"&amp;CHAR(34)&amp;G291&amp;CHAR(34)&amp;"}")</f>
        <v/>
      </c>
      <c r="I291">
        <f>IF(E291&lt;&gt;"INCLUDE","","'|"&amp;B291&amp;"=', "&amp;IF(F291="date","if(string-length(string(${"&amp;B291&amp;"})) &gt; 0, format-date(${"&amp;B291&amp;"}, '%Y-%m-%d'), '')",IF(F291="sha256","digest(string(${"&amp;B291&amp;"}), 'SHA-256', 'hex')","string(${"&amp;B291&amp;"})")))</f>
        <v/>
      </c>
      <c r="J291">
        <f>IF(E291="INCLUDE","Included by explicit yes","Not included")</f>
        <v/>
      </c>
      <c r="K291">
        <f>K290&amp;IF(H291="","",","&amp;H291)</f>
        <v/>
      </c>
      <c r="L291">
        <f>L290&amp;IF(I291="","",","&amp;I291)</f>
        <v/>
      </c>
    </row>
    <row r="292">
      <c r="A292" t="n">
        <v>309</v>
      </c>
      <c r="B292">
        <f>survey!B309</f>
        <v/>
      </c>
      <c r="C292">
        <f>survey!A309</f>
        <v/>
      </c>
      <c r="D292" t="inlineStr"/>
      <c r="E292">
        <f>IF(OR(B292="",C292=""),"",IF(LOWER(D292)="yes","INCLUDE","EXCLUDE"))</f>
        <v/>
      </c>
      <c r="F292">
        <f>IF(E292&lt;&gt;"INCLUDE","",IF(LEFT(LOWER(C292),10)="select_one ","select_one",IF(LOWER(C292)="date","date",IF(OR(LOWER(C292)="integer",LOWER(C292)="decimal",LOWER(C292)="range"),LOWER(C292),"sha256"))))</f>
        <v/>
      </c>
      <c r="G292">
        <f>IF(E292&lt;&gt;"INCLUDE","",IF(F292="date","yyyy-mm-dd",IF(F292="select_one","stored-choice-name",IF(F292="sha256","odk-lexical-utf8-sha256","odk-canonical-scalar"))))</f>
        <v/>
      </c>
      <c r="H292">
        <f>IF(E292&lt;&gt;"INCLUDE","","{"&amp;CHAR(34)&amp;"path"&amp;CHAR(34)&amp;":"&amp;CHAR(34)&amp;B292&amp;CHAR(34)&amp;","&amp;CHAR(34)&amp;"type"&amp;CHAR(34)&amp;":"&amp;CHAR(34)&amp;F292&amp;CHAR(34)&amp;","&amp;CHAR(34)&amp;"xlsform_type"&amp;CHAR(34)&amp;":"&amp;CHAR(34)&amp;C292&amp;CHAR(34)&amp;","&amp;CHAR(34)&amp;"commitment"&amp;CHAR(34)&amp;":"&amp;CHAR(34)&amp;IF(F292="sha256","text-utf8-sha256","value")&amp;CHAR(34)&amp;","&amp;CHAR(34)&amp;"transform"&amp;CHAR(34)&amp;":"&amp;CHAR(34)&amp;G292&amp;CHAR(34)&amp;"}")</f>
        <v/>
      </c>
      <c r="I292">
        <f>IF(E292&lt;&gt;"INCLUDE","","'|"&amp;B292&amp;"=', "&amp;IF(F292="date","if(string-length(string(${"&amp;B292&amp;"})) &gt; 0, format-date(${"&amp;B292&amp;"}, '%Y-%m-%d'), '')",IF(F292="sha256","digest(string(${"&amp;B292&amp;"}), 'SHA-256', 'hex')","string(${"&amp;B292&amp;"})")))</f>
        <v/>
      </c>
      <c r="J292">
        <f>IF(E292="INCLUDE","Included by explicit yes","Not included")</f>
        <v/>
      </c>
      <c r="K292">
        <f>K291&amp;IF(H292="","",","&amp;H292)</f>
        <v/>
      </c>
      <c r="L292">
        <f>L291&amp;IF(I292="","",","&amp;I292)</f>
        <v/>
      </c>
    </row>
    <row r="293">
      <c r="A293" t="n">
        <v>310</v>
      </c>
      <c r="B293">
        <f>survey!B310</f>
        <v/>
      </c>
      <c r="C293">
        <f>survey!A310</f>
        <v/>
      </c>
      <c r="D293" t="inlineStr"/>
      <c r="E293">
        <f>IF(OR(B293="",C293=""),"",IF(LOWER(D293)="yes","INCLUDE","EXCLUDE"))</f>
        <v/>
      </c>
      <c r="F293">
        <f>IF(E293&lt;&gt;"INCLUDE","",IF(LEFT(LOWER(C293),10)="select_one ","select_one",IF(LOWER(C293)="date","date",IF(OR(LOWER(C293)="integer",LOWER(C293)="decimal",LOWER(C293)="range"),LOWER(C293),"sha256"))))</f>
        <v/>
      </c>
      <c r="G293">
        <f>IF(E293&lt;&gt;"INCLUDE","",IF(F293="date","yyyy-mm-dd",IF(F293="select_one","stored-choice-name",IF(F293="sha256","odk-lexical-utf8-sha256","odk-canonical-scalar"))))</f>
        <v/>
      </c>
      <c r="H293">
        <f>IF(E293&lt;&gt;"INCLUDE","","{"&amp;CHAR(34)&amp;"path"&amp;CHAR(34)&amp;":"&amp;CHAR(34)&amp;B293&amp;CHAR(34)&amp;","&amp;CHAR(34)&amp;"type"&amp;CHAR(34)&amp;":"&amp;CHAR(34)&amp;F293&amp;CHAR(34)&amp;","&amp;CHAR(34)&amp;"xlsform_type"&amp;CHAR(34)&amp;":"&amp;CHAR(34)&amp;C293&amp;CHAR(34)&amp;","&amp;CHAR(34)&amp;"commitment"&amp;CHAR(34)&amp;":"&amp;CHAR(34)&amp;IF(F293="sha256","text-utf8-sha256","value")&amp;CHAR(34)&amp;","&amp;CHAR(34)&amp;"transform"&amp;CHAR(34)&amp;":"&amp;CHAR(34)&amp;G293&amp;CHAR(34)&amp;"}")</f>
        <v/>
      </c>
      <c r="I293">
        <f>IF(E293&lt;&gt;"INCLUDE","","'|"&amp;B293&amp;"=', "&amp;IF(F293="date","if(string-length(string(${"&amp;B293&amp;"})) &gt; 0, format-date(${"&amp;B293&amp;"}, '%Y-%m-%d'), '')",IF(F293="sha256","digest(string(${"&amp;B293&amp;"}), 'SHA-256', 'hex')","string(${"&amp;B293&amp;"})")))</f>
        <v/>
      </c>
      <c r="J293">
        <f>IF(E293="INCLUDE","Included by explicit yes","Not included")</f>
        <v/>
      </c>
      <c r="K293">
        <f>K292&amp;IF(H293="","",","&amp;H293)</f>
        <v/>
      </c>
      <c r="L293">
        <f>L292&amp;IF(I293="","",","&amp;I293)</f>
        <v/>
      </c>
    </row>
    <row r="294">
      <c r="A294" t="n">
        <v>311</v>
      </c>
      <c r="B294">
        <f>survey!B311</f>
        <v/>
      </c>
      <c r="C294">
        <f>survey!A311</f>
        <v/>
      </c>
      <c r="D294" t="inlineStr"/>
      <c r="E294">
        <f>IF(OR(B294="",C294=""),"",IF(LOWER(D294)="yes","INCLUDE","EXCLUDE"))</f>
        <v/>
      </c>
      <c r="F294">
        <f>IF(E294&lt;&gt;"INCLUDE","",IF(LEFT(LOWER(C294),10)="select_one ","select_one",IF(LOWER(C294)="date","date",IF(OR(LOWER(C294)="integer",LOWER(C294)="decimal",LOWER(C294)="range"),LOWER(C294),"sha256"))))</f>
        <v/>
      </c>
      <c r="G294">
        <f>IF(E294&lt;&gt;"INCLUDE","",IF(F294="date","yyyy-mm-dd",IF(F294="select_one","stored-choice-name",IF(F294="sha256","odk-lexical-utf8-sha256","odk-canonical-scalar"))))</f>
        <v/>
      </c>
      <c r="H294">
        <f>IF(E294&lt;&gt;"INCLUDE","","{"&amp;CHAR(34)&amp;"path"&amp;CHAR(34)&amp;":"&amp;CHAR(34)&amp;B294&amp;CHAR(34)&amp;","&amp;CHAR(34)&amp;"type"&amp;CHAR(34)&amp;":"&amp;CHAR(34)&amp;F294&amp;CHAR(34)&amp;","&amp;CHAR(34)&amp;"xlsform_type"&amp;CHAR(34)&amp;":"&amp;CHAR(34)&amp;C294&amp;CHAR(34)&amp;","&amp;CHAR(34)&amp;"commitment"&amp;CHAR(34)&amp;":"&amp;CHAR(34)&amp;IF(F294="sha256","text-utf8-sha256","value")&amp;CHAR(34)&amp;","&amp;CHAR(34)&amp;"transform"&amp;CHAR(34)&amp;":"&amp;CHAR(34)&amp;G294&amp;CHAR(34)&amp;"}")</f>
        <v/>
      </c>
      <c r="I294">
        <f>IF(E294&lt;&gt;"INCLUDE","","'|"&amp;B294&amp;"=', "&amp;IF(F294="date","if(string-length(string(${"&amp;B294&amp;"})) &gt; 0, format-date(${"&amp;B294&amp;"}, '%Y-%m-%d'), '')",IF(F294="sha256","digest(string(${"&amp;B294&amp;"}), 'SHA-256', 'hex')","string(${"&amp;B294&amp;"})")))</f>
        <v/>
      </c>
      <c r="J294">
        <f>IF(E294="INCLUDE","Included by explicit yes","Not included")</f>
        <v/>
      </c>
      <c r="K294">
        <f>K293&amp;IF(H294="","",","&amp;H294)</f>
        <v/>
      </c>
      <c r="L294">
        <f>L293&amp;IF(I294="","",","&amp;I294)</f>
        <v/>
      </c>
    </row>
    <row r="295">
      <c r="A295" t="n">
        <v>312</v>
      </c>
      <c r="B295">
        <f>survey!B312</f>
        <v/>
      </c>
      <c r="C295">
        <f>survey!A312</f>
        <v/>
      </c>
      <c r="D295" t="inlineStr"/>
      <c r="E295">
        <f>IF(OR(B295="",C295=""),"",IF(LOWER(D295)="yes","INCLUDE","EXCLUDE"))</f>
        <v/>
      </c>
      <c r="F295">
        <f>IF(E295&lt;&gt;"INCLUDE","",IF(LEFT(LOWER(C295),10)="select_one ","select_one",IF(LOWER(C295)="date","date",IF(OR(LOWER(C295)="integer",LOWER(C295)="decimal",LOWER(C295)="range"),LOWER(C295),"sha256"))))</f>
        <v/>
      </c>
      <c r="G295">
        <f>IF(E295&lt;&gt;"INCLUDE","",IF(F295="date","yyyy-mm-dd",IF(F295="select_one","stored-choice-name",IF(F295="sha256","odk-lexical-utf8-sha256","odk-canonical-scalar"))))</f>
        <v/>
      </c>
      <c r="H295">
        <f>IF(E295&lt;&gt;"INCLUDE","","{"&amp;CHAR(34)&amp;"path"&amp;CHAR(34)&amp;":"&amp;CHAR(34)&amp;B295&amp;CHAR(34)&amp;","&amp;CHAR(34)&amp;"type"&amp;CHAR(34)&amp;":"&amp;CHAR(34)&amp;F295&amp;CHAR(34)&amp;","&amp;CHAR(34)&amp;"xlsform_type"&amp;CHAR(34)&amp;":"&amp;CHAR(34)&amp;C295&amp;CHAR(34)&amp;","&amp;CHAR(34)&amp;"commitment"&amp;CHAR(34)&amp;":"&amp;CHAR(34)&amp;IF(F295="sha256","text-utf8-sha256","value")&amp;CHAR(34)&amp;","&amp;CHAR(34)&amp;"transform"&amp;CHAR(34)&amp;":"&amp;CHAR(34)&amp;G295&amp;CHAR(34)&amp;"}")</f>
        <v/>
      </c>
      <c r="I295">
        <f>IF(E295&lt;&gt;"INCLUDE","","'|"&amp;B295&amp;"=', "&amp;IF(F295="date","if(string-length(string(${"&amp;B295&amp;"})) &gt; 0, format-date(${"&amp;B295&amp;"}, '%Y-%m-%d'), '')",IF(F295="sha256","digest(string(${"&amp;B295&amp;"}), 'SHA-256', 'hex')","string(${"&amp;B295&amp;"})")))</f>
        <v/>
      </c>
      <c r="J295">
        <f>IF(E295="INCLUDE","Included by explicit yes","Not included")</f>
        <v/>
      </c>
      <c r="K295">
        <f>K294&amp;IF(H295="","",","&amp;H295)</f>
        <v/>
      </c>
      <c r="L295">
        <f>L294&amp;IF(I295="","",","&amp;I295)</f>
        <v/>
      </c>
    </row>
    <row r="296">
      <c r="A296" t="n">
        <v>313</v>
      </c>
      <c r="B296">
        <f>survey!B313</f>
        <v/>
      </c>
      <c r="C296">
        <f>survey!A313</f>
        <v/>
      </c>
      <c r="D296" t="inlineStr"/>
      <c r="E296">
        <f>IF(OR(B296="",C296=""),"",IF(LOWER(D296)="yes","INCLUDE","EXCLUDE"))</f>
        <v/>
      </c>
      <c r="F296">
        <f>IF(E296&lt;&gt;"INCLUDE","",IF(LEFT(LOWER(C296),10)="select_one ","select_one",IF(LOWER(C296)="date","date",IF(OR(LOWER(C296)="integer",LOWER(C296)="decimal",LOWER(C296)="range"),LOWER(C296),"sha256"))))</f>
        <v/>
      </c>
      <c r="G296">
        <f>IF(E296&lt;&gt;"INCLUDE","",IF(F296="date","yyyy-mm-dd",IF(F296="select_one","stored-choice-name",IF(F296="sha256","odk-lexical-utf8-sha256","odk-canonical-scalar"))))</f>
        <v/>
      </c>
      <c r="H296">
        <f>IF(E296&lt;&gt;"INCLUDE","","{"&amp;CHAR(34)&amp;"path"&amp;CHAR(34)&amp;":"&amp;CHAR(34)&amp;B296&amp;CHAR(34)&amp;","&amp;CHAR(34)&amp;"type"&amp;CHAR(34)&amp;":"&amp;CHAR(34)&amp;F296&amp;CHAR(34)&amp;","&amp;CHAR(34)&amp;"xlsform_type"&amp;CHAR(34)&amp;":"&amp;CHAR(34)&amp;C296&amp;CHAR(34)&amp;","&amp;CHAR(34)&amp;"commitment"&amp;CHAR(34)&amp;":"&amp;CHAR(34)&amp;IF(F296="sha256","text-utf8-sha256","value")&amp;CHAR(34)&amp;","&amp;CHAR(34)&amp;"transform"&amp;CHAR(34)&amp;":"&amp;CHAR(34)&amp;G296&amp;CHAR(34)&amp;"}")</f>
        <v/>
      </c>
      <c r="I296">
        <f>IF(E296&lt;&gt;"INCLUDE","","'|"&amp;B296&amp;"=', "&amp;IF(F296="date","if(string-length(string(${"&amp;B296&amp;"})) &gt; 0, format-date(${"&amp;B296&amp;"}, '%Y-%m-%d'), '')",IF(F296="sha256","digest(string(${"&amp;B296&amp;"}), 'SHA-256', 'hex')","string(${"&amp;B296&amp;"})")))</f>
        <v/>
      </c>
      <c r="J296">
        <f>IF(E296="INCLUDE","Included by explicit yes","Not included")</f>
        <v/>
      </c>
      <c r="K296">
        <f>K295&amp;IF(H296="","",","&amp;H296)</f>
        <v/>
      </c>
      <c r="L296">
        <f>L295&amp;IF(I296="","",","&amp;I296)</f>
        <v/>
      </c>
    </row>
    <row r="297">
      <c r="A297" t="n">
        <v>314</v>
      </c>
      <c r="B297">
        <f>survey!B314</f>
        <v/>
      </c>
      <c r="C297">
        <f>survey!A314</f>
        <v/>
      </c>
      <c r="D297" t="inlineStr"/>
      <c r="E297">
        <f>IF(OR(B297="",C297=""),"",IF(LOWER(D297)="yes","INCLUDE","EXCLUDE"))</f>
        <v/>
      </c>
      <c r="F297">
        <f>IF(E297&lt;&gt;"INCLUDE","",IF(LEFT(LOWER(C297),10)="select_one ","select_one",IF(LOWER(C297)="date","date",IF(OR(LOWER(C297)="integer",LOWER(C297)="decimal",LOWER(C297)="range"),LOWER(C297),"sha256"))))</f>
        <v/>
      </c>
      <c r="G297">
        <f>IF(E297&lt;&gt;"INCLUDE","",IF(F297="date","yyyy-mm-dd",IF(F297="select_one","stored-choice-name",IF(F297="sha256","odk-lexical-utf8-sha256","odk-canonical-scalar"))))</f>
        <v/>
      </c>
      <c r="H297">
        <f>IF(E297&lt;&gt;"INCLUDE","","{"&amp;CHAR(34)&amp;"path"&amp;CHAR(34)&amp;":"&amp;CHAR(34)&amp;B297&amp;CHAR(34)&amp;","&amp;CHAR(34)&amp;"type"&amp;CHAR(34)&amp;":"&amp;CHAR(34)&amp;F297&amp;CHAR(34)&amp;","&amp;CHAR(34)&amp;"xlsform_type"&amp;CHAR(34)&amp;":"&amp;CHAR(34)&amp;C297&amp;CHAR(34)&amp;","&amp;CHAR(34)&amp;"commitment"&amp;CHAR(34)&amp;":"&amp;CHAR(34)&amp;IF(F297="sha256","text-utf8-sha256","value")&amp;CHAR(34)&amp;","&amp;CHAR(34)&amp;"transform"&amp;CHAR(34)&amp;":"&amp;CHAR(34)&amp;G297&amp;CHAR(34)&amp;"}")</f>
        <v/>
      </c>
      <c r="I297">
        <f>IF(E297&lt;&gt;"INCLUDE","","'|"&amp;B297&amp;"=', "&amp;IF(F297="date","if(string-length(string(${"&amp;B297&amp;"})) &gt; 0, format-date(${"&amp;B297&amp;"}, '%Y-%m-%d'), '')",IF(F297="sha256","digest(string(${"&amp;B297&amp;"}), 'SHA-256', 'hex')","string(${"&amp;B297&amp;"})")))</f>
        <v/>
      </c>
      <c r="J297">
        <f>IF(E297="INCLUDE","Included by explicit yes","Not included")</f>
        <v/>
      </c>
      <c r="K297">
        <f>K296&amp;IF(H297="","",","&amp;H297)</f>
        <v/>
      </c>
      <c r="L297">
        <f>L296&amp;IF(I297="","",","&amp;I297)</f>
        <v/>
      </c>
    </row>
    <row r="298">
      <c r="A298" t="n">
        <v>315</v>
      </c>
      <c r="B298">
        <f>survey!B315</f>
        <v/>
      </c>
      <c r="C298">
        <f>survey!A315</f>
        <v/>
      </c>
      <c r="D298" t="inlineStr"/>
      <c r="E298">
        <f>IF(OR(B298="",C298=""),"",IF(LOWER(D298)="yes","INCLUDE","EXCLUDE"))</f>
        <v/>
      </c>
      <c r="F298">
        <f>IF(E298&lt;&gt;"INCLUDE","",IF(LEFT(LOWER(C298),10)="select_one ","select_one",IF(LOWER(C298)="date","date",IF(OR(LOWER(C298)="integer",LOWER(C298)="decimal",LOWER(C298)="range"),LOWER(C298),"sha256"))))</f>
        <v/>
      </c>
      <c r="G298">
        <f>IF(E298&lt;&gt;"INCLUDE","",IF(F298="date","yyyy-mm-dd",IF(F298="select_one","stored-choice-name",IF(F298="sha256","odk-lexical-utf8-sha256","odk-canonical-scalar"))))</f>
        <v/>
      </c>
      <c r="H298">
        <f>IF(E298&lt;&gt;"INCLUDE","","{"&amp;CHAR(34)&amp;"path"&amp;CHAR(34)&amp;":"&amp;CHAR(34)&amp;B298&amp;CHAR(34)&amp;","&amp;CHAR(34)&amp;"type"&amp;CHAR(34)&amp;":"&amp;CHAR(34)&amp;F298&amp;CHAR(34)&amp;","&amp;CHAR(34)&amp;"xlsform_type"&amp;CHAR(34)&amp;":"&amp;CHAR(34)&amp;C298&amp;CHAR(34)&amp;","&amp;CHAR(34)&amp;"commitment"&amp;CHAR(34)&amp;":"&amp;CHAR(34)&amp;IF(F298="sha256","text-utf8-sha256","value")&amp;CHAR(34)&amp;","&amp;CHAR(34)&amp;"transform"&amp;CHAR(34)&amp;":"&amp;CHAR(34)&amp;G298&amp;CHAR(34)&amp;"}")</f>
        <v/>
      </c>
      <c r="I298">
        <f>IF(E298&lt;&gt;"INCLUDE","","'|"&amp;B298&amp;"=', "&amp;IF(F298="date","if(string-length(string(${"&amp;B298&amp;"})) &gt; 0, format-date(${"&amp;B298&amp;"}, '%Y-%m-%d'), '')",IF(F298="sha256","digest(string(${"&amp;B298&amp;"}), 'SHA-256', 'hex')","string(${"&amp;B298&amp;"})")))</f>
        <v/>
      </c>
      <c r="J298">
        <f>IF(E298="INCLUDE","Included by explicit yes","Not included")</f>
        <v/>
      </c>
      <c r="K298">
        <f>K297&amp;IF(H298="","",","&amp;H298)</f>
        <v/>
      </c>
      <c r="L298">
        <f>L297&amp;IF(I298="","",","&amp;I298)</f>
        <v/>
      </c>
    </row>
    <row r="299">
      <c r="A299" t="n">
        <v>316</v>
      </c>
      <c r="B299">
        <f>survey!B316</f>
        <v/>
      </c>
      <c r="C299">
        <f>survey!A316</f>
        <v/>
      </c>
      <c r="D299" t="inlineStr"/>
      <c r="E299">
        <f>IF(OR(B299="",C299=""),"",IF(LOWER(D299)="yes","INCLUDE","EXCLUDE"))</f>
        <v/>
      </c>
      <c r="F299">
        <f>IF(E299&lt;&gt;"INCLUDE","",IF(LEFT(LOWER(C299),10)="select_one ","select_one",IF(LOWER(C299)="date","date",IF(OR(LOWER(C299)="integer",LOWER(C299)="decimal",LOWER(C299)="range"),LOWER(C299),"sha256"))))</f>
        <v/>
      </c>
      <c r="G299">
        <f>IF(E299&lt;&gt;"INCLUDE","",IF(F299="date","yyyy-mm-dd",IF(F299="select_one","stored-choice-name",IF(F299="sha256","odk-lexical-utf8-sha256","odk-canonical-scalar"))))</f>
        <v/>
      </c>
      <c r="H299">
        <f>IF(E299&lt;&gt;"INCLUDE","","{"&amp;CHAR(34)&amp;"path"&amp;CHAR(34)&amp;":"&amp;CHAR(34)&amp;B299&amp;CHAR(34)&amp;","&amp;CHAR(34)&amp;"type"&amp;CHAR(34)&amp;":"&amp;CHAR(34)&amp;F299&amp;CHAR(34)&amp;","&amp;CHAR(34)&amp;"xlsform_type"&amp;CHAR(34)&amp;":"&amp;CHAR(34)&amp;C299&amp;CHAR(34)&amp;","&amp;CHAR(34)&amp;"commitment"&amp;CHAR(34)&amp;":"&amp;CHAR(34)&amp;IF(F299="sha256","text-utf8-sha256","value")&amp;CHAR(34)&amp;","&amp;CHAR(34)&amp;"transform"&amp;CHAR(34)&amp;":"&amp;CHAR(34)&amp;G299&amp;CHAR(34)&amp;"}")</f>
        <v/>
      </c>
      <c r="I299">
        <f>IF(E299&lt;&gt;"INCLUDE","","'|"&amp;B299&amp;"=', "&amp;IF(F299="date","if(string-length(string(${"&amp;B299&amp;"})) &gt; 0, format-date(${"&amp;B299&amp;"}, '%Y-%m-%d'), '')",IF(F299="sha256","digest(string(${"&amp;B299&amp;"}), 'SHA-256', 'hex')","string(${"&amp;B299&amp;"})")))</f>
        <v/>
      </c>
      <c r="J299">
        <f>IF(E299="INCLUDE","Included by explicit yes","Not included")</f>
        <v/>
      </c>
      <c r="K299">
        <f>K298&amp;IF(H299="","",","&amp;H299)</f>
        <v/>
      </c>
      <c r="L299">
        <f>L298&amp;IF(I299="","",","&amp;I299)</f>
        <v/>
      </c>
    </row>
    <row r="300">
      <c r="A300" t="n">
        <v>317</v>
      </c>
      <c r="B300">
        <f>survey!B317</f>
        <v/>
      </c>
      <c r="C300">
        <f>survey!A317</f>
        <v/>
      </c>
      <c r="D300" t="inlineStr"/>
      <c r="E300">
        <f>IF(OR(B300="",C300=""),"",IF(LOWER(D300)="yes","INCLUDE","EXCLUDE"))</f>
        <v/>
      </c>
      <c r="F300">
        <f>IF(E300&lt;&gt;"INCLUDE","",IF(LEFT(LOWER(C300),10)="select_one ","select_one",IF(LOWER(C300)="date","date",IF(OR(LOWER(C300)="integer",LOWER(C300)="decimal",LOWER(C300)="range"),LOWER(C300),"sha256"))))</f>
        <v/>
      </c>
      <c r="G300">
        <f>IF(E300&lt;&gt;"INCLUDE","",IF(F300="date","yyyy-mm-dd",IF(F300="select_one","stored-choice-name",IF(F300="sha256","odk-lexical-utf8-sha256","odk-canonical-scalar"))))</f>
        <v/>
      </c>
      <c r="H300">
        <f>IF(E300&lt;&gt;"INCLUDE","","{"&amp;CHAR(34)&amp;"path"&amp;CHAR(34)&amp;":"&amp;CHAR(34)&amp;B300&amp;CHAR(34)&amp;","&amp;CHAR(34)&amp;"type"&amp;CHAR(34)&amp;":"&amp;CHAR(34)&amp;F300&amp;CHAR(34)&amp;","&amp;CHAR(34)&amp;"xlsform_type"&amp;CHAR(34)&amp;":"&amp;CHAR(34)&amp;C300&amp;CHAR(34)&amp;","&amp;CHAR(34)&amp;"commitment"&amp;CHAR(34)&amp;":"&amp;CHAR(34)&amp;IF(F300="sha256","text-utf8-sha256","value")&amp;CHAR(34)&amp;","&amp;CHAR(34)&amp;"transform"&amp;CHAR(34)&amp;":"&amp;CHAR(34)&amp;G300&amp;CHAR(34)&amp;"}")</f>
        <v/>
      </c>
      <c r="I300">
        <f>IF(E300&lt;&gt;"INCLUDE","","'|"&amp;B300&amp;"=', "&amp;IF(F300="date","if(string-length(string(${"&amp;B300&amp;"})) &gt; 0, format-date(${"&amp;B300&amp;"}, '%Y-%m-%d'), '')",IF(F300="sha256","digest(string(${"&amp;B300&amp;"}), 'SHA-256', 'hex')","string(${"&amp;B300&amp;"})")))</f>
        <v/>
      </c>
      <c r="J300">
        <f>IF(E300="INCLUDE","Included by explicit yes","Not included")</f>
        <v/>
      </c>
      <c r="K300">
        <f>K299&amp;IF(H300="","",","&amp;H300)</f>
        <v/>
      </c>
      <c r="L300">
        <f>L299&amp;IF(I300="","",","&amp;I300)</f>
        <v/>
      </c>
    </row>
    <row r="301">
      <c r="A301" t="n">
        <v>318</v>
      </c>
      <c r="B301">
        <f>survey!B318</f>
        <v/>
      </c>
      <c r="C301">
        <f>survey!A318</f>
        <v/>
      </c>
      <c r="D301" t="inlineStr"/>
      <c r="E301">
        <f>IF(OR(B301="",C301=""),"",IF(LOWER(D301)="yes","INCLUDE","EXCLUDE"))</f>
        <v/>
      </c>
      <c r="F301">
        <f>IF(E301&lt;&gt;"INCLUDE","",IF(LEFT(LOWER(C301),10)="select_one ","select_one",IF(LOWER(C301)="date","date",IF(OR(LOWER(C301)="integer",LOWER(C301)="decimal",LOWER(C301)="range"),LOWER(C301),"sha256"))))</f>
        <v/>
      </c>
      <c r="G301">
        <f>IF(E301&lt;&gt;"INCLUDE","",IF(F301="date","yyyy-mm-dd",IF(F301="select_one","stored-choice-name",IF(F301="sha256","odk-lexical-utf8-sha256","odk-canonical-scalar"))))</f>
        <v/>
      </c>
      <c r="H301">
        <f>IF(E301&lt;&gt;"INCLUDE","","{"&amp;CHAR(34)&amp;"path"&amp;CHAR(34)&amp;":"&amp;CHAR(34)&amp;B301&amp;CHAR(34)&amp;","&amp;CHAR(34)&amp;"type"&amp;CHAR(34)&amp;":"&amp;CHAR(34)&amp;F301&amp;CHAR(34)&amp;","&amp;CHAR(34)&amp;"xlsform_type"&amp;CHAR(34)&amp;":"&amp;CHAR(34)&amp;C301&amp;CHAR(34)&amp;","&amp;CHAR(34)&amp;"commitment"&amp;CHAR(34)&amp;":"&amp;CHAR(34)&amp;IF(F301="sha256","text-utf8-sha256","value")&amp;CHAR(34)&amp;","&amp;CHAR(34)&amp;"transform"&amp;CHAR(34)&amp;":"&amp;CHAR(34)&amp;G301&amp;CHAR(34)&amp;"}")</f>
        <v/>
      </c>
      <c r="I301">
        <f>IF(E301&lt;&gt;"INCLUDE","","'|"&amp;B301&amp;"=', "&amp;IF(F301="date","if(string-length(string(${"&amp;B301&amp;"})) &gt; 0, format-date(${"&amp;B301&amp;"}, '%Y-%m-%d'), '')",IF(F301="sha256","digest(string(${"&amp;B301&amp;"}), 'SHA-256', 'hex')","string(${"&amp;B301&amp;"})")))</f>
        <v/>
      </c>
      <c r="J301">
        <f>IF(E301="INCLUDE","Included by explicit yes","Not included")</f>
        <v/>
      </c>
      <c r="K301">
        <f>K300&amp;IF(H301="","",","&amp;H301)</f>
        <v/>
      </c>
      <c r="L301">
        <f>L300&amp;IF(I301="","",","&amp;I301)</f>
        <v/>
      </c>
    </row>
    <row r="302">
      <c r="A302" t="n">
        <v>319</v>
      </c>
      <c r="B302">
        <f>survey!B319</f>
        <v/>
      </c>
      <c r="C302">
        <f>survey!A319</f>
        <v/>
      </c>
      <c r="D302" t="inlineStr"/>
      <c r="E302">
        <f>IF(OR(B302="",C302=""),"",IF(LOWER(D302)="yes","INCLUDE","EXCLUDE"))</f>
        <v/>
      </c>
      <c r="F302">
        <f>IF(E302&lt;&gt;"INCLUDE","",IF(LEFT(LOWER(C302),10)="select_one ","select_one",IF(LOWER(C302)="date","date",IF(OR(LOWER(C302)="integer",LOWER(C302)="decimal",LOWER(C302)="range"),LOWER(C302),"sha256"))))</f>
        <v/>
      </c>
      <c r="G302">
        <f>IF(E302&lt;&gt;"INCLUDE","",IF(F302="date","yyyy-mm-dd",IF(F302="select_one","stored-choice-name",IF(F302="sha256","odk-lexical-utf8-sha256","odk-canonical-scalar"))))</f>
        <v/>
      </c>
      <c r="H302">
        <f>IF(E302&lt;&gt;"INCLUDE","","{"&amp;CHAR(34)&amp;"path"&amp;CHAR(34)&amp;":"&amp;CHAR(34)&amp;B302&amp;CHAR(34)&amp;","&amp;CHAR(34)&amp;"type"&amp;CHAR(34)&amp;":"&amp;CHAR(34)&amp;F302&amp;CHAR(34)&amp;","&amp;CHAR(34)&amp;"xlsform_type"&amp;CHAR(34)&amp;":"&amp;CHAR(34)&amp;C302&amp;CHAR(34)&amp;","&amp;CHAR(34)&amp;"commitment"&amp;CHAR(34)&amp;":"&amp;CHAR(34)&amp;IF(F302="sha256","text-utf8-sha256","value")&amp;CHAR(34)&amp;","&amp;CHAR(34)&amp;"transform"&amp;CHAR(34)&amp;":"&amp;CHAR(34)&amp;G302&amp;CHAR(34)&amp;"}")</f>
        <v/>
      </c>
      <c r="I302">
        <f>IF(E302&lt;&gt;"INCLUDE","","'|"&amp;B302&amp;"=', "&amp;IF(F302="date","if(string-length(string(${"&amp;B302&amp;"})) &gt; 0, format-date(${"&amp;B302&amp;"}, '%Y-%m-%d'), '')",IF(F302="sha256","digest(string(${"&amp;B302&amp;"}), 'SHA-256', 'hex')","string(${"&amp;B302&amp;"})")))</f>
        <v/>
      </c>
      <c r="J302">
        <f>IF(E302="INCLUDE","Included by explicit yes","Not included")</f>
        <v/>
      </c>
      <c r="K302">
        <f>K301&amp;IF(H302="","",","&amp;H302)</f>
        <v/>
      </c>
      <c r="L302">
        <f>L301&amp;IF(I302="","",","&amp;I302)</f>
        <v/>
      </c>
    </row>
    <row r="303">
      <c r="A303" t="n">
        <v>320</v>
      </c>
      <c r="B303">
        <f>survey!B320</f>
        <v/>
      </c>
      <c r="C303">
        <f>survey!A320</f>
        <v/>
      </c>
      <c r="D303" t="inlineStr"/>
      <c r="E303">
        <f>IF(OR(B303="",C303=""),"",IF(LOWER(D303)="yes","INCLUDE","EXCLUDE"))</f>
        <v/>
      </c>
      <c r="F303">
        <f>IF(E303&lt;&gt;"INCLUDE","",IF(LEFT(LOWER(C303),10)="select_one ","select_one",IF(LOWER(C303)="date","date",IF(OR(LOWER(C303)="integer",LOWER(C303)="decimal",LOWER(C303)="range"),LOWER(C303),"sha256"))))</f>
        <v/>
      </c>
      <c r="G303">
        <f>IF(E303&lt;&gt;"INCLUDE","",IF(F303="date","yyyy-mm-dd",IF(F303="select_one","stored-choice-name",IF(F303="sha256","odk-lexical-utf8-sha256","odk-canonical-scalar"))))</f>
        <v/>
      </c>
      <c r="H303">
        <f>IF(E303&lt;&gt;"INCLUDE","","{"&amp;CHAR(34)&amp;"path"&amp;CHAR(34)&amp;":"&amp;CHAR(34)&amp;B303&amp;CHAR(34)&amp;","&amp;CHAR(34)&amp;"type"&amp;CHAR(34)&amp;":"&amp;CHAR(34)&amp;F303&amp;CHAR(34)&amp;","&amp;CHAR(34)&amp;"xlsform_type"&amp;CHAR(34)&amp;":"&amp;CHAR(34)&amp;C303&amp;CHAR(34)&amp;","&amp;CHAR(34)&amp;"commitment"&amp;CHAR(34)&amp;":"&amp;CHAR(34)&amp;IF(F303="sha256","text-utf8-sha256","value")&amp;CHAR(34)&amp;","&amp;CHAR(34)&amp;"transform"&amp;CHAR(34)&amp;":"&amp;CHAR(34)&amp;G303&amp;CHAR(34)&amp;"}")</f>
        <v/>
      </c>
      <c r="I303">
        <f>IF(E303&lt;&gt;"INCLUDE","","'|"&amp;B303&amp;"=', "&amp;IF(F303="date","if(string-length(string(${"&amp;B303&amp;"})) &gt; 0, format-date(${"&amp;B303&amp;"}, '%Y-%m-%d'), '')",IF(F303="sha256","digest(string(${"&amp;B303&amp;"}), 'SHA-256', 'hex')","string(${"&amp;B303&amp;"})")))</f>
        <v/>
      </c>
      <c r="J303">
        <f>IF(E303="INCLUDE","Included by explicit yes","Not included")</f>
        <v/>
      </c>
      <c r="K303">
        <f>K302&amp;IF(H303="","",","&amp;H303)</f>
        <v/>
      </c>
      <c r="L303">
        <f>L302&amp;IF(I303="","",","&amp;I303)</f>
        <v/>
      </c>
    </row>
    <row r="304">
      <c r="A304" t="n">
        <v>321</v>
      </c>
      <c r="B304">
        <f>survey!B321</f>
        <v/>
      </c>
      <c r="C304">
        <f>survey!A321</f>
        <v/>
      </c>
      <c r="D304" t="inlineStr"/>
      <c r="E304">
        <f>IF(OR(B304="",C304=""),"",IF(LOWER(D304)="yes","INCLUDE","EXCLUDE"))</f>
        <v/>
      </c>
      <c r="F304">
        <f>IF(E304&lt;&gt;"INCLUDE","",IF(LEFT(LOWER(C304),10)="select_one ","select_one",IF(LOWER(C304)="date","date",IF(OR(LOWER(C304)="integer",LOWER(C304)="decimal",LOWER(C304)="range"),LOWER(C304),"sha256"))))</f>
        <v/>
      </c>
      <c r="G304">
        <f>IF(E304&lt;&gt;"INCLUDE","",IF(F304="date","yyyy-mm-dd",IF(F304="select_one","stored-choice-name",IF(F304="sha256","odk-lexical-utf8-sha256","odk-canonical-scalar"))))</f>
        <v/>
      </c>
      <c r="H304">
        <f>IF(E304&lt;&gt;"INCLUDE","","{"&amp;CHAR(34)&amp;"path"&amp;CHAR(34)&amp;":"&amp;CHAR(34)&amp;B304&amp;CHAR(34)&amp;","&amp;CHAR(34)&amp;"type"&amp;CHAR(34)&amp;":"&amp;CHAR(34)&amp;F304&amp;CHAR(34)&amp;","&amp;CHAR(34)&amp;"xlsform_type"&amp;CHAR(34)&amp;":"&amp;CHAR(34)&amp;C304&amp;CHAR(34)&amp;","&amp;CHAR(34)&amp;"commitment"&amp;CHAR(34)&amp;":"&amp;CHAR(34)&amp;IF(F304="sha256","text-utf8-sha256","value")&amp;CHAR(34)&amp;","&amp;CHAR(34)&amp;"transform"&amp;CHAR(34)&amp;":"&amp;CHAR(34)&amp;G304&amp;CHAR(34)&amp;"}")</f>
        <v/>
      </c>
      <c r="I304">
        <f>IF(E304&lt;&gt;"INCLUDE","","'|"&amp;B304&amp;"=', "&amp;IF(F304="date","if(string-length(string(${"&amp;B304&amp;"})) &gt; 0, format-date(${"&amp;B304&amp;"}, '%Y-%m-%d'), '')",IF(F304="sha256","digest(string(${"&amp;B304&amp;"}), 'SHA-256', 'hex')","string(${"&amp;B304&amp;"})")))</f>
        <v/>
      </c>
      <c r="J304">
        <f>IF(E304="INCLUDE","Included by explicit yes","Not included")</f>
        <v/>
      </c>
      <c r="K304">
        <f>K303&amp;IF(H304="","",","&amp;H304)</f>
        <v/>
      </c>
      <c r="L304">
        <f>L303&amp;IF(I304="","",","&amp;I304)</f>
        <v/>
      </c>
    </row>
    <row r="305">
      <c r="A305" t="n">
        <v>322</v>
      </c>
      <c r="B305">
        <f>survey!B322</f>
        <v/>
      </c>
      <c r="C305">
        <f>survey!A322</f>
        <v/>
      </c>
      <c r="D305" t="inlineStr"/>
      <c r="E305">
        <f>IF(OR(B305="",C305=""),"",IF(LOWER(D305)="yes","INCLUDE","EXCLUDE"))</f>
        <v/>
      </c>
      <c r="F305">
        <f>IF(E305&lt;&gt;"INCLUDE","",IF(LEFT(LOWER(C305),10)="select_one ","select_one",IF(LOWER(C305)="date","date",IF(OR(LOWER(C305)="integer",LOWER(C305)="decimal",LOWER(C305)="range"),LOWER(C305),"sha256"))))</f>
        <v/>
      </c>
      <c r="G305">
        <f>IF(E305&lt;&gt;"INCLUDE","",IF(F305="date","yyyy-mm-dd",IF(F305="select_one","stored-choice-name",IF(F305="sha256","odk-lexical-utf8-sha256","odk-canonical-scalar"))))</f>
        <v/>
      </c>
      <c r="H305">
        <f>IF(E305&lt;&gt;"INCLUDE","","{"&amp;CHAR(34)&amp;"path"&amp;CHAR(34)&amp;":"&amp;CHAR(34)&amp;B305&amp;CHAR(34)&amp;","&amp;CHAR(34)&amp;"type"&amp;CHAR(34)&amp;":"&amp;CHAR(34)&amp;F305&amp;CHAR(34)&amp;","&amp;CHAR(34)&amp;"xlsform_type"&amp;CHAR(34)&amp;":"&amp;CHAR(34)&amp;C305&amp;CHAR(34)&amp;","&amp;CHAR(34)&amp;"commitment"&amp;CHAR(34)&amp;":"&amp;CHAR(34)&amp;IF(F305="sha256","text-utf8-sha256","value")&amp;CHAR(34)&amp;","&amp;CHAR(34)&amp;"transform"&amp;CHAR(34)&amp;":"&amp;CHAR(34)&amp;G305&amp;CHAR(34)&amp;"}")</f>
        <v/>
      </c>
      <c r="I305">
        <f>IF(E305&lt;&gt;"INCLUDE","","'|"&amp;B305&amp;"=', "&amp;IF(F305="date","if(string-length(string(${"&amp;B305&amp;"})) &gt; 0, format-date(${"&amp;B305&amp;"}, '%Y-%m-%d'), '')",IF(F305="sha256","digest(string(${"&amp;B305&amp;"}), 'SHA-256', 'hex')","string(${"&amp;B305&amp;"})")))</f>
        <v/>
      </c>
      <c r="J305">
        <f>IF(E305="INCLUDE","Included by explicit yes","Not included")</f>
        <v/>
      </c>
      <c r="K305">
        <f>K304&amp;IF(H305="","",","&amp;H305)</f>
        <v/>
      </c>
      <c r="L305">
        <f>L304&amp;IF(I305="","",","&amp;I305)</f>
        <v/>
      </c>
    </row>
    <row r="306">
      <c r="A306" t="n">
        <v>323</v>
      </c>
      <c r="B306">
        <f>survey!B323</f>
        <v/>
      </c>
      <c r="C306">
        <f>survey!A323</f>
        <v/>
      </c>
      <c r="D306" t="inlineStr"/>
      <c r="E306">
        <f>IF(OR(B306="",C306=""),"",IF(LOWER(D306)="yes","INCLUDE","EXCLUDE"))</f>
        <v/>
      </c>
      <c r="F306">
        <f>IF(E306&lt;&gt;"INCLUDE","",IF(LEFT(LOWER(C306),10)="select_one ","select_one",IF(LOWER(C306)="date","date",IF(OR(LOWER(C306)="integer",LOWER(C306)="decimal",LOWER(C306)="range"),LOWER(C306),"sha256"))))</f>
        <v/>
      </c>
      <c r="G306">
        <f>IF(E306&lt;&gt;"INCLUDE","",IF(F306="date","yyyy-mm-dd",IF(F306="select_one","stored-choice-name",IF(F306="sha256","odk-lexical-utf8-sha256","odk-canonical-scalar"))))</f>
        <v/>
      </c>
      <c r="H306">
        <f>IF(E306&lt;&gt;"INCLUDE","","{"&amp;CHAR(34)&amp;"path"&amp;CHAR(34)&amp;":"&amp;CHAR(34)&amp;B306&amp;CHAR(34)&amp;","&amp;CHAR(34)&amp;"type"&amp;CHAR(34)&amp;":"&amp;CHAR(34)&amp;F306&amp;CHAR(34)&amp;","&amp;CHAR(34)&amp;"xlsform_type"&amp;CHAR(34)&amp;":"&amp;CHAR(34)&amp;C306&amp;CHAR(34)&amp;","&amp;CHAR(34)&amp;"commitment"&amp;CHAR(34)&amp;":"&amp;CHAR(34)&amp;IF(F306="sha256","text-utf8-sha256","value")&amp;CHAR(34)&amp;","&amp;CHAR(34)&amp;"transform"&amp;CHAR(34)&amp;":"&amp;CHAR(34)&amp;G306&amp;CHAR(34)&amp;"}")</f>
        <v/>
      </c>
      <c r="I306">
        <f>IF(E306&lt;&gt;"INCLUDE","","'|"&amp;B306&amp;"=', "&amp;IF(F306="date","if(string-length(string(${"&amp;B306&amp;"})) &gt; 0, format-date(${"&amp;B306&amp;"}, '%Y-%m-%d'), '')",IF(F306="sha256","digest(string(${"&amp;B306&amp;"}), 'SHA-256', 'hex')","string(${"&amp;B306&amp;"})")))</f>
        <v/>
      </c>
      <c r="J306">
        <f>IF(E306="INCLUDE","Included by explicit yes","Not included")</f>
        <v/>
      </c>
      <c r="K306">
        <f>K305&amp;IF(H306="","",","&amp;H306)</f>
        <v/>
      </c>
      <c r="L306">
        <f>L305&amp;IF(I306="","",","&amp;I306)</f>
        <v/>
      </c>
    </row>
    <row r="307">
      <c r="A307" t="n">
        <v>324</v>
      </c>
      <c r="B307">
        <f>survey!B324</f>
        <v/>
      </c>
      <c r="C307">
        <f>survey!A324</f>
        <v/>
      </c>
      <c r="D307" t="inlineStr"/>
      <c r="E307">
        <f>IF(OR(B307="",C307=""),"",IF(LOWER(D307)="yes","INCLUDE","EXCLUDE"))</f>
        <v/>
      </c>
      <c r="F307">
        <f>IF(E307&lt;&gt;"INCLUDE","",IF(LEFT(LOWER(C307),10)="select_one ","select_one",IF(LOWER(C307)="date","date",IF(OR(LOWER(C307)="integer",LOWER(C307)="decimal",LOWER(C307)="range"),LOWER(C307),"sha256"))))</f>
        <v/>
      </c>
      <c r="G307">
        <f>IF(E307&lt;&gt;"INCLUDE","",IF(F307="date","yyyy-mm-dd",IF(F307="select_one","stored-choice-name",IF(F307="sha256","odk-lexical-utf8-sha256","odk-canonical-scalar"))))</f>
        <v/>
      </c>
      <c r="H307">
        <f>IF(E307&lt;&gt;"INCLUDE","","{"&amp;CHAR(34)&amp;"path"&amp;CHAR(34)&amp;":"&amp;CHAR(34)&amp;B307&amp;CHAR(34)&amp;","&amp;CHAR(34)&amp;"type"&amp;CHAR(34)&amp;":"&amp;CHAR(34)&amp;F307&amp;CHAR(34)&amp;","&amp;CHAR(34)&amp;"xlsform_type"&amp;CHAR(34)&amp;":"&amp;CHAR(34)&amp;C307&amp;CHAR(34)&amp;","&amp;CHAR(34)&amp;"commitment"&amp;CHAR(34)&amp;":"&amp;CHAR(34)&amp;IF(F307="sha256","text-utf8-sha256","value")&amp;CHAR(34)&amp;","&amp;CHAR(34)&amp;"transform"&amp;CHAR(34)&amp;":"&amp;CHAR(34)&amp;G307&amp;CHAR(34)&amp;"}")</f>
        <v/>
      </c>
      <c r="I307">
        <f>IF(E307&lt;&gt;"INCLUDE","","'|"&amp;B307&amp;"=', "&amp;IF(F307="date","if(string-length(string(${"&amp;B307&amp;"})) &gt; 0, format-date(${"&amp;B307&amp;"}, '%Y-%m-%d'), '')",IF(F307="sha256","digest(string(${"&amp;B307&amp;"}), 'SHA-256', 'hex')","string(${"&amp;B307&amp;"})")))</f>
        <v/>
      </c>
      <c r="J307">
        <f>IF(E307="INCLUDE","Included by explicit yes","Not included")</f>
        <v/>
      </c>
      <c r="K307">
        <f>K306&amp;IF(H307="","",","&amp;H307)</f>
        <v/>
      </c>
      <c r="L307">
        <f>L306&amp;IF(I307="","",","&amp;I307)</f>
        <v/>
      </c>
    </row>
    <row r="308">
      <c r="A308" t="n">
        <v>325</v>
      </c>
      <c r="B308">
        <f>survey!B325</f>
        <v/>
      </c>
      <c r="C308">
        <f>survey!A325</f>
        <v/>
      </c>
      <c r="D308" t="inlineStr"/>
      <c r="E308">
        <f>IF(OR(B308="",C308=""),"",IF(LOWER(D308)="yes","INCLUDE","EXCLUDE"))</f>
        <v/>
      </c>
      <c r="F308">
        <f>IF(E308&lt;&gt;"INCLUDE","",IF(LEFT(LOWER(C308),10)="select_one ","select_one",IF(LOWER(C308)="date","date",IF(OR(LOWER(C308)="integer",LOWER(C308)="decimal",LOWER(C308)="range"),LOWER(C308),"sha256"))))</f>
        <v/>
      </c>
      <c r="G308">
        <f>IF(E308&lt;&gt;"INCLUDE","",IF(F308="date","yyyy-mm-dd",IF(F308="select_one","stored-choice-name",IF(F308="sha256","odk-lexical-utf8-sha256","odk-canonical-scalar"))))</f>
        <v/>
      </c>
      <c r="H308">
        <f>IF(E308&lt;&gt;"INCLUDE","","{"&amp;CHAR(34)&amp;"path"&amp;CHAR(34)&amp;":"&amp;CHAR(34)&amp;B308&amp;CHAR(34)&amp;","&amp;CHAR(34)&amp;"type"&amp;CHAR(34)&amp;":"&amp;CHAR(34)&amp;F308&amp;CHAR(34)&amp;","&amp;CHAR(34)&amp;"xlsform_type"&amp;CHAR(34)&amp;":"&amp;CHAR(34)&amp;C308&amp;CHAR(34)&amp;","&amp;CHAR(34)&amp;"commitment"&amp;CHAR(34)&amp;":"&amp;CHAR(34)&amp;IF(F308="sha256","text-utf8-sha256","value")&amp;CHAR(34)&amp;","&amp;CHAR(34)&amp;"transform"&amp;CHAR(34)&amp;":"&amp;CHAR(34)&amp;G308&amp;CHAR(34)&amp;"}")</f>
        <v/>
      </c>
      <c r="I308">
        <f>IF(E308&lt;&gt;"INCLUDE","","'|"&amp;B308&amp;"=', "&amp;IF(F308="date","if(string-length(string(${"&amp;B308&amp;"})) &gt; 0, format-date(${"&amp;B308&amp;"}, '%Y-%m-%d'), '')",IF(F308="sha256","digest(string(${"&amp;B308&amp;"}), 'SHA-256', 'hex')","string(${"&amp;B308&amp;"})")))</f>
        <v/>
      </c>
      <c r="J308">
        <f>IF(E308="INCLUDE","Included by explicit yes","Not included")</f>
        <v/>
      </c>
      <c r="K308">
        <f>K307&amp;IF(H308="","",","&amp;H308)</f>
        <v/>
      </c>
      <c r="L308">
        <f>L307&amp;IF(I308="","",","&amp;I308)</f>
        <v/>
      </c>
    </row>
    <row r="309">
      <c r="A309" t="n">
        <v>326</v>
      </c>
      <c r="B309">
        <f>survey!B326</f>
        <v/>
      </c>
      <c r="C309">
        <f>survey!A326</f>
        <v/>
      </c>
      <c r="D309" t="inlineStr"/>
      <c r="E309">
        <f>IF(OR(B309="",C309=""),"",IF(LOWER(D309)="yes","INCLUDE","EXCLUDE"))</f>
        <v/>
      </c>
      <c r="F309">
        <f>IF(E309&lt;&gt;"INCLUDE","",IF(LEFT(LOWER(C309),10)="select_one ","select_one",IF(LOWER(C309)="date","date",IF(OR(LOWER(C309)="integer",LOWER(C309)="decimal",LOWER(C309)="range"),LOWER(C309),"sha256"))))</f>
        <v/>
      </c>
      <c r="G309">
        <f>IF(E309&lt;&gt;"INCLUDE","",IF(F309="date","yyyy-mm-dd",IF(F309="select_one","stored-choice-name",IF(F309="sha256","odk-lexical-utf8-sha256","odk-canonical-scalar"))))</f>
        <v/>
      </c>
      <c r="H309">
        <f>IF(E309&lt;&gt;"INCLUDE","","{"&amp;CHAR(34)&amp;"path"&amp;CHAR(34)&amp;":"&amp;CHAR(34)&amp;B309&amp;CHAR(34)&amp;","&amp;CHAR(34)&amp;"type"&amp;CHAR(34)&amp;":"&amp;CHAR(34)&amp;F309&amp;CHAR(34)&amp;","&amp;CHAR(34)&amp;"xlsform_type"&amp;CHAR(34)&amp;":"&amp;CHAR(34)&amp;C309&amp;CHAR(34)&amp;","&amp;CHAR(34)&amp;"commitment"&amp;CHAR(34)&amp;":"&amp;CHAR(34)&amp;IF(F309="sha256","text-utf8-sha256","value")&amp;CHAR(34)&amp;","&amp;CHAR(34)&amp;"transform"&amp;CHAR(34)&amp;":"&amp;CHAR(34)&amp;G309&amp;CHAR(34)&amp;"}")</f>
        <v/>
      </c>
      <c r="I309">
        <f>IF(E309&lt;&gt;"INCLUDE","","'|"&amp;B309&amp;"=', "&amp;IF(F309="date","if(string-length(string(${"&amp;B309&amp;"})) &gt; 0, format-date(${"&amp;B309&amp;"}, '%Y-%m-%d'), '')",IF(F309="sha256","digest(string(${"&amp;B309&amp;"}), 'SHA-256', 'hex')","string(${"&amp;B309&amp;"})")))</f>
        <v/>
      </c>
      <c r="J309">
        <f>IF(E309="INCLUDE","Included by explicit yes","Not included")</f>
        <v/>
      </c>
      <c r="K309">
        <f>K308&amp;IF(H309="","",","&amp;H309)</f>
        <v/>
      </c>
      <c r="L309">
        <f>L308&amp;IF(I309="","",","&amp;I309)</f>
        <v/>
      </c>
    </row>
    <row r="310">
      <c r="A310" t="n">
        <v>327</v>
      </c>
      <c r="B310">
        <f>survey!B327</f>
        <v/>
      </c>
      <c r="C310">
        <f>survey!A327</f>
        <v/>
      </c>
      <c r="D310" t="inlineStr"/>
      <c r="E310">
        <f>IF(OR(B310="",C310=""),"",IF(LOWER(D310)="yes","INCLUDE","EXCLUDE"))</f>
        <v/>
      </c>
      <c r="F310">
        <f>IF(E310&lt;&gt;"INCLUDE","",IF(LEFT(LOWER(C310),10)="select_one ","select_one",IF(LOWER(C310)="date","date",IF(OR(LOWER(C310)="integer",LOWER(C310)="decimal",LOWER(C310)="range"),LOWER(C310),"sha256"))))</f>
        <v/>
      </c>
      <c r="G310">
        <f>IF(E310&lt;&gt;"INCLUDE","",IF(F310="date","yyyy-mm-dd",IF(F310="select_one","stored-choice-name",IF(F310="sha256","odk-lexical-utf8-sha256","odk-canonical-scalar"))))</f>
        <v/>
      </c>
      <c r="H310">
        <f>IF(E310&lt;&gt;"INCLUDE","","{"&amp;CHAR(34)&amp;"path"&amp;CHAR(34)&amp;":"&amp;CHAR(34)&amp;B310&amp;CHAR(34)&amp;","&amp;CHAR(34)&amp;"type"&amp;CHAR(34)&amp;":"&amp;CHAR(34)&amp;F310&amp;CHAR(34)&amp;","&amp;CHAR(34)&amp;"xlsform_type"&amp;CHAR(34)&amp;":"&amp;CHAR(34)&amp;C310&amp;CHAR(34)&amp;","&amp;CHAR(34)&amp;"commitment"&amp;CHAR(34)&amp;":"&amp;CHAR(34)&amp;IF(F310="sha256","text-utf8-sha256","value")&amp;CHAR(34)&amp;","&amp;CHAR(34)&amp;"transform"&amp;CHAR(34)&amp;":"&amp;CHAR(34)&amp;G310&amp;CHAR(34)&amp;"}")</f>
        <v/>
      </c>
      <c r="I310">
        <f>IF(E310&lt;&gt;"INCLUDE","","'|"&amp;B310&amp;"=', "&amp;IF(F310="date","if(string-length(string(${"&amp;B310&amp;"})) &gt; 0, format-date(${"&amp;B310&amp;"}, '%Y-%m-%d'), '')",IF(F310="sha256","digest(string(${"&amp;B310&amp;"}), 'SHA-256', 'hex')","string(${"&amp;B310&amp;"})")))</f>
        <v/>
      </c>
      <c r="J310">
        <f>IF(E310="INCLUDE","Included by explicit yes","Not included")</f>
        <v/>
      </c>
      <c r="K310">
        <f>K309&amp;IF(H310="","",","&amp;H310)</f>
        <v/>
      </c>
      <c r="L310">
        <f>L309&amp;IF(I310="","",","&amp;I310)</f>
        <v/>
      </c>
    </row>
    <row r="311">
      <c r="A311" t="n">
        <v>328</v>
      </c>
      <c r="B311">
        <f>survey!B328</f>
        <v/>
      </c>
      <c r="C311">
        <f>survey!A328</f>
        <v/>
      </c>
      <c r="D311" t="inlineStr"/>
      <c r="E311">
        <f>IF(OR(B311="",C311=""),"",IF(LOWER(D311)="yes","INCLUDE","EXCLUDE"))</f>
        <v/>
      </c>
      <c r="F311">
        <f>IF(E311&lt;&gt;"INCLUDE","",IF(LEFT(LOWER(C311),10)="select_one ","select_one",IF(LOWER(C311)="date","date",IF(OR(LOWER(C311)="integer",LOWER(C311)="decimal",LOWER(C311)="range"),LOWER(C311),"sha256"))))</f>
        <v/>
      </c>
      <c r="G311">
        <f>IF(E311&lt;&gt;"INCLUDE","",IF(F311="date","yyyy-mm-dd",IF(F311="select_one","stored-choice-name",IF(F311="sha256","odk-lexical-utf8-sha256","odk-canonical-scalar"))))</f>
        <v/>
      </c>
      <c r="H311">
        <f>IF(E311&lt;&gt;"INCLUDE","","{"&amp;CHAR(34)&amp;"path"&amp;CHAR(34)&amp;":"&amp;CHAR(34)&amp;B311&amp;CHAR(34)&amp;","&amp;CHAR(34)&amp;"type"&amp;CHAR(34)&amp;":"&amp;CHAR(34)&amp;F311&amp;CHAR(34)&amp;","&amp;CHAR(34)&amp;"xlsform_type"&amp;CHAR(34)&amp;":"&amp;CHAR(34)&amp;C311&amp;CHAR(34)&amp;","&amp;CHAR(34)&amp;"commitment"&amp;CHAR(34)&amp;":"&amp;CHAR(34)&amp;IF(F311="sha256","text-utf8-sha256","value")&amp;CHAR(34)&amp;","&amp;CHAR(34)&amp;"transform"&amp;CHAR(34)&amp;":"&amp;CHAR(34)&amp;G311&amp;CHAR(34)&amp;"}")</f>
        <v/>
      </c>
      <c r="I311">
        <f>IF(E311&lt;&gt;"INCLUDE","","'|"&amp;B311&amp;"=', "&amp;IF(F311="date","if(string-length(string(${"&amp;B311&amp;"})) &gt; 0, format-date(${"&amp;B311&amp;"}, '%Y-%m-%d'), '')",IF(F311="sha256","digest(string(${"&amp;B311&amp;"}), 'SHA-256', 'hex')","string(${"&amp;B311&amp;"})")))</f>
        <v/>
      </c>
      <c r="J311">
        <f>IF(E311="INCLUDE","Included by explicit yes","Not included")</f>
        <v/>
      </c>
      <c r="K311">
        <f>K310&amp;IF(H311="","",","&amp;H311)</f>
        <v/>
      </c>
      <c r="L311">
        <f>L310&amp;IF(I311="","",","&amp;I311)</f>
        <v/>
      </c>
    </row>
    <row r="312">
      <c r="A312" t="n">
        <v>329</v>
      </c>
      <c r="B312">
        <f>survey!B329</f>
        <v/>
      </c>
      <c r="C312">
        <f>survey!A329</f>
        <v/>
      </c>
      <c r="D312" t="inlineStr"/>
      <c r="E312">
        <f>IF(OR(B312="",C312=""),"",IF(LOWER(D312)="yes","INCLUDE","EXCLUDE"))</f>
        <v/>
      </c>
      <c r="F312">
        <f>IF(E312&lt;&gt;"INCLUDE","",IF(LEFT(LOWER(C312),10)="select_one ","select_one",IF(LOWER(C312)="date","date",IF(OR(LOWER(C312)="integer",LOWER(C312)="decimal",LOWER(C312)="range"),LOWER(C312),"sha256"))))</f>
        <v/>
      </c>
      <c r="G312">
        <f>IF(E312&lt;&gt;"INCLUDE","",IF(F312="date","yyyy-mm-dd",IF(F312="select_one","stored-choice-name",IF(F312="sha256","odk-lexical-utf8-sha256","odk-canonical-scalar"))))</f>
        <v/>
      </c>
      <c r="H312">
        <f>IF(E312&lt;&gt;"INCLUDE","","{"&amp;CHAR(34)&amp;"path"&amp;CHAR(34)&amp;":"&amp;CHAR(34)&amp;B312&amp;CHAR(34)&amp;","&amp;CHAR(34)&amp;"type"&amp;CHAR(34)&amp;":"&amp;CHAR(34)&amp;F312&amp;CHAR(34)&amp;","&amp;CHAR(34)&amp;"xlsform_type"&amp;CHAR(34)&amp;":"&amp;CHAR(34)&amp;C312&amp;CHAR(34)&amp;","&amp;CHAR(34)&amp;"commitment"&amp;CHAR(34)&amp;":"&amp;CHAR(34)&amp;IF(F312="sha256","text-utf8-sha256","value")&amp;CHAR(34)&amp;","&amp;CHAR(34)&amp;"transform"&amp;CHAR(34)&amp;":"&amp;CHAR(34)&amp;G312&amp;CHAR(34)&amp;"}")</f>
        <v/>
      </c>
      <c r="I312">
        <f>IF(E312&lt;&gt;"INCLUDE","","'|"&amp;B312&amp;"=', "&amp;IF(F312="date","if(string-length(string(${"&amp;B312&amp;"})) &gt; 0, format-date(${"&amp;B312&amp;"}, '%Y-%m-%d'), '')",IF(F312="sha256","digest(string(${"&amp;B312&amp;"}), 'SHA-256', 'hex')","string(${"&amp;B312&amp;"})")))</f>
        <v/>
      </c>
      <c r="J312">
        <f>IF(E312="INCLUDE","Included by explicit yes","Not included")</f>
        <v/>
      </c>
      <c r="K312">
        <f>K311&amp;IF(H312="","",","&amp;H312)</f>
        <v/>
      </c>
      <c r="L312">
        <f>L311&amp;IF(I312="","",","&amp;I312)</f>
        <v/>
      </c>
    </row>
    <row r="313">
      <c r="A313" t="n">
        <v>330</v>
      </c>
      <c r="B313">
        <f>survey!B330</f>
        <v/>
      </c>
      <c r="C313">
        <f>survey!A330</f>
        <v/>
      </c>
      <c r="D313" t="inlineStr"/>
      <c r="E313">
        <f>IF(OR(B313="",C313=""),"",IF(LOWER(D313)="yes","INCLUDE","EXCLUDE"))</f>
        <v/>
      </c>
      <c r="F313">
        <f>IF(E313&lt;&gt;"INCLUDE","",IF(LEFT(LOWER(C313),10)="select_one ","select_one",IF(LOWER(C313)="date","date",IF(OR(LOWER(C313)="integer",LOWER(C313)="decimal",LOWER(C313)="range"),LOWER(C313),"sha256"))))</f>
        <v/>
      </c>
      <c r="G313">
        <f>IF(E313&lt;&gt;"INCLUDE","",IF(F313="date","yyyy-mm-dd",IF(F313="select_one","stored-choice-name",IF(F313="sha256","odk-lexical-utf8-sha256","odk-canonical-scalar"))))</f>
        <v/>
      </c>
      <c r="H313">
        <f>IF(E313&lt;&gt;"INCLUDE","","{"&amp;CHAR(34)&amp;"path"&amp;CHAR(34)&amp;":"&amp;CHAR(34)&amp;B313&amp;CHAR(34)&amp;","&amp;CHAR(34)&amp;"type"&amp;CHAR(34)&amp;":"&amp;CHAR(34)&amp;F313&amp;CHAR(34)&amp;","&amp;CHAR(34)&amp;"xlsform_type"&amp;CHAR(34)&amp;":"&amp;CHAR(34)&amp;C313&amp;CHAR(34)&amp;","&amp;CHAR(34)&amp;"commitment"&amp;CHAR(34)&amp;":"&amp;CHAR(34)&amp;IF(F313="sha256","text-utf8-sha256","value")&amp;CHAR(34)&amp;","&amp;CHAR(34)&amp;"transform"&amp;CHAR(34)&amp;":"&amp;CHAR(34)&amp;G313&amp;CHAR(34)&amp;"}")</f>
        <v/>
      </c>
      <c r="I313">
        <f>IF(E313&lt;&gt;"INCLUDE","","'|"&amp;B313&amp;"=', "&amp;IF(F313="date","if(string-length(string(${"&amp;B313&amp;"})) &gt; 0, format-date(${"&amp;B313&amp;"}, '%Y-%m-%d'), '')",IF(F313="sha256","digest(string(${"&amp;B313&amp;"}), 'SHA-256', 'hex')","string(${"&amp;B313&amp;"})")))</f>
        <v/>
      </c>
      <c r="J313">
        <f>IF(E313="INCLUDE","Included by explicit yes","Not included")</f>
        <v/>
      </c>
      <c r="K313">
        <f>K312&amp;IF(H313="","",","&amp;H313)</f>
        <v/>
      </c>
      <c r="L313">
        <f>L312&amp;IF(I313="","",","&amp;I313)</f>
        <v/>
      </c>
    </row>
    <row r="314">
      <c r="A314" t="n">
        <v>331</v>
      </c>
      <c r="B314">
        <f>survey!B331</f>
        <v/>
      </c>
      <c r="C314">
        <f>survey!A331</f>
        <v/>
      </c>
      <c r="D314" t="inlineStr"/>
      <c r="E314">
        <f>IF(OR(B314="",C314=""),"",IF(LOWER(D314)="yes","INCLUDE","EXCLUDE"))</f>
        <v/>
      </c>
      <c r="F314">
        <f>IF(E314&lt;&gt;"INCLUDE","",IF(LEFT(LOWER(C314),10)="select_one ","select_one",IF(LOWER(C314)="date","date",IF(OR(LOWER(C314)="integer",LOWER(C314)="decimal",LOWER(C314)="range"),LOWER(C314),"sha256"))))</f>
        <v/>
      </c>
      <c r="G314">
        <f>IF(E314&lt;&gt;"INCLUDE","",IF(F314="date","yyyy-mm-dd",IF(F314="select_one","stored-choice-name",IF(F314="sha256","odk-lexical-utf8-sha256","odk-canonical-scalar"))))</f>
        <v/>
      </c>
      <c r="H314">
        <f>IF(E314&lt;&gt;"INCLUDE","","{"&amp;CHAR(34)&amp;"path"&amp;CHAR(34)&amp;":"&amp;CHAR(34)&amp;B314&amp;CHAR(34)&amp;","&amp;CHAR(34)&amp;"type"&amp;CHAR(34)&amp;":"&amp;CHAR(34)&amp;F314&amp;CHAR(34)&amp;","&amp;CHAR(34)&amp;"xlsform_type"&amp;CHAR(34)&amp;":"&amp;CHAR(34)&amp;C314&amp;CHAR(34)&amp;","&amp;CHAR(34)&amp;"commitment"&amp;CHAR(34)&amp;":"&amp;CHAR(34)&amp;IF(F314="sha256","text-utf8-sha256","value")&amp;CHAR(34)&amp;","&amp;CHAR(34)&amp;"transform"&amp;CHAR(34)&amp;":"&amp;CHAR(34)&amp;G314&amp;CHAR(34)&amp;"}")</f>
        <v/>
      </c>
      <c r="I314">
        <f>IF(E314&lt;&gt;"INCLUDE","","'|"&amp;B314&amp;"=', "&amp;IF(F314="date","if(string-length(string(${"&amp;B314&amp;"})) &gt; 0, format-date(${"&amp;B314&amp;"}, '%Y-%m-%d'), '')",IF(F314="sha256","digest(string(${"&amp;B314&amp;"}), 'SHA-256', 'hex')","string(${"&amp;B314&amp;"})")))</f>
        <v/>
      </c>
      <c r="J314">
        <f>IF(E314="INCLUDE","Included by explicit yes","Not included")</f>
        <v/>
      </c>
      <c r="K314">
        <f>K313&amp;IF(H314="","",","&amp;H314)</f>
        <v/>
      </c>
      <c r="L314">
        <f>L313&amp;IF(I314="","",","&amp;I314)</f>
        <v/>
      </c>
    </row>
    <row r="315">
      <c r="A315" t="n">
        <v>332</v>
      </c>
      <c r="B315">
        <f>survey!B332</f>
        <v/>
      </c>
      <c r="C315">
        <f>survey!A332</f>
        <v/>
      </c>
      <c r="D315" t="inlineStr"/>
      <c r="E315">
        <f>IF(OR(B315="",C315=""),"",IF(LOWER(D315)="yes","INCLUDE","EXCLUDE"))</f>
        <v/>
      </c>
      <c r="F315">
        <f>IF(E315&lt;&gt;"INCLUDE","",IF(LEFT(LOWER(C315),10)="select_one ","select_one",IF(LOWER(C315)="date","date",IF(OR(LOWER(C315)="integer",LOWER(C315)="decimal",LOWER(C315)="range"),LOWER(C315),"sha256"))))</f>
        <v/>
      </c>
      <c r="G315">
        <f>IF(E315&lt;&gt;"INCLUDE","",IF(F315="date","yyyy-mm-dd",IF(F315="select_one","stored-choice-name",IF(F315="sha256","odk-lexical-utf8-sha256","odk-canonical-scalar"))))</f>
        <v/>
      </c>
      <c r="H315">
        <f>IF(E315&lt;&gt;"INCLUDE","","{"&amp;CHAR(34)&amp;"path"&amp;CHAR(34)&amp;":"&amp;CHAR(34)&amp;B315&amp;CHAR(34)&amp;","&amp;CHAR(34)&amp;"type"&amp;CHAR(34)&amp;":"&amp;CHAR(34)&amp;F315&amp;CHAR(34)&amp;","&amp;CHAR(34)&amp;"xlsform_type"&amp;CHAR(34)&amp;":"&amp;CHAR(34)&amp;C315&amp;CHAR(34)&amp;","&amp;CHAR(34)&amp;"commitment"&amp;CHAR(34)&amp;":"&amp;CHAR(34)&amp;IF(F315="sha256","text-utf8-sha256","value")&amp;CHAR(34)&amp;","&amp;CHAR(34)&amp;"transform"&amp;CHAR(34)&amp;":"&amp;CHAR(34)&amp;G315&amp;CHAR(34)&amp;"}")</f>
        <v/>
      </c>
      <c r="I315">
        <f>IF(E315&lt;&gt;"INCLUDE","","'|"&amp;B315&amp;"=', "&amp;IF(F315="date","if(string-length(string(${"&amp;B315&amp;"})) &gt; 0, format-date(${"&amp;B315&amp;"}, '%Y-%m-%d'), '')",IF(F315="sha256","digest(string(${"&amp;B315&amp;"}), 'SHA-256', 'hex')","string(${"&amp;B315&amp;"})")))</f>
        <v/>
      </c>
      <c r="J315">
        <f>IF(E315="INCLUDE","Included by explicit yes","Not included")</f>
        <v/>
      </c>
      <c r="K315">
        <f>K314&amp;IF(H315="","",","&amp;H315)</f>
        <v/>
      </c>
      <c r="L315">
        <f>L314&amp;IF(I315="","",","&amp;I315)</f>
        <v/>
      </c>
    </row>
    <row r="316">
      <c r="A316" t="n">
        <v>333</v>
      </c>
      <c r="B316">
        <f>survey!B333</f>
        <v/>
      </c>
      <c r="C316">
        <f>survey!A333</f>
        <v/>
      </c>
      <c r="D316" t="inlineStr"/>
      <c r="E316">
        <f>IF(OR(B316="",C316=""),"",IF(LOWER(D316)="yes","INCLUDE","EXCLUDE"))</f>
        <v/>
      </c>
      <c r="F316">
        <f>IF(E316&lt;&gt;"INCLUDE","",IF(LEFT(LOWER(C316),10)="select_one ","select_one",IF(LOWER(C316)="date","date",IF(OR(LOWER(C316)="integer",LOWER(C316)="decimal",LOWER(C316)="range"),LOWER(C316),"sha256"))))</f>
        <v/>
      </c>
      <c r="G316">
        <f>IF(E316&lt;&gt;"INCLUDE","",IF(F316="date","yyyy-mm-dd",IF(F316="select_one","stored-choice-name",IF(F316="sha256","odk-lexical-utf8-sha256","odk-canonical-scalar"))))</f>
        <v/>
      </c>
      <c r="H316">
        <f>IF(E316&lt;&gt;"INCLUDE","","{"&amp;CHAR(34)&amp;"path"&amp;CHAR(34)&amp;":"&amp;CHAR(34)&amp;B316&amp;CHAR(34)&amp;","&amp;CHAR(34)&amp;"type"&amp;CHAR(34)&amp;":"&amp;CHAR(34)&amp;F316&amp;CHAR(34)&amp;","&amp;CHAR(34)&amp;"xlsform_type"&amp;CHAR(34)&amp;":"&amp;CHAR(34)&amp;C316&amp;CHAR(34)&amp;","&amp;CHAR(34)&amp;"commitment"&amp;CHAR(34)&amp;":"&amp;CHAR(34)&amp;IF(F316="sha256","text-utf8-sha256","value")&amp;CHAR(34)&amp;","&amp;CHAR(34)&amp;"transform"&amp;CHAR(34)&amp;":"&amp;CHAR(34)&amp;G316&amp;CHAR(34)&amp;"}")</f>
        <v/>
      </c>
      <c r="I316">
        <f>IF(E316&lt;&gt;"INCLUDE","","'|"&amp;B316&amp;"=', "&amp;IF(F316="date","if(string-length(string(${"&amp;B316&amp;"})) &gt; 0, format-date(${"&amp;B316&amp;"}, '%Y-%m-%d'), '')",IF(F316="sha256","digest(string(${"&amp;B316&amp;"}), 'SHA-256', 'hex')","string(${"&amp;B316&amp;"})")))</f>
        <v/>
      </c>
      <c r="J316">
        <f>IF(E316="INCLUDE","Included by explicit yes","Not included")</f>
        <v/>
      </c>
      <c r="K316">
        <f>K315&amp;IF(H316="","",","&amp;H316)</f>
        <v/>
      </c>
      <c r="L316">
        <f>L315&amp;IF(I316="","",","&amp;I316)</f>
        <v/>
      </c>
    </row>
    <row r="317">
      <c r="A317" t="n">
        <v>334</v>
      </c>
      <c r="B317">
        <f>survey!B334</f>
        <v/>
      </c>
      <c r="C317">
        <f>survey!A334</f>
        <v/>
      </c>
      <c r="D317" t="inlineStr"/>
      <c r="E317">
        <f>IF(OR(B317="",C317=""),"",IF(LOWER(D317)="yes","INCLUDE","EXCLUDE"))</f>
        <v/>
      </c>
      <c r="F317">
        <f>IF(E317&lt;&gt;"INCLUDE","",IF(LEFT(LOWER(C317),10)="select_one ","select_one",IF(LOWER(C317)="date","date",IF(OR(LOWER(C317)="integer",LOWER(C317)="decimal",LOWER(C317)="range"),LOWER(C317),"sha256"))))</f>
        <v/>
      </c>
      <c r="G317">
        <f>IF(E317&lt;&gt;"INCLUDE","",IF(F317="date","yyyy-mm-dd",IF(F317="select_one","stored-choice-name",IF(F317="sha256","odk-lexical-utf8-sha256","odk-canonical-scalar"))))</f>
        <v/>
      </c>
      <c r="H317">
        <f>IF(E317&lt;&gt;"INCLUDE","","{"&amp;CHAR(34)&amp;"path"&amp;CHAR(34)&amp;":"&amp;CHAR(34)&amp;B317&amp;CHAR(34)&amp;","&amp;CHAR(34)&amp;"type"&amp;CHAR(34)&amp;":"&amp;CHAR(34)&amp;F317&amp;CHAR(34)&amp;","&amp;CHAR(34)&amp;"xlsform_type"&amp;CHAR(34)&amp;":"&amp;CHAR(34)&amp;C317&amp;CHAR(34)&amp;","&amp;CHAR(34)&amp;"commitment"&amp;CHAR(34)&amp;":"&amp;CHAR(34)&amp;IF(F317="sha256","text-utf8-sha256","value")&amp;CHAR(34)&amp;","&amp;CHAR(34)&amp;"transform"&amp;CHAR(34)&amp;":"&amp;CHAR(34)&amp;G317&amp;CHAR(34)&amp;"}")</f>
        <v/>
      </c>
      <c r="I317">
        <f>IF(E317&lt;&gt;"INCLUDE","","'|"&amp;B317&amp;"=', "&amp;IF(F317="date","if(string-length(string(${"&amp;B317&amp;"})) &gt; 0, format-date(${"&amp;B317&amp;"}, '%Y-%m-%d'), '')",IF(F317="sha256","digest(string(${"&amp;B317&amp;"}), 'SHA-256', 'hex')","string(${"&amp;B317&amp;"})")))</f>
        <v/>
      </c>
      <c r="J317">
        <f>IF(E317="INCLUDE","Included by explicit yes","Not included")</f>
        <v/>
      </c>
      <c r="K317">
        <f>K316&amp;IF(H317="","",","&amp;H317)</f>
        <v/>
      </c>
      <c r="L317">
        <f>L316&amp;IF(I317="","",","&amp;I317)</f>
        <v/>
      </c>
    </row>
    <row r="318">
      <c r="A318" t="n">
        <v>335</v>
      </c>
      <c r="B318">
        <f>survey!B335</f>
        <v/>
      </c>
      <c r="C318">
        <f>survey!A335</f>
        <v/>
      </c>
      <c r="D318" t="inlineStr"/>
      <c r="E318">
        <f>IF(OR(B318="",C318=""),"",IF(LOWER(D318)="yes","INCLUDE","EXCLUDE"))</f>
        <v/>
      </c>
      <c r="F318">
        <f>IF(E318&lt;&gt;"INCLUDE","",IF(LEFT(LOWER(C318),10)="select_one ","select_one",IF(LOWER(C318)="date","date",IF(OR(LOWER(C318)="integer",LOWER(C318)="decimal",LOWER(C318)="range"),LOWER(C318),"sha256"))))</f>
        <v/>
      </c>
      <c r="G318">
        <f>IF(E318&lt;&gt;"INCLUDE","",IF(F318="date","yyyy-mm-dd",IF(F318="select_one","stored-choice-name",IF(F318="sha256","odk-lexical-utf8-sha256","odk-canonical-scalar"))))</f>
        <v/>
      </c>
      <c r="H318">
        <f>IF(E318&lt;&gt;"INCLUDE","","{"&amp;CHAR(34)&amp;"path"&amp;CHAR(34)&amp;":"&amp;CHAR(34)&amp;B318&amp;CHAR(34)&amp;","&amp;CHAR(34)&amp;"type"&amp;CHAR(34)&amp;":"&amp;CHAR(34)&amp;F318&amp;CHAR(34)&amp;","&amp;CHAR(34)&amp;"xlsform_type"&amp;CHAR(34)&amp;":"&amp;CHAR(34)&amp;C318&amp;CHAR(34)&amp;","&amp;CHAR(34)&amp;"commitment"&amp;CHAR(34)&amp;":"&amp;CHAR(34)&amp;IF(F318="sha256","text-utf8-sha256","value")&amp;CHAR(34)&amp;","&amp;CHAR(34)&amp;"transform"&amp;CHAR(34)&amp;":"&amp;CHAR(34)&amp;G318&amp;CHAR(34)&amp;"}")</f>
        <v/>
      </c>
      <c r="I318">
        <f>IF(E318&lt;&gt;"INCLUDE","","'|"&amp;B318&amp;"=', "&amp;IF(F318="date","if(string-length(string(${"&amp;B318&amp;"})) &gt; 0, format-date(${"&amp;B318&amp;"}, '%Y-%m-%d'), '')",IF(F318="sha256","digest(string(${"&amp;B318&amp;"}), 'SHA-256', 'hex')","string(${"&amp;B318&amp;"})")))</f>
        <v/>
      </c>
      <c r="J318">
        <f>IF(E318="INCLUDE","Included by explicit yes","Not included")</f>
        <v/>
      </c>
      <c r="K318">
        <f>K317&amp;IF(H318="","",","&amp;H318)</f>
        <v/>
      </c>
      <c r="L318">
        <f>L317&amp;IF(I318="","",","&amp;I318)</f>
        <v/>
      </c>
    </row>
    <row r="319">
      <c r="A319" t="n">
        <v>336</v>
      </c>
      <c r="B319">
        <f>survey!B336</f>
        <v/>
      </c>
      <c r="C319">
        <f>survey!A336</f>
        <v/>
      </c>
      <c r="D319" t="inlineStr"/>
      <c r="E319">
        <f>IF(OR(B319="",C319=""),"",IF(LOWER(D319)="yes","INCLUDE","EXCLUDE"))</f>
        <v/>
      </c>
      <c r="F319">
        <f>IF(E319&lt;&gt;"INCLUDE","",IF(LEFT(LOWER(C319),10)="select_one ","select_one",IF(LOWER(C319)="date","date",IF(OR(LOWER(C319)="integer",LOWER(C319)="decimal",LOWER(C319)="range"),LOWER(C319),"sha256"))))</f>
        <v/>
      </c>
      <c r="G319">
        <f>IF(E319&lt;&gt;"INCLUDE","",IF(F319="date","yyyy-mm-dd",IF(F319="select_one","stored-choice-name",IF(F319="sha256","odk-lexical-utf8-sha256","odk-canonical-scalar"))))</f>
        <v/>
      </c>
      <c r="H319">
        <f>IF(E319&lt;&gt;"INCLUDE","","{"&amp;CHAR(34)&amp;"path"&amp;CHAR(34)&amp;":"&amp;CHAR(34)&amp;B319&amp;CHAR(34)&amp;","&amp;CHAR(34)&amp;"type"&amp;CHAR(34)&amp;":"&amp;CHAR(34)&amp;F319&amp;CHAR(34)&amp;","&amp;CHAR(34)&amp;"xlsform_type"&amp;CHAR(34)&amp;":"&amp;CHAR(34)&amp;C319&amp;CHAR(34)&amp;","&amp;CHAR(34)&amp;"commitment"&amp;CHAR(34)&amp;":"&amp;CHAR(34)&amp;IF(F319="sha256","text-utf8-sha256","value")&amp;CHAR(34)&amp;","&amp;CHAR(34)&amp;"transform"&amp;CHAR(34)&amp;":"&amp;CHAR(34)&amp;G319&amp;CHAR(34)&amp;"}")</f>
        <v/>
      </c>
      <c r="I319">
        <f>IF(E319&lt;&gt;"INCLUDE","","'|"&amp;B319&amp;"=', "&amp;IF(F319="date","if(string-length(string(${"&amp;B319&amp;"})) &gt; 0, format-date(${"&amp;B319&amp;"}, '%Y-%m-%d'), '')",IF(F319="sha256","digest(string(${"&amp;B319&amp;"}), 'SHA-256', 'hex')","string(${"&amp;B319&amp;"})")))</f>
        <v/>
      </c>
      <c r="J319">
        <f>IF(E319="INCLUDE","Included by explicit yes","Not included")</f>
        <v/>
      </c>
      <c r="K319">
        <f>K318&amp;IF(H319="","",","&amp;H319)</f>
        <v/>
      </c>
      <c r="L319">
        <f>L318&amp;IF(I319="","",","&amp;I319)</f>
        <v/>
      </c>
    </row>
    <row r="320">
      <c r="A320" t="n">
        <v>337</v>
      </c>
      <c r="B320">
        <f>survey!B337</f>
        <v/>
      </c>
      <c r="C320">
        <f>survey!A337</f>
        <v/>
      </c>
      <c r="D320" t="inlineStr"/>
      <c r="E320">
        <f>IF(OR(B320="",C320=""),"",IF(LOWER(D320)="yes","INCLUDE","EXCLUDE"))</f>
        <v/>
      </c>
      <c r="F320">
        <f>IF(E320&lt;&gt;"INCLUDE","",IF(LEFT(LOWER(C320),10)="select_one ","select_one",IF(LOWER(C320)="date","date",IF(OR(LOWER(C320)="integer",LOWER(C320)="decimal",LOWER(C320)="range"),LOWER(C320),"sha256"))))</f>
        <v/>
      </c>
      <c r="G320">
        <f>IF(E320&lt;&gt;"INCLUDE","",IF(F320="date","yyyy-mm-dd",IF(F320="select_one","stored-choice-name",IF(F320="sha256","odk-lexical-utf8-sha256","odk-canonical-scalar"))))</f>
        <v/>
      </c>
      <c r="H320">
        <f>IF(E320&lt;&gt;"INCLUDE","","{"&amp;CHAR(34)&amp;"path"&amp;CHAR(34)&amp;":"&amp;CHAR(34)&amp;B320&amp;CHAR(34)&amp;","&amp;CHAR(34)&amp;"type"&amp;CHAR(34)&amp;":"&amp;CHAR(34)&amp;F320&amp;CHAR(34)&amp;","&amp;CHAR(34)&amp;"xlsform_type"&amp;CHAR(34)&amp;":"&amp;CHAR(34)&amp;C320&amp;CHAR(34)&amp;","&amp;CHAR(34)&amp;"commitment"&amp;CHAR(34)&amp;":"&amp;CHAR(34)&amp;IF(F320="sha256","text-utf8-sha256","value")&amp;CHAR(34)&amp;","&amp;CHAR(34)&amp;"transform"&amp;CHAR(34)&amp;":"&amp;CHAR(34)&amp;G320&amp;CHAR(34)&amp;"}")</f>
        <v/>
      </c>
      <c r="I320">
        <f>IF(E320&lt;&gt;"INCLUDE","","'|"&amp;B320&amp;"=', "&amp;IF(F320="date","if(string-length(string(${"&amp;B320&amp;"})) &gt; 0, format-date(${"&amp;B320&amp;"}, '%Y-%m-%d'), '')",IF(F320="sha256","digest(string(${"&amp;B320&amp;"}), 'SHA-256', 'hex')","string(${"&amp;B320&amp;"})")))</f>
        <v/>
      </c>
      <c r="J320">
        <f>IF(E320="INCLUDE","Included by explicit yes","Not included")</f>
        <v/>
      </c>
      <c r="K320">
        <f>K319&amp;IF(H320="","",","&amp;H320)</f>
        <v/>
      </c>
      <c r="L320">
        <f>L319&amp;IF(I320="","",","&amp;I320)</f>
        <v/>
      </c>
    </row>
    <row r="321">
      <c r="A321" t="n">
        <v>338</v>
      </c>
      <c r="B321">
        <f>survey!B338</f>
        <v/>
      </c>
      <c r="C321">
        <f>survey!A338</f>
        <v/>
      </c>
      <c r="D321" t="inlineStr"/>
      <c r="E321">
        <f>IF(OR(B321="",C321=""),"",IF(LOWER(D321)="yes","INCLUDE","EXCLUDE"))</f>
        <v/>
      </c>
      <c r="F321">
        <f>IF(E321&lt;&gt;"INCLUDE","",IF(LEFT(LOWER(C321),10)="select_one ","select_one",IF(LOWER(C321)="date","date",IF(OR(LOWER(C321)="integer",LOWER(C321)="decimal",LOWER(C321)="range"),LOWER(C321),"sha256"))))</f>
        <v/>
      </c>
      <c r="G321">
        <f>IF(E321&lt;&gt;"INCLUDE","",IF(F321="date","yyyy-mm-dd",IF(F321="select_one","stored-choice-name",IF(F321="sha256","odk-lexical-utf8-sha256","odk-canonical-scalar"))))</f>
        <v/>
      </c>
      <c r="H321">
        <f>IF(E321&lt;&gt;"INCLUDE","","{"&amp;CHAR(34)&amp;"path"&amp;CHAR(34)&amp;":"&amp;CHAR(34)&amp;B321&amp;CHAR(34)&amp;","&amp;CHAR(34)&amp;"type"&amp;CHAR(34)&amp;":"&amp;CHAR(34)&amp;F321&amp;CHAR(34)&amp;","&amp;CHAR(34)&amp;"xlsform_type"&amp;CHAR(34)&amp;":"&amp;CHAR(34)&amp;C321&amp;CHAR(34)&amp;","&amp;CHAR(34)&amp;"commitment"&amp;CHAR(34)&amp;":"&amp;CHAR(34)&amp;IF(F321="sha256","text-utf8-sha256","value")&amp;CHAR(34)&amp;","&amp;CHAR(34)&amp;"transform"&amp;CHAR(34)&amp;":"&amp;CHAR(34)&amp;G321&amp;CHAR(34)&amp;"}")</f>
        <v/>
      </c>
      <c r="I321">
        <f>IF(E321&lt;&gt;"INCLUDE","","'|"&amp;B321&amp;"=', "&amp;IF(F321="date","if(string-length(string(${"&amp;B321&amp;"})) &gt; 0, format-date(${"&amp;B321&amp;"}, '%Y-%m-%d'), '')",IF(F321="sha256","digest(string(${"&amp;B321&amp;"}), 'SHA-256', 'hex')","string(${"&amp;B321&amp;"})")))</f>
        <v/>
      </c>
      <c r="J321">
        <f>IF(E321="INCLUDE","Included by explicit yes","Not included")</f>
        <v/>
      </c>
      <c r="K321">
        <f>K320&amp;IF(H321="","",","&amp;H321)</f>
        <v/>
      </c>
      <c r="L321">
        <f>L320&amp;IF(I321="","",","&amp;I321)</f>
        <v/>
      </c>
    </row>
    <row r="322">
      <c r="A322" t="n">
        <v>339</v>
      </c>
      <c r="B322">
        <f>survey!B339</f>
        <v/>
      </c>
      <c r="C322">
        <f>survey!A339</f>
        <v/>
      </c>
      <c r="D322" t="inlineStr"/>
      <c r="E322">
        <f>IF(OR(B322="",C322=""),"",IF(LOWER(D322)="yes","INCLUDE","EXCLUDE"))</f>
        <v/>
      </c>
      <c r="F322">
        <f>IF(E322&lt;&gt;"INCLUDE","",IF(LEFT(LOWER(C322),10)="select_one ","select_one",IF(LOWER(C322)="date","date",IF(OR(LOWER(C322)="integer",LOWER(C322)="decimal",LOWER(C322)="range"),LOWER(C322),"sha256"))))</f>
        <v/>
      </c>
      <c r="G322">
        <f>IF(E322&lt;&gt;"INCLUDE","",IF(F322="date","yyyy-mm-dd",IF(F322="select_one","stored-choice-name",IF(F322="sha256","odk-lexical-utf8-sha256","odk-canonical-scalar"))))</f>
        <v/>
      </c>
      <c r="H322">
        <f>IF(E322&lt;&gt;"INCLUDE","","{"&amp;CHAR(34)&amp;"path"&amp;CHAR(34)&amp;":"&amp;CHAR(34)&amp;B322&amp;CHAR(34)&amp;","&amp;CHAR(34)&amp;"type"&amp;CHAR(34)&amp;":"&amp;CHAR(34)&amp;F322&amp;CHAR(34)&amp;","&amp;CHAR(34)&amp;"xlsform_type"&amp;CHAR(34)&amp;":"&amp;CHAR(34)&amp;C322&amp;CHAR(34)&amp;","&amp;CHAR(34)&amp;"commitment"&amp;CHAR(34)&amp;":"&amp;CHAR(34)&amp;IF(F322="sha256","text-utf8-sha256","value")&amp;CHAR(34)&amp;","&amp;CHAR(34)&amp;"transform"&amp;CHAR(34)&amp;":"&amp;CHAR(34)&amp;G322&amp;CHAR(34)&amp;"}")</f>
        <v/>
      </c>
      <c r="I322">
        <f>IF(E322&lt;&gt;"INCLUDE","","'|"&amp;B322&amp;"=', "&amp;IF(F322="date","if(string-length(string(${"&amp;B322&amp;"})) &gt; 0, format-date(${"&amp;B322&amp;"}, '%Y-%m-%d'), '')",IF(F322="sha256","digest(string(${"&amp;B322&amp;"}), 'SHA-256', 'hex')","string(${"&amp;B322&amp;"})")))</f>
        <v/>
      </c>
      <c r="J322">
        <f>IF(E322="INCLUDE","Included by explicit yes","Not included")</f>
        <v/>
      </c>
      <c r="K322">
        <f>K321&amp;IF(H322="","",","&amp;H322)</f>
        <v/>
      </c>
      <c r="L322">
        <f>L321&amp;IF(I322="","",","&amp;I322)</f>
        <v/>
      </c>
    </row>
    <row r="323">
      <c r="A323" t="n">
        <v>340</v>
      </c>
      <c r="B323">
        <f>survey!B340</f>
        <v/>
      </c>
      <c r="C323">
        <f>survey!A340</f>
        <v/>
      </c>
      <c r="D323" t="inlineStr"/>
      <c r="E323">
        <f>IF(OR(B323="",C323=""),"",IF(LOWER(D323)="yes","INCLUDE","EXCLUDE"))</f>
        <v/>
      </c>
      <c r="F323">
        <f>IF(E323&lt;&gt;"INCLUDE","",IF(LEFT(LOWER(C323),10)="select_one ","select_one",IF(LOWER(C323)="date","date",IF(OR(LOWER(C323)="integer",LOWER(C323)="decimal",LOWER(C323)="range"),LOWER(C323),"sha256"))))</f>
        <v/>
      </c>
      <c r="G323">
        <f>IF(E323&lt;&gt;"INCLUDE","",IF(F323="date","yyyy-mm-dd",IF(F323="select_one","stored-choice-name",IF(F323="sha256","odk-lexical-utf8-sha256","odk-canonical-scalar"))))</f>
        <v/>
      </c>
      <c r="H323">
        <f>IF(E323&lt;&gt;"INCLUDE","","{"&amp;CHAR(34)&amp;"path"&amp;CHAR(34)&amp;":"&amp;CHAR(34)&amp;B323&amp;CHAR(34)&amp;","&amp;CHAR(34)&amp;"type"&amp;CHAR(34)&amp;":"&amp;CHAR(34)&amp;F323&amp;CHAR(34)&amp;","&amp;CHAR(34)&amp;"xlsform_type"&amp;CHAR(34)&amp;":"&amp;CHAR(34)&amp;C323&amp;CHAR(34)&amp;","&amp;CHAR(34)&amp;"commitment"&amp;CHAR(34)&amp;":"&amp;CHAR(34)&amp;IF(F323="sha256","text-utf8-sha256","value")&amp;CHAR(34)&amp;","&amp;CHAR(34)&amp;"transform"&amp;CHAR(34)&amp;":"&amp;CHAR(34)&amp;G323&amp;CHAR(34)&amp;"}")</f>
        <v/>
      </c>
      <c r="I323">
        <f>IF(E323&lt;&gt;"INCLUDE","","'|"&amp;B323&amp;"=', "&amp;IF(F323="date","if(string-length(string(${"&amp;B323&amp;"})) &gt; 0, format-date(${"&amp;B323&amp;"}, '%Y-%m-%d'), '')",IF(F323="sha256","digest(string(${"&amp;B323&amp;"}), 'SHA-256', 'hex')","string(${"&amp;B323&amp;"})")))</f>
        <v/>
      </c>
      <c r="J323">
        <f>IF(E323="INCLUDE","Included by explicit yes","Not included")</f>
        <v/>
      </c>
      <c r="K323">
        <f>K322&amp;IF(H323="","",","&amp;H323)</f>
        <v/>
      </c>
      <c r="L323">
        <f>L322&amp;IF(I323="","",","&amp;I323)</f>
        <v/>
      </c>
    </row>
    <row r="324">
      <c r="A324" t="n">
        <v>341</v>
      </c>
      <c r="B324">
        <f>survey!B341</f>
        <v/>
      </c>
      <c r="C324">
        <f>survey!A341</f>
        <v/>
      </c>
      <c r="D324" t="inlineStr"/>
      <c r="E324">
        <f>IF(OR(B324="",C324=""),"",IF(LOWER(D324)="yes","INCLUDE","EXCLUDE"))</f>
        <v/>
      </c>
      <c r="F324">
        <f>IF(E324&lt;&gt;"INCLUDE","",IF(LEFT(LOWER(C324),10)="select_one ","select_one",IF(LOWER(C324)="date","date",IF(OR(LOWER(C324)="integer",LOWER(C324)="decimal",LOWER(C324)="range"),LOWER(C324),"sha256"))))</f>
        <v/>
      </c>
      <c r="G324">
        <f>IF(E324&lt;&gt;"INCLUDE","",IF(F324="date","yyyy-mm-dd",IF(F324="select_one","stored-choice-name",IF(F324="sha256","odk-lexical-utf8-sha256","odk-canonical-scalar"))))</f>
        <v/>
      </c>
      <c r="H324">
        <f>IF(E324&lt;&gt;"INCLUDE","","{"&amp;CHAR(34)&amp;"path"&amp;CHAR(34)&amp;":"&amp;CHAR(34)&amp;B324&amp;CHAR(34)&amp;","&amp;CHAR(34)&amp;"type"&amp;CHAR(34)&amp;":"&amp;CHAR(34)&amp;F324&amp;CHAR(34)&amp;","&amp;CHAR(34)&amp;"xlsform_type"&amp;CHAR(34)&amp;":"&amp;CHAR(34)&amp;C324&amp;CHAR(34)&amp;","&amp;CHAR(34)&amp;"commitment"&amp;CHAR(34)&amp;":"&amp;CHAR(34)&amp;IF(F324="sha256","text-utf8-sha256","value")&amp;CHAR(34)&amp;","&amp;CHAR(34)&amp;"transform"&amp;CHAR(34)&amp;":"&amp;CHAR(34)&amp;G324&amp;CHAR(34)&amp;"}")</f>
        <v/>
      </c>
      <c r="I324">
        <f>IF(E324&lt;&gt;"INCLUDE","","'|"&amp;B324&amp;"=', "&amp;IF(F324="date","if(string-length(string(${"&amp;B324&amp;"})) &gt; 0, format-date(${"&amp;B324&amp;"}, '%Y-%m-%d'), '')",IF(F324="sha256","digest(string(${"&amp;B324&amp;"}), 'SHA-256', 'hex')","string(${"&amp;B324&amp;"})")))</f>
        <v/>
      </c>
      <c r="J324">
        <f>IF(E324="INCLUDE","Included by explicit yes","Not included")</f>
        <v/>
      </c>
      <c r="K324">
        <f>K323&amp;IF(H324="","",","&amp;H324)</f>
        <v/>
      </c>
      <c r="L324">
        <f>L323&amp;IF(I324="","",","&amp;I324)</f>
        <v/>
      </c>
    </row>
    <row r="325">
      <c r="A325" t="n">
        <v>342</v>
      </c>
      <c r="B325">
        <f>survey!B342</f>
        <v/>
      </c>
      <c r="C325">
        <f>survey!A342</f>
        <v/>
      </c>
      <c r="D325" t="inlineStr"/>
      <c r="E325">
        <f>IF(OR(B325="",C325=""),"",IF(LOWER(D325)="yes","INCLUDE","EXCLUDE"))</f>
        <v/>
      </c>
      <c r="F325">
        <f>IF(E325&lt;&gt;"INCLUDE","",IF(LEFT(LOWER(C325),10)="select_one ","select_one",IF(LOWER(C325)="date","date",IF(OR(LOWER(C325)="integer",LOWER(C325)="decimal",LOWER(C325)="range"),LOWER(C325),"sha256"))))</f>
        <v/>
      </c>
      <c r="G325">
        <f>IF(E325&lt;&gt;"INCLUDE","",IF(F325="date","yyyy-mm-dd",IF(F325="select_one","stored-choice-name",IF(F325="sha256","odk-lexical-utf8-sha256","odk-canonical-scalar"))))</f>
        <v/>
      </c>
      <c r="H325">
        <f>IF(E325&lt;&gt;"INCLUDE","","{"&amp;CHAR(34)&amp;"path"&amp;CHAR(34)&amp;":"&amp;CHAR(34)&amp;B325&amp;CHAR(34)&amp;","&amp;CHAR(34)&amp;"type"&amp;CHAR(34)&amp;":"&amp;CHAR(34)&amp;F325&amp;CHAR(34)&amp;","&amp;CHAR(34)&amp;"xlsform_type"&amp;CHAR(34)&amp;":"&amp;CHAR(34)&amp;C325&amp;CHAR(34)&amp;","&amp;CHAR(34)&amp;"commitment"&amp;CHAR(34)&amp;":"&amp;CHAR(34)&amp;IF(F325="sha256","text-utf8-sha256","value")&amp;CHAR(34)&amp;","&amp;CHAR(34)&amp;"transform"&amp;CHAR(34)&amp;":"&amp;CHAR(34)&amp;G325&amp;CHAR(34)&amp;"}")</f>
        <v/>
      </c>
      <c r="I325">
        <f>IF(E325&lt;&gt;"INCLUDE","","'|"&amp;B325&amp;"=', "&amp;IF(F325="date","if(string-length(string(${"&amp;B325&amp;"})) &gt; 0, format-date(${"&amp;B325&amp;"}, '%Y-%m-%d'), '')",IF(F325="sha256","digest(string(${"&amp;B325&amp;"}), 'SHA-256', 'hex')","string(${"&amp;B325&amp;"})")))</f>
        <v/>
      </c>
      <c r="J325">
        <f>IF(E325="INCLUDE","Included by explicit yes","Not included")</f>
        <v/>
      </c>
      <c r="K325">
        <f>K324&amp;IF(H325="","",","&amp;H325)</f>
        <v/>
      </c>
      <c r="L325">
        <f>L324&amp;IF(I325="","",","&amp;I325)</f>
        <v/>
      </c>
    </row>
    <row r="326">
      <c r="A326" t="n">
        <v>343</v>
      </c>
      <c r="B326">
        <f>survey!B343</f>
        <v/>
      </c>
      <c r="C326">
        <f>survey!A343</f>
        <v/>
      </c>
      <c r="D326" t="inlineStr"/>
      <c r="E326">
        <f>IF(OR(B326="",C326=""),"",IF(LOWER(D326)="yes","INCLUDE","EXCLUDE"))</f>
        <v/>
      </c>
      <c r="F326">
        <f>IF(E326&lt;&gt;"INCLUDE","",IF(LEFT(LOWER(C326),10)="select_one ","select_one",IF(LOWER(C326)="date","date",IF(OR(LOWER(C326)="integer",LOWER(C326)="decimal",LOWER(C326)="range"),LOWER(C326),"sha256"))))</f>
        <v/>
      </c>
      <c r="G326">
        <f>IF(E326&lt;&gt;"INCLUDE","",IF(F326="date","yyyy-mm-dd",IF(F326="select_one","stored-choice-name",IF(F326="sha256","odk-lexical-utf8-sha256","odk-canonical-scalar"))))</f>
        <v/>
      </c>
      <c r="H326">
        <f>IF(E326&lt;&gt;"INCLUDE","","{"&amp;CHAR(34)&amp;"path"&amp;CHAR(34)&amp;":"&amp;CHAR(34)&amp;B326&amp;CHAR(34)&amp;","&amp;CHAR(34)&amp;"type"&amp;CHAR(34)&amp;":"&amp;CHAR(34)&amp;F326&amp;CHAR(34)&amp;","&amp;CHAR(34)&amp;"xlsform_type"&amp;CHAR(34)&amp;":"&amp;CHAR(34)&amp;C326&amp;CHAR(34)&amp;","&amp;CHAR(34)&amp;"commitment"&amp;CHAR(34)&amp;":"&amp;CHAR(34)&amp;IF(F326="sha256","text-utf8-sha256","value")&amp;CHAR(34)&amp;","&amp;CHAR(34)&amp;"transform"&amp;CHAR(34)&amp;":"&amp;CHAR(34)&amp;G326&amp;CHAR(34)&amp;"}")</f>
        <v/>
      </c>
      <c r="I326">
        <f>IF(E326&lt;&gt;"INCLUDE","","'|"&amp;B326&amp;"=', "&amp;IF(F326="date","if(string-length(string(${"&amp;B326&amp;"})) &gt; 0, format-date(${"&amp;B326&amp;"}, '%Y-%m-%d'), '')",IF(F326="sha256","digest(string(${"&amp;B326&amp;"}), 'SHA-256', 'hex')","string(${"&amp;B326&amp;"})")))</f>
        <v/>
      </c>
      <c r="J326">
        <f>IF(E326="INCLUDE","Included by explicit yes","Not included")</f>
        <v/>
      </c>
      <c r="K326">
        <f>K325&amp;IF(H326="","",","&amp;H326)</f>
        <v/>
      </c>
      <c r="L326">
        <f>L325&amp;IF(I326="","",","&amp;I326)</f>
        <v/>
      </c>
    </row>
    <row r="327">
      <c r="A327" t="n">
        <v>344</v>
      </c>
      <c r="B327">
        <f>survey!B344</f>
        <v/>
      </c>
      <c r="C327">
        <f>survey!A344</f>
        <v/>
      </c>
      <c r="D327" t="inlineStr"/>
      <c r="E327">
        <f>IF(OR(B327="",C327=""),"",IF(LOWER(D327)="yes","INCLUDE","EXCLUDE"))</f>
        <v/>
      </c>
      <c r="F327">
        <f>IF(E327&lt;&gt;"INCLUDE","",IF(LEFT(LOWER(C327),10)="select_one ","select_one",IF(LOWER(C327)="date","date",IF(OR(LOWER(C327)="integer",LOWER(C327)="decimal",LOWER(C327)="range"),LOWER(C327),"sha256"))))</f>
        <v/>
      </c>
      <c r="G327">
        <f>IF(E327&lt;&gt;"INCLUDE","",IF(F327="date","yyyy-mm-dd",IF(F327="select_one","stored-choice-name",IF(F327="sha256","odk-lexical-utf8-sha256","odk-canonical-scalar"))))</f>
        <v/>
      </c>
      <c r="H327">
        <f>IF(E327&lt;&gt;"INCLUDE","","{"&amp;CHAR(34)&amp;"path"&amp;CHAR(34)&amp;":"&amp;CHAR(34)&amp;B327&amp;CHAR(34)&amp;","&amp;CHAR(34)&amp;"type"&amp;CHAR(34)&amp;":"&amp;CHAR(34)&amp;F327&amp;CHAR(34)&amp;","&amp;CHAR(34)&amp;"xlsform_type"&amp;CHAR(34)&amp;":"&amp;CHAR(34)&amp;C327&amp;CHAR(34)&amp;","&amp;CHAR(34)&amp;"commitment"&amp;CHAR(34)&amp;":"&amp;CHAR(34)&amp;IF(F327="sha256","text-utf8-sha256","value")&amp;CHAR(34)&amp;","&amp;CHAR(34)&amp;"transform"&amp;CHAR(34)&amp;":"&amp;CHAR(34)&amp;G327&amp;CHAR(34)&amp;"}")</f>
        <v/>
      </c>
      <c r="I327">
        <f>IF(E327&lt;&gt;"INCLUDE","","'|"&amp;B327&amp;"=', "&amp;IF(F327="date","if(string-length(string(${"&amp;B327&amp;"})) &gt; 0, format-date(${"&amp;B327&amp;"}, '%Y-%m-%d'), '')",IF(F327="sha256","digest(string(${"&amp;B327&amp;"}), 'SHA-256', 'hex')","string(${"&amp;B327&amp;"})")))</f>
        <v/>
      </c>
      <c r="J327">
        <f>IF(E327="INCLUDE","Included by explicit yes","Not included")</f>
        <v/>
      </c>
      <c r="K327">
        <f>K326&amp;IF(H327="","",","&amp;H327)</f>
        <v/>
      </c>
      <c r="L327">
        <f>L326&amp;IF(I327="","",","&amp;I327)</f>
        <v/>
      </c>
    </row>
    <row r="328">
      <c r="A328" t="n">
        <v>345</v>
      </c>
      <c r="B328">
        <f>survey!B345</f>
        <v/>
      </c>
      <c r="C328">
        <f>survey!A345</f>
        <v/>
      </c>
      <c r="D328" t="inlineStr"/>
      <c r="E328">
        <f>IF(OR(B328="",C328=""),"",IF(LOWER(D328)="yes","INCLUDE","EXCLUDE"))</f>
        <v/>
      </c>
      <c r="F328">
        <f>IF(E328&lt;&gt;"INCLUDE","",IF(LEFT(LOWER(C328),10)="select_one ","select_one",IF(LOWER(C328)="date","date",IF(OR(LOWER(C328)="integer",LOWER(C328)="decimal",LOWER(C328)="range"),LOWER(C328),"sha256"))))</f>
        <v/>
      </c>
      <c r="G328">
        <f>IF(E328&lt;&gt;"INCLUDE","",IF(F328="date","yyyy-mm-dd",IF(F328="select_one","stored-choice-name",IF(F328="sha256","odk-lexical-utf8-sha256","odk-canonical-scalar"))))</f>
        <v/>
      </c>
      <c r="H328">
        <f>IF(E328&lt;&gt;"INCLUDE","","{"&amp;CHAR(34)&amp;"path"&amp;CHAR(34)&amp;":"&amp;CHAR(34)&amp;B328&amp;CHAR(34)&amp;","&amp;CHAR(34)&amp;"type"&amp;CHAR(34)&amp;":"&amp;CHAR(34)&amp;F328&amp;CHAR(34)&amp;","&amp;CHAR(34)&amp;"xlsform_type"&amp;CHAR(34)&amp;":"&amp;CHAR(34)&amp;C328&amp;CHAR(34)&amp;","&amp;CHAR(34)&amp;"commitment"&amp;CHAR(34)&amp;":"&amp;CHAR(34)&amp;IF(F328="sha256","text-utf8-sha256","value")&amp;CHAR(34)&amp;","&amp;CHAR(34)&amp;"transform"&amp;CHAR(34)&amp;":"&amp;CHAR(34)&amp;G328&amp;CHAR(34)&amp;"}")</f>
        <v/>
      </c>
      <c r="I328">
        <f>IF(E328&lt;&gt;"INCLUDE","","'|"&amp;B328&amp;"=', "&amp;IF(F328="date","if(string-length(string(${"&amp;B328&amp;"})) &gt; 0, format-date(${"&amp;B328&amp;"}, '%Y-%m-%d'), '')",IF(F328="sha256","digest(string(${"&amp;B328&amp;"}), 'SHA-256', 'hex')","string(${"&amp;B328&amp;"})")))</f>
        <v/>
      </c>
      <c r="J328">
        <f>IF(E328="INCLUDE","Included by explicit yes","Not included")</f>
        <v/>
      </c>
      <c r="K328">
        <f>K327&amp;IF(H328="","",","&amp;H328)</f>
        <v/>
      </c>
      <c r="L328">
        <f>L327&amp;IF(I328="","",","&amp;I328)</f>
        <v/>
      </c>
    </row>
    <row r="329">
      <c r="A329" t="n">
        <v>346</v>
      </c>
      <c r="B329">
        <f>survey!B346</f>
        <v/>
      </c>
      <c r="C329">
        <f>survey!A346</f>
        <v/>
      </c>
      <c r="D329" t="inlineStr"/>
      <c r="E329">
        <f>IF(OR(B329="",C329=""),"",IF(LOWER(D329)="yes","INCLUDE","EXCLUDE"))</f>
        <v/>
      </c>
      <c r="F329">
        <f>IF(E329&lt;&gt;"INCLUDE","",IF(LEFT(LOWER(C329),10)="select_one ","select_one",IF(LOWER(C329)="date","date",IF(OR(LOWER(C329)="integer",LOWER(C329)="decimal",LOWER(C329)="range"),LOWER(C329),"sha256"))))</f>
        <v/>
      </c>
      <c r="G329">
        <f>IF(E329&lt;&gt;"INCLUDE","",IF(F329="date","yyyy-mm-dd",IF(F329="select_one","stored-choice-name",IF(F329="sha256","odk-lexical-utf8-sha256","odk-canonical-scalar"))))</f>
        <v/>
      </c>
      <c r="H329">
        <f>IF(E329&lt;&gt;"INCLUDE","","{"&amp;CHAR(34)&amp;"path"&amp;CHAR(34)&amp;":"&amp;CHAR(34)&amp;B329&amp;CHAR(34)&amp;","&amp;CHAR(34)&amp;"type"&amp;CHAR(34)&amp;":"&amp;CHAR(34)&amp;F329&amp;CHAR(34)&amp;","&amp;CHAR(34)&amp;"xlsform_type"&amp;CHAR(34)&amp;":"&amp;CHAR(34)&amp;C329&amp;CHAR(34)&amp;","&amp;CHAR(34)&amp;"commitment"&amp;CHAR(34)&amp;":"&amp;CHAR(34)&amp;IF(F329="sha256","text-utf8-sha256","value")&amp;CHAR(34)&amp;","&amp;CHAR(34)&amp;"transform"&amp;CHAR(34)&amp;":"&amp;CHAR(34)&amp;G329&amp;CHAR(34)&amp;"}")</f>
        <v/>
      </c>
      <c r="I329">
        <f>IF(E329&lt;&gt;"INCLUDE","","'|"&amp;B329&amp;"=', "&amp;IF(F329="date","if(string-length(string(${"&amp;B329&amp;"})) &gt; 0, format-date(${"&amp;B329&amp;"}, '%Y-%m-%d'), '')",IF(F329="sha256","digest(string(${"&amp;B329&amp;"}), 'SHA-256', 'hex')","string(${"&amp;B329&amp;"})")))</f>
        <v/>
      </c>
      <c r="J329">
        <f>IF(E329="INCLUDE","Included by explicit yes","Not included")</f>
        <v/>
      </c>
      <c r="K329">
        <f>K328&amp;IF(H329="","",","&amp;H329)</f>
        <v/>
      </c>
      <c r="L329">
        <f>L328&amp;IF(I329="","",","&amp;I329)</f>
        <v/>
      </c>
    </row>
    <row r="330">
      <c r="A330" t="n">
        <v>347</v>
      </c>
      <c r="B330">
        <f>survey!B347</f>
        <v/>
      </c>
      <c r="C330">
        <f>survey!A347</f>
        <v/>
      </c>
      <c r="D330" t="inlineStr"/>
      <c r="E330">
        <f>IF(OR(B330="",C330=""),"",IF(LOWER(D330)="yes","INCLUDE","EXCLUDE"))</f>
        <v/>
      </c>
      <c r="F330">
        <f>IF(E330&lt;&gt;"INCLUDE","",IF(LEFT(LOWER(C330),10)="select_one ","select_one",IF(LOWER(C330)="date","date",IF(OR(LOWER(C330)="integer",LOWER(C330)="decimal",LOWER(C330)="range"),LOWER(C330),"sha256"))))</f>
        <v/>
      </c>
      <c r="G330">
        <f>IF(E330&lt;&gt;"INCLUDE","",IF(F330="date","yyyy-mm-dd",IF(F330="select_one","stored-choice-name",IF(F330="sha256","odk-lexical-utf8-sha256","odk-canonical-scalar"))))</f>
        <v/>
      </c>
      <c r="H330">
        <f>IF(E330&lt;&gt;"INCLUDE","","{"&amp;CHAR(34)&amp;"path"&amp;CHAR(34)&amp;":"&amp;CHAR(34)&amp;B330&amp;CHAR(34)&amp;","&amp;CHAR(34)&amp;"type"&amp;CHAR(34)&amp;":"&amp;CHAR(34)&amp;F330&amp;CHAR(34)&amp;","&amp;CHAR(34)&amp;"xlsform_type"&amp;CHAR(34)&amp;":"&amp;CHAR(34)&amp;C330&amp;CHAR(34)&amp;","&amp;CHAR(34)&amp;"commitment"&amp;CHAR(34)&amp;":"&amp;CHAR(34)&amp;IF(F330="sha256","text-utf8-sha256","value")&amp;CHAR(34)&amp;","&amp;CHAR(34)&amp;"transform"&amp;CHAR(34)&amp;":"&amp;CHAR(34)&amp;G330&amp;CHAR(34)&amp;"}")</f>
        <v/>
      </c>
      <c r="I330">
        <f>IF(E330&lt;&gt;"INCLUDE","","'|"&amp;B330&amp;"=', "&amp;IF(F330="date","if(string-length(string(${"&amp;B330&amp;"})) &gt; 0, format-date(${"&amp;B330&amp;"}, '%Y-%m-%d'), '')",IF(F330="sha256","digest(string(${"&amp;B330&amp;"}), 'SHA-256', 'hex')","string(${"&amp;B330&amp;"})")))</f>
        <v/>
      </c>
      <c r="J330">
        <f>IF(E330="INCLUDE","Included by explicit yes","Not included")</f>
        <v/>
      </c>
      <c r="K330">
        <f>K329&amp;IF(H330="","",","&amp;H330)</f>
        <v/>
      </c>
      <c r="L330">
        <f>L329&amp;IF(I330="","",","&amp;I330)</f>
        <v/>
      </c>
    </row>
    <row r="331">
      <c r="A331" t="n">
        <v>348</v>
      </c>
      <c r="B331">
        <f>survey!B348</f>
        <v/>
      </c>
      <c r="C331">
        <f>survey!A348</f>
        <v/>
      </c>
      <c r="D331" t="inlineStr"/>
      <c r="E331">
        <f>IF(OR(B331="",C331=""),"",IF(LOWER(D331)="yes","INCLUDE","EXCLUDE"))</f>
        <v/>
      </c>
      <c r="F331">
        <f>IF(E331&lt;&gt;"INCLUDE","",IF(LEFT(LOWER(C331),10)="select_one ","select_one",IF(LOWER(C331)="date","date",IF(OR(LOWER(C331)="integer",LOWER(C331)="decimal",LOWER(C331)="range"),LOWER(C331),"sha256"))))</f>
        <v/>
      </c>
      <c r="G331">
        <f>IF(E331&lt;&gt;"INCLUDE","",IF(F331="date","yyyy-mm-dd",IF(F331="select_one","stored-choice-name",IF(F331="sha256","odk-lexical-utf8-sha256","odk-canonical-scalar"))))</f>
        <v/>
      </c>
      <c r="H331">
        <f>IF(E331&lt;&gt;"INCLUDE","","{"&amp;CHAR(34)&amp;"path"&amp;CHAR(34)&amp;":"&amp;CHAR(34)&amp;B331&amp;CHAR(34)&amp;","&amp;CHAR(34)&amp;"type"&amp;CHAR(34)&amp;":"&amp;CHAR(34)&amp;F331&amp;CHAR(34)&amp;","&amp;CHAR(34)&amp;"xlsform_type"&amp;CHAR(34)&amp;":"&amp;CHAR(34)&amp;C331&amp;CHAR(34)&amp;","&amp;CHAR(34)&amp;"commitment"&amp;CHAR(34)&amp;":"&amp;CHAR(34)&amp;IF(F331="sha256","text-utf8-sha256","value")&amp;CHAR(34)&amp;","&amp;CHAR(34)&amp;"transform"&amp;CHAR(34)&amp;":"&amp;CHAR(34)&amp;G331&amp;CHAR(34)&amp;"}")</f>
        <v/>
      </c>
      <c r="I331">
        <f>IF(E331&lt;&gt;"INCLUDE","","'|"&amp;B331&amp;"=', "&amp;IF(F331="date","if(string-length(string(${"&amp;B331&amp;"})) &gt; 0, format-date(${"&amp;B331&amp;"}, '%Y-%m-%d'), '')",IF(F331="sha256","digest(string(${"&amp;B331&amp;"}), 'SHA-256', 'hex')","string(${"&amp;B331&amp;"})")))</f>
        <v/>
      </c>
      <c r="J331">
        <f>IF(E331="INCLUDE","Included by explicit yes","Not included")</f>
        <v/>
      </c>
      <c r="K331">
        <f>K330&amp;IF(H331="","",","&amp;H331)</f>
        <v/>
      </c>
      <c r="L331">
        <f>L330&amp;IF(I331="","",","&amp;I331)</f>
        <v/>
      </c>
    </row>
    <row r="332">
      <c r="A332" t="n">
        <v>349</v>
      </c>
      <c r="B332">
        <f>survey!B349</f>
        <v/>
      </c>
      <c r="C332">
        <f>survey!A349</f>
        <v/>
      </c>
      <c r="D332" t="inlineStr"/>
      <c r="E332">
        <f>IF(OR(B332="",C332=""),"",IF(LOWER(D332)="yes","INCLUDE","EXCLUDE"))</f>
        <v/>
      </c>
      <c r="F332">
        <f>IF(E332&lt;&gt;"INCLUDE","",IF(LEFT(LOWER(C332),10)="select_one ","select_one",IF(LOWER(C332)="date","date",IF(OR(LOWER(C332)="integer",LOWER(C332)="decimal",LOWER(C332)="range"),LOWER(C332),"sha256"))))</f>
        <v/>
      </c>
      <c r="G332">
        <f>IF(E332&lt;&gt;"INCLUDE","",IF(F332="date","yyyy-mm-dd",IF(F332="select_one","stored-choice-name",IF(F332="sha256","odk-lexical-utf8-sha256","odk-canonical-scalar"))))</f>
        <v/>
      </c>
      <c r="H332">
        <f>IF(E332&lt;&gt;"INCLUDE","","{"&amp;CHAR(34)&amp;"path"&amp;CHAR(34)&amp;":"&amp;CHAR(34)&amp;B332&amp;CHAR(34)&amp;","&amp;CHAR(34)&amp;"type"&amp;CHAR(34)&amp;":"&amp;CHAR(34)&amp;F332&amp;CHAR(34)&amp;","&amp;CHAR(34)&amp;"xlsform_type"&amp;CHAR(34)&amp;":"&amp;CHAR(34)&amp;C332&amp;CHAR(34)&amp;","&amp;CHAR(34)&amp;"commitment"&amp;CHAR(34)&amp;":"&amp;CHAR(34)&amp;IF(F332="sha256","text-utf8-sha256","value")&amp;CHAR(34)&amp;","&amp;CHAR(34)&amp;"transform"&amp;CHAR(34)&amp;":"&amp;CHAR(34)&amp;G332&amp;CHAR(34)&amp;"}")</f>
        <v/>
      </c>
      <c r="I332">
        <f>IF(E332&lt;&gt;"INCLUDE","","'|"&amp;B332&amp;"=', "&amp;IF(F332="date","if(string-length(string(${"&amp;B332&amp;"})) &gt; 0, format-date(${"&amp;B332&amp;"}, '%Y-%m-%d'), '')",IF(F332="sha256","digest(string(${"&amp;B332&amp;"}), 'SHA-256', 'hex')","string(${"&amp;B332&amp;"})")))</f>
        <v/>
      </c>
      <c r="J332">
        <f>IF(E332="INCLUDE","Included by explicit yes","Not included")</f>
        <v/>
      </c>
      <c r="K332">
        <f>K331&amp;IF(H332="","",","&amp;H332)</f>
        <v/>
      </c>
      <c r="L332">
        <f>L331&amp;IF(I332="","",","&amp;I332)</f>
        <v/>
      </c>
    </row>
    <row r="333">
      <c r="A333" t="n">
        <v>350</v>
      </c>
      <c r="B333">
        <f>survey!B350</f>
        <v/>
      </c>
      <c r="C333">
        <f>survey!A350</f>
        <v/>
      </c>
      <c r="D333" t="inlineStr"/>
      <c r="E333">
        <f>IF(OR(B333="",C333=""),"",IF(LOWER(D333)="yes","INCLUDE","EXCLUDE"))</f>
        <v/>
      </c>
      <c r="F333">
        <f>IF(E333&lt;&gt;"INCLUDE","",IF(LEFT(LOWER(C333),10)="select_one ","select_one",IF(LOWER(C333)="date","date",IF(OR(LOWER(C333)="integer",LOWER(C333)="decimal",LOWER(C333)="range"),LOWER(C333),"sha256"))))</f>
        <v/>
      </c>
      <c r="G333">
        <f>IF(E333&lt;&gt;"INCLUDE","",IF(F333="date","yyyy-mm-dd",IF(F333="select_one","stored-choice-name",IF(F333="sha256","odk-lexical-utf8-sha256","odk-canonical-scalar"))))</f>
        <v/>
      </c>
      <c r="H333">
        <f>IF(E333&lt;&gt;"INCLUDE","","{"&amp;CHAR(34)&amp;"path"&amp;CHAR(34)&amp;":"&amp;CHAR(34)&amp;B333&amp;CHAR(34)&amp;","&amp;CHAR(34)&amp;"type"&amp;CHAR(34)&amp;":"&amp;CHAR(34)&amp;F333&amp;CHAR(34)&amp;","&amp;CHAR(34)&amp;"xlsform_type"&amp;CHAR(34)&amp;":"&amp;CHAR(34)&amp;C333&amp;CHAR(34)&amp;","&amp;CHAR(34)&amp;"commitment"&amp;CHAR(34)&amp;":"&amp;CHAR(34)&amp;IF(F333="sha256","text-utf8-sha256","value")&amp;CHAR(34)&amp;","&amp;CHAR(34)&amp;"transform"&amp;CHAR(34)&amp;":"&amp;CHAR(34)&amp;G333&amp;CHAR(34)&amp;"}")</f>
        <v/>
      </c>
      <c r="I333">
        <f>IF(E333&lt;&gt;"INCLUDE","","'|"&amp;B333&amp;"=', "&amp;IF(F333="date","if(string-length(string(${"&amp;B333&amp;"})) &gt; 0, format-date(${"&amp;B333&amp;"}, '%Y-%m-%d'), '')",IF(F333="sha256","digest(string(${"&amp;B333&amp;"}), 'SHA-256', 'hex')","string(${"&amp;B333&amp;"})")))</f>
        <v/>
      </c>
      <c r="J333">
        <f>IF(E333="INCLUDE","Included by explicit yes","Not included")</f>
        <v/>
      </c>
      <c r="K333">
        <f>K332&amp;IF(H333="","",","&amp;H333)</f>
        <v/>
      </c>
      <c r="L333">
        <f>L332&amp;IF(I333="","",","&amp;I333)</f>
        <v/>
      </c>
    </row>
    <row r="334">
      <c r="A334" t="n">
        <v>351</v>
      </c>
      <c r="B334">
        <f>survey!B351</f>
        <v/>
      </c>
      <c r="C334">
        <f>survey!A351</f>
        <v/>
      </c>
      <c r="D334" t="inlineStr"/>
      <c r="E334">
        <f>IF(OR(B334="",C334=""),"",IF(LOWER(D334)="yes","INCLUDE","EXCLUDE"))</f>
        <v/>
      </c>
      <c r="F334">
        <f>IF(E334&lt;&gt;"INCLUDE","",IF(LEFT(LOWER(C334),10)="select_one ","select_one",IF(LOWER(C334)="date","date",IF(OR(LOWER(C334)="integer",LOWER(C334)="decimal",LOWER(C334)="range"),LOWER(C334),"sha256"))))</f>
        <v/>
      </c>
      <c r="G334">
        <f>IF(E334&lt;&gt;"INCLUDE","",IF(F334="date","yyyy-mm-dd",IF(F334="select_one","stored-choice-name",IF(F334="sha256","odk-lexical-utf8-sha256","odk-canonical-scalar"))))</f>
        <v/>
      </c>
      <c r="H334">
        <f>IF(E334&lt;&gt;"INCLUDE","","{"&amp;CHAR(34)&amp;"path"&amp;CHAR(34)&amp;":"&amp;CHAR(34)&amp;B334&amp;CHAR(34)&amp;","&amp;CHAR(34)&amp;"type"&amp;CHAR(34)&amp;":"&amp;CHAR(34)&amp;F334&amp;CHAR(34)&amp;","&amp;CHAR(34)&amp;"xlsform_type"&amp;CHAR(34)&amp;":"&amp;CHAR(34)&amp;C334&amp;CHAR(34)&amp;","&amp;CHAR(34)&amp;"commitment"&amp;CHAR(34)&amp;":"&amp;CHAR(34)&amp;IF(F334="sha256","text-utf8-sha256","value")&amp;CHAR(34)&amp;","&amp;CHAR(34)&amp;"transform"&amp;CHAR(34)&amp;":"&amp;CHAR(34)&amp;G334&amp;CHAR(34)&amp;"}")</f>
        <v/>
      </c>
      <c r="I334">
        <f>IF(E334&lt;&gt;"INCLUDE","","'|"&amp;B334&amp;"=', "&amp;IF(F334="date","if(string-length(string(${"&amp;B334&amp;"})) &gt; 0, format-date(${"&amp;B334&amp;"}, '%Y-%m-%d'), '')",IF(F334="sha256","digest(string(${"&amp;B334&amp;"}), 'SHA-256', 'hex')","string(${"&amp;B334&amp;"})")))</f>
        <v/>
      </c>
      <c r="J334">
        <f>IF(E334="INCLUDE","Included by explicit yes","Not included")</f>
        <v/>
      </c>
      <c r="K334">
        <f>K333&amp;IF(H334="","",","&amp;H334)</f>
        <v/>
      </c>
      <c r="L334">
        <f>L333&amp;IF(I334="","",","&amp;I334)</f>
        <v/>
      </c>
    </row>
    <row r="335">
      <c r="A335" t="n">
        <v>352</v>
      </c>
      <c r="B335">
        <f>survey!B352</f>
        <v/>
      </c>
      <c r="C335">
        <f>survey!A352</f>
        <v/>
      </c>
      <c r="D335" t="inlineStr"/>
      <c r="E335">
        <f>IF(OR(B335="",C335=""),"",IF(LOWER(D335)="yes","INCLUDE","EXCLUDE"))</f>
        <v/>
      </c>
      <c r="F335">
        <f>IF(E335&lt;&gt;"INCLUDE","",IF(LEFT(LOWER(C335),10)="select_one ","select_one",IF(LOWER(C335)="date","date",IF(OR(LOWER(C335)="integer",LOWER(C335)="decimal",LOWER(C335)="range"),LOWER(C335),"sha256"))))</f>
        <v/>
      </c>
      <c r="G335">
        <f>IF(E335&lt;&gt;"INCLUDE","",IF(F335="date","yyyy-mm-dd",IF(F335="select_one","stored-choice-name",IF(F335="sha256","odk-lexical-utf8-sha256","odk-canonical-scalar"))))</f>
        <v/>
      </c>
      <c r="H335">
        <f>IF(E335&lt;&gt;"INCLUDE","","{"&amp;CHAR(34)&amp;"path"&amp;CHAR(34)&amp;":"&amp;CHAR(34)&amp;B335&amp;CHAR(34)&amp;","&amp;CHAR(34)&amp;"type"&amp;CHAR(34)&amp;":"&amp;CHAR(34)&amp;F335&amp;CHAR(34)&amp;","&amp;CHAR(34)&amp;"xlsform_type"&amp;CHAR(34)&amp;":"&amp;CHAR(34)&amp;C335&amp;CHAR(34)&amp;","&amp;CHAR(34)&amp;"commitment"&amp;CHAR(34)&amp;":"&amp;CHAR(34)&amp;IF(F335="sha256","text-utf8-sha256","value")&amp;CHAR(34)&amp;","&amp;CHAR(34)&amp;"transform"&amp;CHAR(34)&amp;":"&amp;CHAR(34)&amp;G335&amp;CHAR(34)&amp;"}")</f>
        <v/>
      </c>
      <c r="I335">
        <f>IF(E335&lt;&gt;"INCLUDE","","'|"&amp;B335&amp;"=', "&amp;IF(F335="date","if(string-length(string(${"&amp;B335&amp;"})) &gt; 0, format-date(${"&amp;B335&amp;"}, '%Y-%m-%d'), '')",IF(F335="sha256","digest(string(${"&amp;B335&amp;"}), 'SHA-256', 'hex')","string(${"&amp;B335&amp;"})")))</f>
        <v/>
      </c>
      <c r="J335">
        <f>IF(E335="INCLUDE","Included by explicit yes","Not included")</f>
        <v/>
      </c>
      <c r="K335">
        <f>K334&amp;IF(H335="","",","&amp;H335)</f>
        <v/>
      </c>
      <c r="L335">
        <f>L334&amp;IF(I335="","",","&amp;I335)</f>
        <v/>
      </c>
    </row>
    <row r="336">
      <c r="A336" t="n">
        <v>353</v>
      </c>
      <c r="B336">
        <f>survey!B353</f>
        <v/>
      </c>
      <c r="C336">
        <f>survey!A353</f>
        <v/>
      </c>
      <c r="D336" t="inlineStr"/>
      <c r="E336">
        <f>IF(OR(B336="",C336=""),"",IF(LOWER(D336)="yes","INCLUDE","EXCLUDE"))</f>
        <v/>
      </c>
      <c r="F336">
        <f>IF(E336&lt;&gt;"INCLUDE","",IF(LEFT(LOWER(C336),10)="select_one ","select_one",IF(LOWER(C336)="date","date",IF(OR(LOWER(C336)="integer",LOWER(C336)="decimal",LOWER(C336)="range"),LOWER(C336),"sha256"))))</f>
        <v/>
      </c>
      <c r="G336">
        <f>IF(E336&lt;&gt;"INCLUDE","",IF(F336="date","yyyy-mm-dd",IF(F336="select_one","stored-choice-name",IF(F336="sha256","odk-lexical-utf8-sha256","odk-canonical-scalar"))))</f>
        <v/>
      </c>
      <c r="H336">
        <f>IF(E336&lt;&gt;"INCLUDE","","{"&amp;CHAR(34)&amp;"path"&amp;CHAR(34)&amp;":"&amp;CHAR(34)&amp;B336&amp;CHAR(34)&amp;","&amp;CHAR(34)&amp;"type"&amp;CHAR(34)&amp;":"&amp;CHAR(34)&amp;F336&amp;CHAR(34)&amp;","&amp;CHAR(34)&amp;"xlsform_type"&amp;CHAR(34)&amp;":"&amp;CHAR(34)&amp;C336&amp;CHAR(34)&amp;","&amp;CHAR(34)&amp;"commitment"&amp;CHAR(34)&amp;":"&amp;CHAR(34)&amp;IF(F336="sha256","text-utf8-sha256","value")&amp;CHAR(34)&amp;","&amp;CHAR(34)&amp;"transform"&amp;CHAR(34)&amp;":"&amp;CHAR(34)&amp;G336&amp;CHAR(34)&amp;"}")</f>
        <v/>
      </c>
      <c r="I336">
        <f>IF(E336&lt;&gt;"INCLUDE","","'|"&amp;B336&amp;"=', "&amp;IF(F336="date","if(string-length(string(${"&amp;B336&amp;"})) &gt; 0, format-date(${"&amp;B336&amp;"}, '%Y-%m-%d'), '')",IF(F336="sha256","digest(string(${"&amp;B336&amp;"}), 'SHA-256', 'hex')","string(${"&amp;B336&amp;"})")))</f>
        <v/>
      </c>
      <c r="J336">
        <f>IF(E336="INCLUDE","Included by explicit yes","Not included")</f>
        <v/>
      </c>
      <c r="K336">
        <f>K335&amp;IF(H336="","",","&amp;H336)</f>
        <v/>
      </c>
      <c r="L336">
        <f>L335&amp;IF(I336="","",","&amp;I336)</f>
        <v/>
      </c>
    </row>
    <row r="337">
      <c r="A337" t="n">
        <v>354</v>
      </c>
      <c r="B337">
        <f>survey!B354</f>
        <v/>
      </c>
      <c r="C337">
        <f>survey!A354</f>
        <v/>
      </c>
      <c r="D337" t="inlineStr"/>
      <c r="E337">
        <f>IF(OR(B337="",C337=""),"",IF(LOWER(D337)="yes","INCLUDE","EXCLUDE"))</f>
        <v/>
      </c>
      <c r="F337">
        <f>IF(E337&lt;&gt;"INCLUDE","",IF(LEFT(LOWER(C337),10)="select_one ","select_one",IF(LOWER(C337)="date","date",IF(OR(LOWER(C337)="integer",LOWER(C337)="decimal",LOWER(C337)="range"),LOWER(C337),"sha256"))))</f>
        <v/>
      </c>
      <c r="G337">
        <f>IF(E337&lt;&gt;"INCLUDE","",IF(F337="date","yyyy-mm-dd",IF(F337="select_one","stored-choice-name",IF(F337="sha256","odk-lexical-utf8-sha256","odk-canonical-scalar"))))</f>
        <v/>
      </c>
      <c r="H337">
        <f>IF(E337&lt;&gt;"INCLUDE","","{"&amp;CHAR(34)&amp;"path"&amp;CHAR(34)&amp;":"&amp;CHAR(34)&amp;B337&amp;CHAR(34)&amp;","&amp;CHAR(34)&amp;"type"&amp;CHAR(34)&amp;":"&amp;CHAR(34)&amp;F337&amp;CHAR(34)&amp;","&amp;CHAR(34)&amp;"xlsform_type"&amp;CHAR(34)&amp;":"&amp;CHAR(34)&amp;C337&amp;CHAR(34)&amp;","&amp;CHAR(34)&amp;"commitment"&amp;CHAR(34)&amp;":"&amp;CHAR(34)&amp;IF(F337="sha256","text-utf8-sha256","value")&amp;CHAR(34)&amp;","&amp;CHAR(34)&amp;"transform"&amp;CHAR(34)&amp;":"&amp;CHAR(34)&amp;G337&amp;CHAR(34)&amp;"}")</f>
        <v/>
      </c>
      <c r="I337">
        <f>IF(E337&lt;&gt;"INCLUDE","","'|"&amp;B337&amp;"=', "&amp;IF(F337="date","if(string-length(string(${"&amp;B337&amp;"})) &gt; 0, format-date(${"&amp;B337&amp;"}, '%Y-%m-%d'), '')",IF(F337="sha256","digest(string(${"&amp;B337&amp;"}), 'SHA-256', 'hex')","string(${"&amp;B337&amp;"})")))</f>
        <v/>
      </c>
      <c r="J337">
        <f>IF(E337="INCLUDE","Included by explicit yes","Not included")</f>
        <v/>
      </c>
      <c r="K337">
        <f>K336&amp;IF(H337="","",","&amp;H337)</f>
        <v/>
      </c>
      <c r="L337">
        <f>L336&amp;IF(I337="","",","&amp;I337)</f>
        <v/>
      </c>
    </row>
    <row r="338">
      <c r="A338" t="n">
        <v>355</v>
      </c>
      <c r="B338">
        <f>survey!B355</f>
        <v/>
      </c>
      <c r="C338">
        <f>survey!A355</f>
        <v/>
      </c>
      <c r="D338" t="inlineStr"/>
      <c r="E338">
        <f>IF(OR(B338="",C338=""),"",IF(LOWER(D338)="yes","INCLUDE","EXCLUDE"))</f>
        <v/>
      </c>
      <c r="F338">
        <f>IF(E338&lt;&gt;"INCLUDE","",IF(LEFT(LOWER(C338),10)="select_one ","select_one",IF(LOWER(C338)="date","date",IF(OR(LOWER(C338)="integer",LOWER(C338)="decimal",LOWER(C338)="range"),LOWER(C338),"sha256"))))</f>
        <v/>
      </c>
      <c r="G338">
        <f>IF(E338&lt;&gt;"INCLUDE","",IF(F338="date","yyyy-mm-dd",IF(F338="select_one","stored-choice-name",IF(F338="sha256","odk-lexical-utf8-sha256","odk-canonical-scalar"))))</f>
        <v/>
      </c>
      <c r="H338">
        <f>IF(E338&lt;&gt;"INCLUDE","","{"&amp;CHAR(34)&amp;"path"&amp;CHAR(34)&amp;":"&amp;CHAR(34)&amp;B338&amp;CHAR(34)&amp;","&amp;CHAR(34)&amp;"type"&amp;CHAR(34)&amp;":"&amp;CHAR(34)&amp;F338&amp;CHAR(34)&amp;","&amp;CHAR(34)&amp;"xlsform_type"&amp;CHAR(34)&amp;":"&amp;CHAR(34)&amp;C338&amp;CHAR(34)&amp;","&amp;CHAR(34)&amp;"commitment"&amp;CHAR(34)&amp;":"&amp;CHAR(34)&amp;IF(F338="sha256","text-utf8-sha256","value")&amp;CHAR(34)&amp;","&amp;CHAR(34)&amp;"transform"&amp;CHAR(34)&amp;":"&amp;CHAR(34)&amp;G338&amp;CHAR(34)&amp;"}")</f>
        <v/>
      </c>
      <c r="I338">
        <f>IF(E338&lt;&gt;"INCLUDE","","'|"&amp;B338&amp;"=', "&amp;IF(F338="date","if(string-length(string(${"&amp;B338&amp;"})) &gt; 0, format-date(${"&amp;B338&amp;"}, '%Y-%m-%d'), '')",IF(F338="sha256","digest(string(${"&amp;B338&amp;"}), 'SHA-256', 'hex')","string(${"&amp;B338&amp;"})")))</f>
        <v/>
      </c>
      <c r="J338">
        <f>IF(E338="INCLUDE","Included by explicit yes","Not included")</f>
        <v/>
      </c>
      <c r="K338">
        <f>K337&amp;IF(H338="","",","&amp;H338)</f>
        <v/>
      </c>
      <c r="L338">
        <f>L337&amp;IF(I338="","",","&amp;I338)</f>
        <v/>
      </c>
    </row>
    <row r="339">
      <c r="A339" t="n">
        <v>356</v>
      </c>
      <c r="B339">
        <f>survey!B356</f>
        <v/>
      </c>
      <c r="C339">
        <f>survey!A356</f>
        <v/>
      </c>
      <c r="D339" t="inlineStr"/>
      <c r="E339">
        <f>IF(OR(B339="",C339=""),"",IF(LOWER(D339)="yes","INCLUDE","EXCLUDE"))</f>
        <v/>
      </c>
      <c r="F339">
        <f>IF(E339&lt;&gt;"INCLUDE","",IF(LEFT(LOWER(C339),10)="select_one ","select_one",IF(LOWER(C339)="date","date",IF(OR(LOWER(C339)="integer",LOWER(C339)="decimal",LOWER(C339)="range"),LOWER(C339),"sha256"))))</f>
        <v/>
      </c>
      <c r="G339">
        <f>IF(E339&lt;&gt;"INCLUDE","",IF(F339="date","yyyy-mm-dd",IF(F339="select_one","stored-choice-name",IF(F339="sha256","odk-lexical-utf8-sha256","odk-canonical-scalar"))))</f>
        <v/>
      </c>
      <c r="H339">
        <f>IF(E339&lt;&gt;"INCLUDE","","{"&amp;CHAR(34)&amp;"path"&amp;CHAR(34)&amp;":"&amp;CHAR(34)&amp;B339&amp;CHAR(34)&amp;","&amp;CHAR(34)&amp;"type"&amp;CHAR(34)&amp;":"&amp;CHAR(34)&amp;F339&amp;CHAR(34)&amp;","&amp;CHAR(34)&amp;"xlsform_type"&amp;CHAR(34)&amp;":"&amp;CHAR(34)&amp;C339&amp;CHAR(34)&amp;","&amp;CHAR(34)&amp;"commitment"&amp;CHAR(34)&amp;":"&amp;CHAR(34)&amp;IF(F339="sha256","text-utf8-sha256","value")&amp;CHAR(34)&amp;","&amp;CHAR(34)&amp;"transform"&amp;CHAR(34)&amp;":"&amp;CHAR(34)&amp;G339&amp;CHAR(34)&amp;"}")</f>
        <v/>
      </c>
      <c r="I339">
        <f>IF(E339&lt;&gt;"INCLUDE","","'|"&amp;B339&amp;"=', "&amp;IF(F339="date","if(string-length(string(${"&amp;B339&amp;"})) &gt; 0, format-date(${"&amp;B339&amp;"}, '%Y-%m-%d'), '')",IF(F339="sha256","digest(string(${"&amp;B339&amp;"}), 'SHA-256', 'hex')","string(${"&amp;B339&amp;"})")))</f>
        <v/>
      </c>
      <c r="J339">
        <f>IF(E339="INCLUDE","Included by explicit yes","Not included")</f>
        <v/>
      </c>
      <c r="K339">
        <f>K338&amp;IF(H339="","",","&amp;H339)</f>
        <v/>
      </c>
      <c r="L339">
        <f>L338&amp;IF(I339="","",","&amp;I339)</f>
        <v/>
      </c>
    </row>
    <row r="340">
      <c r="A340" t="n">
        <v>357</v>
      </c>
      <c r="B340">
        <f>survey!B357</f>
        <v/>
      </c>
      <c r="C340">
        <f>survey!A357</f>
        <v/>
      </c>
      <c r="D340" t="inlineStr"/>
      <c r="E340">
        <f>IF(OR(B340="",C340=""),"",IF(LOWER(D340)="yes","INCLUDE","EXCLUDE"))</f>
        <v/>
      </c>
      <c r="F340">
        <f>IF(E340&lt;&gt;"INCLUDE","",IF(LEFT(LOWER(C340),10)="select_one ","select_one",IF(LOWER(C340)="date","date",IF(OR(LOWER(C340)="integer",LOWER(C340)="decimal",LOWER(C340)="range"),LOWER(C340),"sha256"))))</f>
        <v/>
      </c>
      <c r="G340">
        <f>IF(E340&lt;&gt;"INCLUDE","",IF(F340="date","yyyy-mm-dd",IF(F340="select_one","stored-choice-name",IF(F340="sha256","odk-lexical-utf8-sha256","odk-canonical-scalar"))))</f>
        <v/>
      </c>
      <c r="H340">
        <f>IF(E340&lt;&gt;"INCLUDE","","{"&amp;CHAR(34)&amp;"path"&amp;CHAR(34)&amp;":"&amp;CHAR(34)&amp;B340&amp;CHAR(34)&amp;","&amp;CHAR(34)&amp;"type"&amp;CHAR(34)&amp;":"&amp;CHAR(34)&amp;F340&amp;CHAR(34)&amp;","&amp;CHAR(34)&amp;"xlsform_type"&amp;CHAR(34)&amp;":"&amp;CHAR(34)&amp;C340&amp;CHAR(34)&amp;","&amp;CHAR(34)&amp;"commitment"&amp;CHAR(34)&amp;":"&amp;CHAR(34)&amp;IF(F340="sha256","text-utf8-sha256","value")&amp;CHAR(34)&amp;","&amp;CHAR(34)&amp;"transform"&amp;CHAR(34)&amp;":"&amp;CHAR(34)&amp;G340&amp;CHAR(34)&amp;"}")</f>
        <v/>
      </c>
      <c r="I340">
        <f>IF(E340&lt;&gt;"INCLUDE","","'|"&amp;B340&amp;"=', "&amp;IF(F340="date","if(string-length(string(${"&amp;B340&amp;"})) &gt; 0, format-date(${"&amp;B340&amp;"}, '%Y-%m-%d'), '')",IF(F340="sha256","digest(string(${"&amp;B340&amp;"}), 'SHA-256', 'hex')","string(${"&amp;B340&amp;"})")))</f>
        <v/>
      </c>
      <c r="J340">
        <f>IF(E340="INCLUDE","Included by explicit yes","Not included")</f>
        <v/>
      </c>
      <c r="K340">
        <f>K339&amp;IF(H340="","",","&amp;H340)</f>
        <v/>
      </c>
      <c r="L340">
        <f>L339&amp;IF(I340="","",","&amp;I340)</f>
        <v/>
      </c>
    </row>
    <row r="341">
      <c r="A341" t="n">
        <v>358</v>
      </c>
      <c r="B341">
        <f>survey!B358</f>
        <v/>
      </c>
      <c r="C341">
        <f>survey!A358</f>
        <v/>
      </c>
      <c r="D341" t="inlineStr"/>
      <c r="E341">
        <f>IF(OR(B341="",C341=""),"",IF(LOWER(D341)="yes","INCLUDE","EXCLUDE"))</f>
        <v/>
      </c>
      <c r="F341">
        <f>IF(E341&lt;&gt;"INCLUDE","",IF(LEFT(LOWER(C341),10)="select_one ","select_one",IF(LOWER(C341)="date","date",IF(OR(LOWER(C341)="integer",LOWER(C341)="decimal",LOWER(C341)="range"),LOWER(C341),"sha256"))))</f>
        <v/>
      </c>
      <c r="G341">
        <f>IF(E341&lt;&gt;"INCLUDE","",IF(F341="date","yyyy-mm-dd",IF(F341="select_one","stored-choice-name",IF(F341="sha256","odk-lexical-utf8-sha256","odk-canonical-scalar"))))</f>
        <v/>
      </c>
      <c r="H341">
        <f>IF(E341&lt;&gt;"INCLUDE","","{"&amp;CHAR(34)&amp;"path"&amp;CHAR(34)&amp;":"&amp;CHAR(34)&amp;B341&amp;CHAR(34)&amp;","&amp;CHAR(34)&amp;"type"&amp;CHAR(34)&amp;":"&amp;CHAR(34)&amp;F341&amp;CHAR(34)&amp;","&amp;CHAR(34)&amp;"xlsform_type"&amp;CHAR(34)&amp;":"&amp;CHAR(34)&amp;C341&amp;CHAR(34)&amp;","&amp;CHAR(34)&amp;"commitment"&amp;CHAR(34)&amp;":"&amp;CHAR(34)&amp;IF(F341="sha256","text-utf8-sha256","value")&amp;CHAR(34)&amp;","&amp;CHAR(34)&amp;"transform"&amp;CHAR(34)&amp;":"&amp;CHAR(34)&amp;G341&amp;CHAR(34)&amp;"}")</f>
        <v/>
      </c>
      <c r="I341">
        <f>IF(E341&lt;&gt;"INCLUDE","","'|"&amp;B341&amp;"=', "&amp;IF(F341="date","if(string-length(string(${"&amp;B341&amp;"})) &gt; 0, format-date(${"&amp;B341&amp;"}, '%Y-%m-%d'), '')",IF(F341="sha256","digest(string(${"&amp;B341&amp;"}), 'SHA-256', 'hex')","string(${"&amp;B341&amp;"})")))</f>
        <v/>
      </c>
      <c r="J341">
        <f>IF(E341="INCLUDE","Included by explicit yes","Not included")</f>
        <v/>
      </c>
      <c r="K341">
        <f>K340&amp;IF(H341="","",","&amp;H341)</f>
        <v/>
      </c>
      <c r="L341">
        <f>L340&amp;IF(I341="","",","&amp;I341)</f>
        <v/>
      </c>
    </row>
    <row r="342">
      <c r="A342" t="n">
        <v>359</v>
      </c>
      <c r="B342">
        <f>survey!B359</f>
        <v/>
      </c>
      <c r="C342">
        <f>survey!A359</f>
        <v/>
      </c>
      <c r="D342" t="inlineStr"/>
      <c r="E342">
        <f>IF(OR(B342="",C342=""),"",IF(LOWER(D342)="yes","INCLUDE","EXCLUDE"))</f>
        <v/>
      </c>
      <c r="F342">
        <f>IF(E342&lt;&gt;"INCLUDE","",IF(LEFT(LOWER(C342),10)="select_one ","select_one",IF(LOWER(C342)="date","date",IF(OR(LOWER(C342)="integer",LOWER(C342)="decimal",LOWER(C342)="range"),LOWER(C342),"sha256"))))</f>
        <v/>
      </c>
      <c r="G342">
        <f>IF(E342&lt;&gt;"INCLUDE","",IF(F342="date","yyyy-mm-dd",IF(F342="select_one","stored-choice-name",IF(F342="sha256","odk-lexical-utf8-sha256","odk-canonical-scalar"))))</f>
        <v/>
      </c>
      <c r="H342">
        <f>IF(E342&lt;&gt;"INCLUDE","","{"&amp;CHAR(34)&amp;"path"&amp;CHAR(34)&amp;":"&amp;CHAR(34)&amp;B342&amp;CHAR(34)&amp;","&amp;CHAR(34)&amp;"type"&amp;CHAR(34)&amp;":"&amp;CHAR(34)&amp;F342&amp;CHAR(34)&amp;","&amp;CHAR(34)&amp;"xlsform_type"&amp;CHAR(34)&amp;":"&amp;CHAR(34)&amp;C342&amp;CHAR(34)&amp;","&amp;CHAR(34)&amp;"commitment"&amp;CHAR(34)&amp;":"&amp;CHAR(34)&amp;IF(F342="sha256","text-utf8-sha256","value")&amp;CHAR(34)&amp;","&amp;CHAR(34)&amp;"transform"&amp;CHAR(34)&amp;":"&amp;CHAR(34)&amp;G342&amp;CHAR(34)&amp;"}")</f>
        <v/>
      </c>
      <c r="I342">
        <f>IF(E342&lt;&gt;"INCLUDE","","'|"&amp;B342&amp;"=', "&amp;IF(F342="date","if(string-length(string(${"&amp;B342&amp;"})) &gt; 0, format-date(${"&amp;B342&amp;"}, '%Y-%m-%d'), '')",IF(F342="sha256","digest(string(${"&amp;B342&amp;"}), 'SHA-256', 'hex')","string(${"&amp;B342&amp;"})")))</f>
        <v/>
      </c>
      <c r="J342">
        <f>IF(E342="INCLUDE","Included by explicit yes","Not included")</f>
        <v/>
      </c>
      <c r="K342">
        <f>K341&amp;IF(H342="","",","&amp;H342)</f>
        <v/>
      </c>
      <c r="L342">
        <f>L341&amp;IF(I342="","",","&amp;I342)</f>
        <v/>
      </c>
    </row>
    <row r="343">
      <c r="A343" t="n">
        <v>360</v>
      </c>
      <c r="B343">
        <f>survey!B360</f>
        <v/>
      </c>
      <c r="C343">
        <f>survey!A360</f>
        <v/>
      </c>
      <c r="D343" t="inlineStr"/>
      <c r="E343">
        <f>IF(OR(B343="",C343=""),"",IF(LOWER(D343)="yes","INCLUDE","EXCLUDE"))</f>
        <v/>
      </c>
      <c r="F343">
        <f>IF(E343&lt;&gt;"INCLUDE","",IF(LEFT(LOWER(C343),10)="select_one ","select_one",IF(LOWER(C343)="date","date",IF(OR(LOWER(C343)="integer",LOWER(C343)="decimal",LOWER(C343)="range"),LOWER(C343),"sha256"))))</f>
        <v/>
      </c>
      <c r="G343">
        <f>IF(E343&lt;&gt;"INCLUDE","",IF(F343="date","yyyy-mm-dd",IF(F343="select_one","stored-choice-name",IF(F343="sha256","odk-lexical-utf8-sha256","odk-canonical-scalar"))))</f>
        <v/>
      </c>
      <c r="H343">
        <f>IF(E343&lt;&gt;"INCLUDE","","{"&amp;CHAR(34)&amp;"path"&amp;CHAR(34)&amp;":"&amp;CHAR(34)&amp;B343&amp;CHAR(34)&amp;","&amp;CHAR(34)&amp;"type"&amp;CHAR(34)&amp;":"&amp;CHAR(34)&amp;F343&amp;CHAR(34)&amp;","&amp;CHAR(34)&amp;"xlsform_type"&amp;CHAR(34)&amp;":"&amp;CHAR(34)&amp;C343&amp;CHAR(34)&amp;","&amp;CHAR(34)&amp;"commitment"&amp;CHAR(34)&amp;":"&amp;CHAR(34)&amp;IF(F343="sha256","text-utf8-sha256","value")&amp;CHAR(34)&amp;","&amp;CHAR(34)&amp;"transform"&amp;CHAR(34)&amp;":"&amp;CHAR(34)&amp;G343&amp;CHAR(34)&amp;"}")</f>
        <v/>
      </c>
      <c r="I343">
        <f>IF(E343&lt;&gt;"INCLUDE","","'|"&amp;B343&amp;"=', "&amp;IF(F343="date","if(string-length(string(${"&amp;B343&amp;"})) &gt; 0, format-date(${"&amp;B343&amp;"}, '%Y-%m-%d'), '')",IF(F343="sha256","digest(string(${"&amp;B343&amp;"}), 'SHA-256', 'hex')","string(${"&amp;B343&amp;"})")))</f>
        <v/>
      </c>
      <c r="J343">
        <f>IF(E343="INCLUDE","Included by explicit yes","Not included")</f>
        <v/>
      </c>
      <c r="K343">
        <f>K342&amp;IF(H343="","",","&amp;H343)</f>
        <v/>
      </c>
      <c r="L343">
        <f>L342&amp;IF(I343="","",","&amp;I343)</f>
        <v/>
      </c>
    </row>
    <row r="344">
      <c r="A344" t="n">
        <v>361</v>
      </c>
      <c r="B344">
        <f>survey!B361</f>
        <v/>
      </c>
      <c r="C344">
        <f>survey!A361</f>
        <v/>
      </c>
      <c r="D344" t="inlineStr"/>
      <c r="E344">
        <f>IF(OR(B344="",C344=""),"",IF(LOWER(D344)="yes","INCLUDE","EXCLUDE"))</f>
        <v/>
      </c>
      <c r="F344">
        <f>IF(E344&lt;&gt;"INCLUDE","",IF(LEFT(LOWER(C344),10)="select_one ","select_one",IF(LOWER(C344)="date","date",IF(OR(LOWER(C344)="integer",LOWER(C344)="decimal",LOWER(C344)="range"),LOWER(C344),"sha256"))))</f>
        <v/>
      </c>
      <c r="G344">
        <f>IF(E344&lt;&gt;"INCLUDE","",IF(F344="date","yyyy-mm-dd",IF(F344="select_one","stored-choice-name",IF(F344="sha256","odk-lexical-utf8-sha256","odk-canonical-scalar"))))</f>
        <v/>
      </c>
      <c r="H344">
        <f>IF(E344&lt;&gt;"INCLUDE","","{"&amp;CHAR(34)&amp;"path"&amp;CHAR(34)&amp;":"&amp;CHAR(34)&amp;B344&amp;CHAR(34)&amp;","&amp;CHAR(34)&amp;"type"&amp;CHAR(34)&amp;":"&amp;CHAR(34)&amp;F344&amp;CHAR(34)&amp;","&amp;CHAR(34)&amp;"xlsform_type"&amp;CHAR(34)&amp;":"&amp;CHAR(34)&amp;C344&amp;CHAR(34)&amp;","&amp;CHAR(34)&amp;"commitment"&amp;CHAR(34)&amp;":"&amp;CHAR(34)&amp;IF(F344="sha256","text-utf8-sha256","value")&amp;CHAR(34)&amp;","&amp;CHAR(34)&amp;"transform"&amp;CHAR(34)&amp;":"&amp;CHAR(34)&amp;G344&amp;CHAR(34)&amp;"}")</f>
        <v/>
      </c>
      <c r="I344">
        <f>IF(E344&lt;&gt;"INCLUDE","","'|"&amp;B344&amp;"=', "&amp;IF(F344="date","if(string-length(string(${"&amp;B344&amp;"})) &gt; 0, format-date(${"&amp;B344&amp;"}, '%Y-%m-%d'), '')",IF(F344="sha256","digest(string(${"&amp;B344&amp;"}), 'SHA-256', 'hex')","string(${"&amp;B344&amp;"})")))</f>
        <v/>
      </c>
      <c r="J344">
        <f>IF(E344="INCLUDE","Included by explicit yes","Not included")</f>
        <v/>
      </c>
      <c r="K344">
        <f>K343&amp;IF(H344="","",","&amp;H344)</f>
        <v/>
      </c>
      <c r="L344">
        <f>L343&amp;IF(I344="","",","&amp;I344)</f>
        <v/>
      </c>
    </row>
    <row r="345">
      <c r="A345" t="n">
        <v>362</v>
      </c>
      <c r="B345">
        <f>survey!B362</f>
        <v/>
      </c>
      <c r="C345">
        <f>survey!A362</f>
        <v/>
      </c>
      <c r="D345" t="inlineStr"/>
      <c r="E345">
        <f>IF(OR(B345="",C345=""),"",IF(LOWER(D345)="yes","INCLUDE","EXCLUDE"))</f>
        <v/>
      </c>
      <c r="F345">
        <f>IF(E345&lt;&gt;"INCLUDE","",IF(LEFT(LOWER(C345),10)="select_one ","select_one",IF(LOWER(C345)="date","date",IF(OR(LOWER(C345)="integer",LOWER(C345)="decimal",LOWER(C345)="range"),LOWER(C345),"sha256"))))</f>
        <v/>
      </c>
      <c r="G345">
        <f>IF(E345&lt;&gt;"INCLUDE","",IF(F345="date","yyyy-mm-dd",IF(F345="select_one","stored-choice-name",IF(F345="sha256","odk-lexical-utf8-sha256","odk-canonical-scalar"))))</f>
        <v/>
      </c>
      <c r="H345">
        <f>IF(E345&lt;&gt;"INCLUDE","","{"&amp;CHAR(34)&amp;"path"&amp;CHAR(34)&amp;":"&amp;CHAR(34)&amp;B345&amp;CHAR(34)&amp;","&amp;CHAR(34)&amp;"type"&amp;CHAR(34)&amp;":"&amp;CHAR(34)&amp;F345&amp;CHAR(34)&amp;","&amp;CHAR(34)&amp;"xlsform_type"&amp;CHAR(34)&amp;":"&amp;CHAR(34)&amp;C345&amp;CHAR(34)&amp;","&amp;CHAR(34)&amp;"commitment"&amp;CHAR(34)&amp;":"&amp;CHAR(34)&amp;IF(F345="sha256","text-utf8-sha256","value")&amp;CHAR(34)&amp;","&amp;CHAR(34)&amp;"transform"&amp;CHAR(34)&amp;":"&amp;CHAR(34)&amp;G345&amp;CHAR(34)&amp;"}")</f>
        <v/>
      </c>
      <c r="I345">
        <f>IF(E345&lt;&gt;"INCLUDE","","'|"&amp;B345&amp;"=', "&amp;IF(F345="date","if(string-length(string(${"&amp;B345&amp;"})) &gt; 0, format-date(${"&amp;B345&amp;"}, '%Y-%m-%d'), '')",IF(F345="sha256","digest(string(${"&amp;B345&amp;"}), 'SHA-256', 'hex')","string(${"&amp;B345&amp;"})")))</f>
        <v/>
      </c>
      <c r="J345">
        <f>IF(E345="INCLUDE","Included by explicit yes","Not included")</f>
        <v/>
      </c>
      <c r="K345">
        <f>K344&amp;IF(H345="","",","&amp;H345)</f>
        <v/>
      </c>
      <c r="L345">
        <f>L344&amp;IF(I345="","",","&amp;I345)</f>
        <v/>
      </c>
    </row>
    <row r="346">
      <c r="A346" t="n">
        <v>363</v>
      </c>
      <c r="B346">
        <f>survey!B363</f>
        <v/>
      </c>
      <c r="C346">
        <f>survey!A363</f>
        <v/>
      </c>
      <c r="D346" t="inlineStr"/>
      <c r="E346">
        <f>IF(OR(B346="",C346=""),"",IF(LOWER(D346)="yes","INCLUDE","EXCLUDE"))</f>
        <v/>
      </c>
      <c r="F346">
        <f>IF(E346&lt;&gt;"INCLUDE","",IF(LEFT(LOWER(C346),10)="select_one ","select_one",IF(LOWER(C346)="date","date",IF(OR(LOWER(C346)="integer",LOWER(C346)="decimal",LOWER(C346)="range"),LOWER(C346),"sha256"))))</f>
        <v/>
      </c>
      <c r="G346">
        <f>IF(E346&lt;&gt;"INCLUDE","",IF(F346="date","yyyy-mm-dd",IF(F346="select_one","stored-choice-name",IF(F346="sha256","odk-lexical-utf8-sha256","odk-canonical-scalar"))))</f>
        <v/>
      </c>
      <c r="H346">
        <f>IF(E346&lt;&gt;"INCLUDE","","{"&amp;CHAR(34)&amp;"path"&amp;CHAR(34)&amp;":"&amp;CHAR(34)&amp;B346&amp;CHAR(34)&amp;","&amp;CHAR(34)&amp;"type"&amp;CHAR(34)&amp;":"&amp;CHAR(34)&amp;F346&amp;CHAR(34)&amp;","&amp;CHAR(34)&amp;"xlsform_type"&amp;CHAR(34)&amp;":"&amp;CHAR(34)&amp;C346&amp;CHAR(34)&amp;","&amp;CHAR(34)&amp;"commitment"&amp;CHAR(34)&amp;":"&amp;CHAR(34)&amp;IF(F346="sha256","text-utf8-sha256","value")&amp;CHAR(34)&amp;","&amp;CHAR(34)&amp;"transform"&amp;CHAR(34)&amp;":"&amp;CHAR(34)&amp;G346&amp;CHAR(34)&amp;"}")</f>
        <v/>
      </c>
      <c r="I346">
        <f>IF(E346&lt;&gt;"INCLUDE","","'|"&amp;B346&amp;"=', "&amp;IF(F346="date","if(string-length(string(${"&amp;B346&amp;"})) &gt; 0, format-date(${"&amp;B346&amp;"}, '%Y-%m-%d'), '')",IF(F346="sha256","digest(string(${"&amp;B346&amp;"}), 'SHA-256', 'hex')","string(${"&amp;B346&amp;"})")))</f>
        <v/>
      </c>
      <c r="J346">
        <f>IF(E346="INCLUDE","Included by explicit yes","Not included")</f>
        <v/>
      </c>
      <c r="K346">
        <f>K345&amp;IF(H346="","",","&amp;H346)</f>
        <v/>
      </c>
      <c r="L346">
        <f>L345&amp;IF(I346="","",","&amp;I346)</f>
        <v/>
      </c>
    </row>
    <row r="347">
      <c r="A347" t="n">
        <v>364</v>
      </c>
      <c r="B347">
        <f>survey!B364</f>
        <v/>
      </c>
      <c r="C347">
        <f>survey!A364</f>
        <v/>
      </c>
      <c r="D347" t="inlineStr"/>
      <c r="E347">
        <f>IF(OR(B347="",C347=""),"",IF(LOWER(D347)="yes","INCLUDE","EXCLUDE"))</f>
        <v/>
      </c>
      <c r="F347">
        <f>IF(E347&lt;&gt;"INCLUDE","",IF(LEFT(LOWER(C347),10)="select_one ","select_one",IF(LOWER(C347)="date","date",IF(OR(LOWER(C347)="integer",LOWER(C347)="decimal",LOWER(C347)="range"),LOWER(C347),"sha256"))))</f>
        <v/>
      </c>
      <c r="G347">
        <f>IF(E347&lt;&gt;"INCLUDE","",IF(F347="date","yyyy-mm-dd",IF(F347="select_one","stored-choice-name",IF(F347="sha256","odk-lexical-utf8-sha256","odk-canonical-scalar"))))</f>
        <v/>
      </c>
      <c r="H347">
        <f>IF(E347&lt;&gt;"INCLUDE","","{"&amp;CHAR(34)&amp;"path"&amp;CHAR(34)&amp;":"&amp;CHAR(34)&amp;B347&amp;CHAR(34)&amp;","&amp;CHAR(34)&amp;"type"&amp;CHAR(34)&amp;":"&amp;CHAR(34)&amp;F347&amp;CHAR(34)&amp;","&amp;CHAR(34)&amp;"xlsform_type"&amp;CHAR(34)&amp;":"&amp;CHAR(34)&amp;C347&amp;CHAR(34)&amp;","&amp;CHAR(34)&amp;"commitment"&amp;CHAR(34)&amp;":"&amp;CHAR(34)&amp;IF(F347="sha256","text-utf8-sha256","value")&amp;CHAR(34)&amp;","&amp;CHAR(34)&amp;"transform"&amp;CHAR(34)&amp;":"&amp;CHAR(34)&amp;G347&amp;CHAR(34)&amp;"}")</f>
        <v/>
      </c>
      <c r="I347">
        <f>IF(E347&lt;&gt;"INCLUDE","","'|"&amp;B347&amp;"=', "&amp;IF(F347="date","if(string-length(string(${"&amp;B347&amp;"})) &gt; 0, format-date(${"&amp;B347&amp;"}, '%Y-%m-%d'), '')",IF(F347="sha256","digest(string(${"&amp;B347&amp;"}), 'SHA-256', 'hex')","string(${"&amp;B347&amp;"})")))</f>
        <v/>
      </c>
      <c r="J347">
        <f>IF(E347="INCLUDE","Included by explicit yes","Not included")</f>
        <v/>
      </c>
      <c r="K347">
        <f>K346&amp;IF(H347="","",","&amp;H347)</f>
        <v/>
      </c>
      <c r="L347">
        <f>L346&amp;IF(I347="","",","&amp;I347)</f>
        <v/>
      </c>
    </row>
    <row r="348">
      <c r="A348" t="n">
        <v>365</v>
      </c>
      <c r="B348">
        <f>survey!B365</f>
        <v/>
      </c>
      <c r="C348">
        <f>survey!A365</f>
        <v/>
      </c>
      <c r="D348" t="inlineStr"/>
      <c r="E348">
        <f>IF(OR(B348="",C348=""),"",IF(LOWER(D348)="yes","INCLUDE","EXCLUDE"))</f>
        <v/>
      </c>
      <c r="F348">
        <f>IF(E348&lt;&gt;"INCLUDE","",IF(LEFT(LOWER(C348),10)="select_one ","select_one",IF(LOWER(C348)="date","date",IF(OR(LOWER(C348)="integer",LOWER(C348)="decimal",LOWER(C348)="range"),LOWER(C348),"sha256"))))</f>
        <v/>
      </c>
      <c r="G348">
        <f>IF(E348&lt;&gt;"INCLUDE","",IF(F348="date","yyyy-mm-dd",IF(F348="select_one","stored-choice-name",IF(F348="sha256","odk-lexical-utf8-sha256","odk-canonical-scalar"))))</f>
        <v/>
      </c>
      <c r="H348">
        <f>IF(E348&lt;&gt;"INCLUDE","","{"&amp;CHAR(34)&amp;"path"&amp;CHAR(34)&amp;":"&amp;CHAR(34)&amp;B348&amp;CHAR(34)&amp;","&amp;CHAR(34)&amp;"type"&amp;CHAR(34)&amp;":"&amp;CHAR(34)&amp;F348&amp;CHAR(34)&amp;","&amp;CHAR(34)&amp;"xlsform_type"&amp;CHAR(34)&amp;":"&amp;CHAR(34)&amp;C348&amp;CHAR(34)&amp;","&amp;CHAR(34)&amp;"commitment"&amp;CHAR(34)&amp;":"&amp;CHAR(34)&amp;IF(F348="sha256","text-utf8-sha256","value")&amp;CHAR(34)&amp;","&amp;CHAR(34)&amp;"transform"&amp;CHAR(34)&amp;":"&amp;CHAR(34)&amp;G348&amp;CHAR(34)&amp;"}")</f>
        <v/>
      </c>
      <c r="I348">
        <f>IF(E348&lt;&gt;"INCLUDE","","'|"&amp;B348&amp;"=', "&amp;IF(F348="date","if(string-length(string(${"&amp;B348&amp;"})) &gt; 0, format-date(${"&amp;B348&amp;"}, '%Y-%m-%d'), '')",IF(F348="sha256","digest(string(${"&amp;B348&amp;"}), 'SHA-256', 'hex')","string(${"&amp;B348&amp;"})")))</f>
        <v/>
      </c>
      <c r="J348">
        <f>IF(E348="INCLUDE","Included by explicit yes","Not included")</f>
        <v/>
      </c>
      <c r="K348">
        <f>K347&amp;IF(H348="","",","&amp;H348)</f>
        <v/>
      </c>
      <c r="L348">
        <f>L347&amp;IF(I348="","",","&amp;I348)</f>
        <v/>
      </c>
    </row>
    <row r="349">
      <c r="A349" t="n">
        <v>366</v>
      </c>
      <c r="B349">
        <f>survey!B366</f>
        <v/>
      </c>
      <c r="C349">
        <f>survey!A366</f>
        <v/>
      </c>
      <c r="D349" t="inlineStr"/>
      <c r="E349">
        <f>IF(OR(B349="",C349=""),"",IF(LOWER(D349)="yes","INCLUDE","EXCLUDE"))</f>
        <v/>
      </c>
      <c r="F349">
        <f>IF(E349&lt;&gt;"INCLUDE","",IF(LEFT(LOWER(C349),10)="select_one ","select_one",IF(LOWER(C349)="date","date",IF(OR(LOWER(C349)="integer",LOWER(C349)="decimal",LOWER(C349)="range"),LOWER(C349),"sha256"))))</f>
        <v/>
      </c>
      <c r="G349">
        <f>IF(E349&lt;&gt;"INCLUDE","",IF(F349="date","yyyy-mm-dd",IF(F349="select_one","stored-choice-name",IF(F349="sha256","odk-lexical-utf8-sha256","odk-canonical-scalar"))))</f>
        <v/>
      </c>
      <c r="H349">
        <f>IF(E349&lt;&gt;"INCLUDE","","{"&amp;CHAR(34)&amp;"path"&amp;CHAR(34)&amp;":"&amp;CHAR(34)&amp;B349&amp;CHAR(34)&amp;","&amp;CHAR(34)&amp;"type"&amp;CHAR(34)&amp;":"&amp;CHAR(34)&amp;F349&amp;CHAR(34)&amp;","&amp;CHAR(34)&amp;"xlsform_type"&amp;CHAR(34)&amp;":"&amp;CHAR(34)&amp;C349&amp;CHAR(34)&amp;","&amp;CHAR(34)&amp;"commitment"&amp;CHAR(34)&amp;":"&amp;CHAR(34)&amp;IF(F349="sha256","text-utf8-sha256","value")&amp;CHAR(34)&amp;","&amp;CHAR(34)&amp;"transform"&amp;CHAR(34)&amp;":"&amp;CHAR(34)&amp;G349&amp;CHAR(34)&amp;"}")</f>
        <v/>
      </c>
      <c r="I349">
        <f>IF(E349&lt;&gt;"INCLUDE","","'|"&amp;B349&amp;"=', "&amp;IF(F349="date","if(string-length(string(${"&amp;B349&amp;"})) &gt; 0, format-date(${"&amp;B349&amp;"}, '%Y-%m-%d'), '')",IF(F349="sha256","digest(string(${"&amp;B349&amp;"}), 'SHA-256', 'hex')","string(${"&amp;B349&amp;"})")))</f>
        <v/>
      </c>
      <c r="J349">
        <f>IF(E349="INCLUDE","Included by explicit yes","Not included")</f>
        <v/>
      </c>
      <c r="K349">
        <f>K348&amp;IF(H349="","",","&amp;H349)</f>
        <v/>
      </c>
      <c r="L349">
        <f>L348&amp;IF(I349="","",","&amp;I349)</f>
        <v/>
      </c>
    </row>
    <row r="350">
      <c r="A350" t="n">
        <v>367</v>
      </c>
      <c r="B350">
        <f>survey!B367</f>
        <v/>
      </c>
      <c r="C350">
        <f>survey!A367</f>
        <v/>
      </c>
      <c r="D350" t="inlineStr"/>
      <c r="E350">
        <f>IF(OR(B350="",C350=""),"",IF(LOWER(D350)="yes","INCLUDE","EXCLUDE"))</f>
        <v/>
      </c>
      <c r="F350">
        <f>IF(E350&lt;&gt;"INCLUDE","",IF(LEFT(LOWER(C350),10)="select_one ","select_one",IF(LOWER(C350)="date","date",IF(OR(LOWER(C350)="integer",LOWER(C350)="decimal",LOWER(C350)="range"),LOWER(C350),"sha256"))))</f>
        <v/>
      </c>
      <c r="G350">
        <f>IF(E350&lt;&gt;"INCLUDE","",IF(F350="date","yyyy-mm-dd",IF(F350="select_one","stored-choice-name",IF(F350="sha256","odk-lexical-utf8-sha256","odk-canonical-scalar"))))</f>
        <v/>
      </c>
      <c r="H350">
        <f>IF(E350&lt;&gt;"INCLUDE","","{"&amp;CHAR(34)&amp;"path"&amp;CHAR(34)&amp;":"&amp;CHAR(34)&amp;B350&amp;CHAR(34)&amp;","&amp;CHAR(34)&amp;"type"&amp;CHAR(34)&amp;":"&amp;CHAR(34)&amp;F350&amp;CHAR(34)&amp;","&amp;CHAR(34)&amp;"xlsform_type"&amp;CHAR(34)&amp;":"&amp;CHAR(34)&amp;C350&amp;CHAR(34)&amp;","&amp;CHAR(34)&amp;"commitment"&amp;CHAR(34)&amp;":"&amp;CHAR(34)&amp;IF(F350="sha256","text-utf8-sha256","value")&amp;CHAR(34)&amp;","&amp;CHAR(34)&amp;"transform"&amp;CHAR(34)&amp;":"&amp;CHAR(34)&amp;G350&amp;CHAR(34)&amp;"}")</f>
        <v/>
      </c>
      <c r="I350">
        <f>IF(E350&lt;&gt;"INCLUDE","","'|"&amp;B350&amp;"=', "&amp;IF(F350="date","if(string-length(string(${"&amp;B350&amp;"})) &gt; 0, format-date(${"&amp;B350&amp;"}, '%Y-%m-%d'), '')",IF(F350="sha256","digest(string(${"&amp;B350&amp;"}), 'SHA-256', 'hex')","string(${"&amp;B350&amp;"})")))</f>
        <v/>
      </c>
      <c r="J350">
        <f>IF(E350="INCLUDE","Included by explicit yes","Not included")</f>
        <v/>
      </c>
      <c r="K350">
        <f>K349&amp;IF(H350="","",","&amp;H350)</f>
        <v/>
      </c>
      <c r="L350">
        <f>L349&amp;IF(I350="","",","&amp;I350)</f>
        <v/>
      </c>
    </row>
    <row r="351">
      <c r="A351" t="n">
        <v>368</v>
      </c>
      <c r="B351">
        <f>survey!B368</f>
        <v/>
      </c>
      <c r="C351">
        <f>survey!A368</f>
        <v/>
      </c>
      <c r="D351" t="inlineStr"/>
      <c r="E351">
        <f>IF(OR(B351="",C351=""),"",IF(LOWER(D351)="yes","INCLUDE","EXCLUDE"))</f>
        <v/>
      </c>
      <c r="F351">
        <f>IF(E351&lt;&gt;"INCLUDE","",IF(LEFT(LOWER(C351),10)="select_one ","select_one",IF(LOWER(C351)="date","date",IF(OR(LOWER(C351)="integer",LOWER(C351)="decimal",LOWER(C351)="range"),LOWER(C351),"sha256"))))</f>
        <v/>
      </c>
      <c r="G351">
        <f>IF(E351&lt;&gt;"INCLUDE","",IF(F351="date","yyyy-mm-dd",IF(F351="select_one","stored-choice-name",IF(F351="sha256","odk-lexical-utf8-sha256","odk-canonical-scalar"))))</f>
        <v/>
      </c>
      <c r="H351">
        <f>IF(E351&lt;&gt;"INCLUDE","","{"&amp;CHAR(34)&amp;"path"&amp;CHAR(34)&amp;":"&amp;CHAR(34)&amp;B351&amp;CHAR(34)&amp;","&amp;CHAR(34)&amp;"type"&amp;CHAR(34)&amp;":"&amp;CHAR(34)&amp;F351&amp;CHAR(34)&amp;","&amp;CHAR(34)&amp;"xlsform_type"&amp;CHAR(34)&amp;":"&amp;CHAR(34)&amp;C351&amp;CHAR(34)&amp;","&amp;CHAR(34)&amp;"commitment"&amp;CHAR(34)&amp;":"&amp;CHAR(34)&amp;IF(F351="sha256","text-utf8-sha256","value")&amp;CHAR(34)&amp;","&amp;CHAR(34)&amp;"transform"&amp;CHAR(34)&amp;":"&amp;CHAR(34)&amp;G351&amp;CHAR(34)&amp;"}")</f>
        <v/>
      </c>
      <c r="I351">
        <f>IF(E351&lt;&gt;"INCLUDE","","'|"&amp;B351&amp;"=', "&amp;IF(F351="date","if(string-length(string(${"&amp;B351&amp;"})) &gt; 0, format-date(${"&amp;B351&amp;"}, '%Y-%m-%d'), '')",IF(F351="sha256","digest(string(${"&amp;B351&amp;"}), 'SHA-256', 'hex')","string(${"&amp;B351&amp;"})")))</f>
        <v/>
      </c>
      <c r="J351">
        <f>IF(E351="INCLUDE","Included by explicit yes","Not included")</f>
        <v/>
      </c>
      <c r="K351">
        <f>K350&amp;IF(H351="","",","&amp;H351)</f>
        <v/>
      </c>
      <c r="L351">
        <f>L350&amp;IF(I351="","",","&amp;I351)</f>
        <v/>
      </c>
    </row>
    <row r="352">
      <c r="A352" t="n">
        <v>369</v>
      </c>
      <c r="B352">
        <f>survey!B369</f>
        <v/>
      </c>
      <c r="C352">
        <f>survey!A369</f>
        <v/>
      </c>
      <c r="D352" t="inlineStr"/>
      <c r="E352">
        <f>IF(OR(B352="",C352=""),"",IF(LOWER(D352)="yes","INCLUDE","EXCLUDE"))</f>
        <v/>
      </c>
      <c r="F352">
        <f>IF(E352&lt;&gt;"INCLUDE","",IF(LEFT(LOWER(C352),10)="select_one ","select_one",IF(LOWER(C352)="date","date",IF(OR(LOWER(C352)="integer",LOWER(C352)="decimal",LOWER(C352)="range"),LOWER(C352),"sha256"))))</f>
        <v/>
      </c>
      <c r="G352">
        <f>IF(E352&lt;&gt;"INCLUDE","",IF(F352="date","yyyy-mm-dd",IF(F352="select_one","stored-choice-name",IF(F352="sha256","odk-lexical-utf8-sha256","odk-canonical-scalar"))))</f>
        <v/>
      </c>
      <c r="H352">
        <f>IF(E352&lt;&gt;"INCLUDE","","{"&amp;CHAR(34)&amp;"path"&amp;CHAR(34)&amp;":"&amp;CHAR(34)&amp;B352&amp;CHAR(34)&amp;","&amp;CHAR(34)&amp;"type"&amp;CHAR(34)&amp;":"&amp;CHAR(34)&amp;F352&amp;CHAR(34)&amp;","&amp;CHAR(34)&amp;"xlsform_type"&amp;CHAR(34)&amp;":"&amp;CHAR(34)&amp;C352&amp;CHAR(34)&amp;","&amp;CHAR(34)&amp;"commitment"&amp;CHAR(34)&amp;":"&amp;CHAR(34)&amp;IF(F352="sha256","text-utf8-sha256","value")&amp;CHAR(34)&amp;","&amp;CHAR(34)&amp;"transform"&amp;CHAR(34)&amp;":"&amp;CHAR(34)&amp;G352&amp;CHAR(34)&amp;"}")</f>
        <v/>
      </c>
      <c r="I352">
        <f>IF(E352&lt;&gt;"INCLUDE","","'|"&amp;B352&amp;"=', "&amp;IF(F352="date","if(string-length(string(${"&amp;B352&amp;"})) &gt; 0, format-date(${"&amp;B352&amp;"}, '%Y-%m-%d'), '')",IF(F352="sha256","digest(string(${"&amp;B352&amp;"}), 'SHA-256', 'hex')","string(${"&amp;B352&amp;"})")))</f>
        <v/>
      </c>
      <c r="J352">
        <f>IF(E352="INCLUDE","Included by explicit yes","Not included")</f>
        <v/>
      </c>
      <c r="K352">
        <f>K351&amp;IF(H352="","",","&amp;H352)</f>
        <v/>
      </c>
      <c r="L352">
        <f>L351&amp;IF(I352="","",","&amp;I352)</f>
        <v/>
      </c>
    </row>
    <row r="353">
      <c r="A353" t="n">
        <v>370</v>
      </c>
      <c r="B353">
        <f>survey!B370</f>
        <v/>
      </c>
      <c r="C353">
        <f>survey!A370</f>
        <v/>
      </c>
      <c r="D353" t="inlineStr"/>
      <c r="E353">
        <f>IF(OR(B353="",C353=""),"",IF(LOWER(D353)="yes","INCLUDE","EXCLUDE"))</f>
        <v/>
      </c>
      <c r="F353">
        <f>IF(E353&lt;&gt;"INCLUDE","",IF(LEFT(LOWER(C353),10)="select_one ","select_one",IF(LOWER(C353)="date","date",IF(OR(LOWER(C353)="integer",LOWER(C353)="decimal",LOWER(C353)="range"),LOWER(C353),"sha256"))))</f>
        <v/>
      </c>
      <c r="G353">
        <f>IF(E353&lt;&gt;"INCLUDE","",IF(F353="date","yyyy-mm-dd",IF(F353="select_one","stored-choice-name",IF(F353="sha256","odk-lexical-utf8-sha256","odk-canonical-scalar"))))</f>
        <v/>
      </c>
      <c r="H353">
        <f>IF(E353&lt;&gt;"INCLUDE","","{"&amp;CHAR(34)&amp;"path"&amp;CHAR(34)&amp;":"&amp;CHAR(34)&amp;B353&amp;CHAR(34)&amp;","&amp;CHAR(34)&amp;"type"&amp;CHAR(34)&amp;":"&amp;CHAR(34)&amp;F353&amp;CHAR(34)&amp;","&amp;CHAR(34)&amp;"xlsform_type"&amp;CHAR(34)&amp;":"&amp;CHAR(34)&amp;C353&amp;CHAR(34)&amp;","&amp;CHAR(34)&amp;"commitment"&amp;CHAR(34)&amp;":"&amp;CHAR(34)&amp;IF(F353="sha256","text-utf8-sha256","value")&amp;CHAR(34)&amp;","&amp;CHAR(34)&amp;"transform"&amp;CHAR(34)&amp;":"&amp;CHAR(34)&amp;G353&amp;CHAR(34)&amp;"}")</f>
        <v/>
      </c>
      <c r="I353">
        <f>IF(E353&lt;&gt;"INCLUDE","","'|"&amp;B353&amp;"=', "&amp;IF(F353="date","if(string-length(string(${"&amp;B353&amp;"})) &gt; 0, format-date(${"&amp;B353&amp;"}, '%Y-%m-%d'), '')",IF(F353="sha256","digest(string(${"&amp;B353&amp;"}), 'SHA-256', 'hex')","string(${"&amp;B353&amp;"})")))</f>
        <v/>
      </c>
      <c r="J353">
        <f>IF(E353="INCLUDE","Included by explicit yes","Not included")</f>
        <v/>
      </c>
      <c r="K353">
        <f>K352&amp;IF(H353="","",","&amp;H353)</f>
        <v/>
      </c>
      <c r="L353">
        <f>L352&amp;IF(I353="","",","&amp;I353)</f>
        <v/>
      </c>
    </row>
    <row r="354">
      <c r="A354" t="n">
        <v>371</v>
      </c>
      <c r="B354">
        <f>survey!B371</f>
        <v/>
      </c>
      <c r="C354">
        <f>survey!A371</f>
        <v/>
      </c>
      <c r="D354" t="inlineStr"/>
      <c r="E354">
        <f>IF(OR(B354="",C354=""),"",IF(LOWER(D354)="yes","INCLUDE","EXCLUDE"))</f>
        <v/>
      </c>
      <c r="F354">
        <f>IF(E354&lt;&gt;"INCLUDE","",IF(LEFT(LOWER(C354),10)="select_one ","select_one",IF(LOWER(C354)="date","date",IF(OR(LOWER(C354)="integer",LOWER(C354)="decimal",LOWER(C354)="range"),LOWER(C354),"sha256"))))</f>
        <v/>
      </c>
      <c r="G354">
        <f>IF(E354&lt;&gt;"INCLUDE","",IF(F354="date","yyyy-mm-dd",IF(F354="select_one","stored-choice-name",IF(F354="sha256","odk-lexical-utf8-sha256","odk-canonical-scalar"))))</f>
        <v/>
      </c>
      <c r="H354">
        <f>IF(E354&lt;&gt;"INCLUDE","","{"&amp;CHAR(34)&amp;"path"&amp;CHAR(34)&amp;":"&amp;CHAR(34)&amp;B354&amp;CHAR(34)&amp;","&amp;CHAR(34)&amp;"type"&amp;CHAR(34)&amp;":"&amp;CHAR(34)&amp;F354&amp;CHAR(34)&amp;","&amp;CHAR(34)&amp;"xlsform_type"&amp;CHAR(34)&amp;":"&amp;CHAR(34)&amp;C354&amp;CHAR(34)&amp;","&amp;CHAR(34)&amp;"commitment"&amp;CHAR(34)&amp;":"&amp;CHAR(34)&amp;IF(F354="sha256","text-utf8-sha256","value")&amp;CHAR(34)&amp;","&amp;CHAR(34)&amp;"transform"&amp;CHAR(34)&amp;":"&amp;CHAR(34)&amp;G354&amp;CHAR(34)&amp;"}")</f>
        <v/>
      </c>
      <c r="I354">
        <f>IF(E354&lt;&gt;"INCLUDE","","'|"&amp;B354&amp;"=', "&amp;IF(F354="date","if(string-length(string(${"&amp;B354&amp;"})) &gt; 0, format-date(${"&amp;B354&amp;"}, '%Y-%m-%d'), '')",IF(F354="sha256","digest(string(${"&amp;B354&amp;"}), 'SHA-256', 'hex')","string(${"&amp;B354&amp;"})")))</f>
        <v/>
      </c>
      <c r="J354">
        <f>IF(E354="INCLUDE","Included by explicit yes","Not included")</f>
        <v/>
      </c>
      <c r="K354">
        <f>K353&amp;IF(H354="","",","&amp;H354)</f>
        <v/>
      </c>
      <c r="L354">
        <f>L353&amp;IF(I354="","",","&amp;I354)</f>
        <v/>
      </c>
    </row>
    <row r="355">
      <c r="A355" t="n">
        <v>372</v>
      </c>
      <c r="B355">
        <f>survey!B372</f>
        <v/>
      </c>
      <c r="C355">
        <f>survey!A372</f>
        <v/>
      </c>
      <c r="D355" t="inlineStr"/>
      <c r="E355">
        <f>IF(OR(B355="",C355=""),"",IF(LOWER(D355)="yes","INCLUDE","EXCLUDE"))</f>
        <v/>
      </c>
      <c r="F355">
        <f>IF(E355&lt;&gt;"INCLUDE","",IF(LEFT(LOWER(C355),10)="select_one ","select_one",IF(LOWER(C355)="date","date",IF(OR(LOWER(C355)="integer",LOWER(C355)="decimal",LOWER(C355)="range"),LOWER(C355),"sha256"))))</f>
        <v/>
      </c>
      <c r="G355">
        <f>IF(E355&lt;&gt;"INCLUDE","",IF(F355="date","yyyy-mm-dd",IF(F355="select_one","stored-choice-name",IF(F355="sha256","odk-lexical-utf8-sha256","odk-canonical-scalar"))))</f>
        <v/>
      </c>
      <c r="H355">
        <f>IF(E355&lt;&gt;"INCLUDE","","{"&amp;CHAR(34)&amp;"path"&amp;CHAR(34)&amp;":"&amp;CHAR(34)&amp;B355&amp;CHAR(34)&amp;","&amp;CHAR(34)&amp;"type"&amp;CHAR(34)&amp;":"&amp;CHAR(34)&amp;F355&amp;CHAR(34)&amp;","&amp;CHAR(34)&amp;"xlsform_type"&amp;CHAR(34)&amp;":"&amp;CHAR(34)&amp;C355&amp;CHAR(34)&amp;","&amp;CHAR(34)&amp;"commitment"&amp;CHAR(34)&amp;":"&amp;CHAR(34)&amp;IF(F355="sha256","text-utf8-sha256","value")&amp;CHAR(34)&amp;","&amp;CHAR(34)&amp;"transform"&amp;CHAR(34)&amp;":"&amp;CHAR(34)&amp;G355&amp;CHAR(34)&amp;"}")</f>
        <v/>
      </c>
      <c r="I355">
        <f>IF(E355&lt;&gt;"INCLUDE","","'|"&amp;B355&amp;"=', "&amp;IF(F355="date","if(string-length(string(${"&amp;B355&amp;"})) &gt; 0, format-date(${"&amp;B355&amp;"}, '%Y-%m-%d'), '')",IF(F355="sha256","digest(string(${"&amp;B355&amp;"}), 'SHA-256', 'hex')","string(${"&amp;B355&amp;"})")))</f>
        <v/>
      </c>
      <c r="J355">
        <f>IF(E355="INCLUDE","Included by explicit yes","Not included")</f>
        <v/>
      </c>
      <c r="K355">
        <f>K354&amp;IF(H355="","",","&amp;H355)</f>
        <v/>
      </c>
      <c r="L355">
        <f>L354&amp;IF(I355="","",","&amp;I355)</f>
        <v/>
      </c>
    </row>
    <row r="356">
      <c r="A356" t="n">
        <v>373</v>
      </c>
      <c r="B356">
        <f>survey!B373</f>
        <v/>
      </c>
      <c r="C356">
        <f>survey!A373</f>
        <v/>
      </c>
      <c r="D356" t="inlineStr"/>
      <c r="E356">
        <f>IF(OR(B356="",C356=""),"",IF(LOWER(D356)="yes","INCLUDE","EXCLUDE"))</f>
        <v/>
      </c>
      <c r="F356">
        <f>IF(E356&lt;&gt;"INCLUDE","",IF(LEFT(LOWER(C356),10)="select_one ","select_one",IF(LOWER(C356)="date","date",IF(OR(LOWER(C356)="integer",LOWER(C356)="decimal",LOWER(C356)="range"),LOWER(C356),"sha256"))))</f>
        <v/>
      </c>
      <c r="G356">
        <f>IF(E356&lt;&gt;"INCLUDE","",IF(F356="date","yyyy-mm-dd",IF(F356="select_one","stored-choice-name",IF(F356="sha256","odk-lexical-utf8-sha256","odk-canonical-scalar"))))</f>
        <v/>
      </c>
      <c r="H356">
        <f>IF(E356&lt;&gt;"INCLUDE","","{"&amp;CHAR(34)&amp;"path"&amp;CHAR(34)&amp;":"&amp;CHAR(34)&amp;B356&amp;CHAR(34)&amp;","&amp;CHAR(34)&amp;"type"&amp;CHAR(34)&amp;":"&amp;CHAR(34)&amp;F356&amp;CHAR(34)&amp;","&amp;CHAR(34)&amp;"xlsform_type"&amp;CHAR(34)&amp;":"&amp;CHAR(34)&amp;C356&amp;CHAR(34)&amp;","&amp;CHAR(34)&amp;"commitment"&amp;CHAR(34)&amp;":"&amp;CHAR(34)&amp;IF(F356="sha256","text-utf8-sha256","value")&amp;CHAR(34)&amp;","&amp;CHAR(34)&amp;"transform"&amp;CHAR(34)&amp;":"&amp;CHAR(34)&amp;G356&amp;CHAR(34)&amp;"}")</f>
        <v/>
      </c>
      <c r="I356">
        <f>IF(E356&lt;&gt;"INCLUDE","","'|"&amp;B356&amp;"=', "&amp;IF(F356="date","if(string-length(string(${"&amp;B356&amp;"})) &gt; 0, format-date(${"&amp;B356&amp;"}, '%Y-%m-%d'), '')",IF(F356="sha256","digest(string(${"&amp;B356&amp;"}), 'SHA-256', 'hex')","string(${"&amp;B356&amp;"})")))</f>
        <v/>
      </c>
      <c r="J356">
        <f>IF(E356="INCLUDE","Included by explicit yes","Not included")</f>
        <v/>
      </c>
      <c r="K356">
        <f>K355&amp;IF(H356="","",","&amp;H356)</f>
        <v/>
      </c>
      <c r="L356">
        <f>L355&amp;IF(I356="","",","&amp;I356)</f>
        <v/>
      </c>
    </row>
    <row r="357">
      <c r="A357" t="n">
        <v>374</v>
      </c>
      <c r="B357">
        <f>survey!B374</f>
        <v/>
      </c>
      <c r="C357">
        <f>survey!A374</f>
        <v/>
      </c>
      <c r="D357" t="inlineStr"/>
      <c r="E357">
        <f>IF(OR(B357="",C357=""),"",IF(LOWER(D357)="yes","INCLUDE","EXCLUDE"))</f>
        <v/>
      </c>
      <c r="F357">
        <f>IF(E357&lt;&gt;"INCLUDE","",IF(LEFT(LOWER(C357),10)="select_one ","select_one",IF(LOWER(C357)="date","date",IF(OR(LOWER(C357)="integer",LOWER(C357)="decimal",LOWER(C357)="range"),LOWER(C357),"sha256"))))</f>
        <v/>
      </c>
      <c r="G357">
        <f>IF(E357&lt;&gt;"INCLUDE","",IF(F357="date","yyyy-mm-dd",IF(F357="select_one","stored-choice-name",IF(F357="sha256","odk-lexical-utf8-sha256","odk-canonical-scalar"))))</f>
        <v/>
      </c>
      <c r="H357">
        <f>IF(E357&lt;&gt;"INCLUDE","","{"&amp;CHAR(34)&amp;"path"&amp;CHAR(34)&amp;":"&amp;CHAR(34)&amp;B357&amp;CHAR(34)&amp;","&amp;CHAR(34)&amp;"type"&amp;CHAR(34)&amp;":"&amp;CHAR(34)&amp;F357&amp;CHAR(34)&amp;","&amp;CHAR(34)&amp;"xlsform_type"&amp;CHAR(34)&amp;":"&amp;CHAR(34)&amp;C357&amp;CHAR(34)&amp;","&amp;CHAR(34)&amp;"commitment"&amp;CHAR(34)&amp;":"&amp;CHAR(34)&amp;IF(F357="sha256","text-utf8-sha256","value")&amp;CHAR(34)&amp;","&amp;CHAR(34)&amp;"transform"&amp;CHAR(34)&amp;":"&amp;CHAR(34)&amp;G357&amp;CHAR(34)&amp;"}")</f>
        <v/>
      </c>
      <c r="I357">
        <f>IF(E357&lt;&gt;"INCLUDE","","'|"&amp;B357&amp;"=', "&amp;IF(F357="date","if(string-length(string(${"&amp;B357&amp;"})) &gt; 0, format-date(${"&amp;B357&amp;"}, '%Y-%m-%d'), '')",IF(F357="sha256","digest(string(${"&amp;B357&amp;"}), 'SHA-256', 'hex')","string(${"&amp;B357&amp;"})")))</f>
        <v/>
      </c>
      <c r="J357">
        <f>IF(E357="INCLUDE","Included by explicit yes","Not included")</f>
        <v/>
      </c>
      <c r="K357">
        <f>K356&amp;IF(H357="","",","&amp;H357)</f>
        <v/>
      </c>
      <c r="L357">
        <f>L356&amp;IF(I357="","",","&amp;I357)</f>
        <v/>
      </c>
    </row>
    <row r="358">
      <c r="A358" t="n">
        <v>375</v>
      </c>
      <c r="B358">
        <f>survey!B375</f>
        <v/>
      </c>
      <c r="C358">
        <f>survey!A375</f>
        <v/>
      </c>
      <c r="D358" t="inlineStr"/>
      <c r="E358">
        <f>IF(OR(B358="",C358=""),"",IF(LOWER(D358)="yes","INCLUDE","EXCLUDE"))</f>
        <v/>
      </c>
      <c r="F358">
        <f>IF(E358&lt;&gt;"INCLUDE","",IF(LEFT(LOWER(C358),10)="select_one ","select_one",IF(LOWER(C358)="date","date",IF(OR(LOWER(C358)="integer",LOWER(C358)="decimal",LOWER(C358)="range"),LOWER(C358),"sha256"))))</f>
        <v/>
      </c>
      <c r="G358">
        <f>IF(E358&lt;&gt;"INCLUDE","",IF(F358="date","yyyy-mm-dd",IF(F358="select_one","stored-choice-name",IF(F358="sha256","odk-lexical-utf8-sha256","odk-canonical-scalar"))))</f>
        <v/>
      </c>
      <c r="H358">
        <f>IF(E358&lt;&gt;"INCLUDE","","{"&amp;CHAR(34)&amp;"path"&amp;CHAR(34)&amp;":"&amp;CHAR(34)&amp;B358&amp;CHAR(34)&amp;","&amp;CHAR(34)&amp;"type"&amp;CHAR(34)&amp;":"&amp;CHAR(34)&amp;F358&amp;CHAR(34)&amp;","&amp;CHAR(34)&amp;"xlsform_type"&amp;CHAR(34)&amp;":"&amp;CHAR(34)&amp;C358&amp;CHAR(34)&amp;","&amp;CHAR(34)&amp;"commitment"&amp;CHAR(34)&amp;":"&amp;CHAR(34)&amp;IF(F358="sha256","text-utf8-sha256","value")&amp;CHAR(34)&amp;","&amp;CHAR(34)&amp;"transform"&amp;CHAR(34)&amp;":"&amp;CHAR(34)&amp;G358&amp;CHAR(34)&amp;"}")</f>
        <v/>
      </c>
      <c r="I358">
        <f>IF(E358&lt;&gt;"INCLUDE","","'|"&amp;B358&amp;"=', "&amp;IF(F358="date","if(string-length(string(${"&amp;B358&amp;"})) &gt; 0, format-date(${"&amp;B358&amp;"}, '%Y-%m-%d'), '')",IF(F358="sha256","digest(string(${"&amp;B358&amp;"}), 'SHA-256', 'hex')","string(${"&amp;B358&amp;"})")))</f>
        <v/>
      </c>
      <c r="J358">
        <f>IF(E358="INCLUDE","Included by explicit yes","Not included")</f>
        <v/>
      </c>
      <c r="K358">
        <f>K357&amp;IF(H358="","",","&amp;H358)</f>
        <v/>
      </c>
      <c r="L358">
        <f>L357&amp;IF(I358="","",","&amp;I358)</f>
        <v/>
      </c>
    </row>
    <row r="359">
      <c r="A359" t="n">
        <v>376</v>
      </c>
      <c r="B359">
        <f>survey!B376</f>
        <v/>
      </c>
      <c r="C359">
        <f>survey!A376</f>
        <v/>
      </c>
      <c r="D359" t="inlineStr"/>
      <c r="E359">
        <f>IF(OR(B359="",C359=""),"",IF(LOWER(D359)="yes","INCLUDE","EXCLUDE"))</f>
        <v/>
      </c>
      <c r="F359">
        <f>IF(E359&lt;&gt;"INCLUDE","",IF(LEFT(LOWER(C359),10)="select_one ","select_one",IF(LOWER(C359)="date","date",IF(OR(LOWER(C359)="integer",LOWER(C359)="decimal",LOWER(C359)="range"),LOWER(C359),"sha256"))))</f>
        <v/>
      </c>
      <c r="G359">
        <f>IF(E359&lt;&gt;"INCLUDE","",IF(F359="date","yyyy-mm-dd",IF(F359="select_one","stored-choice-name",IF(F359="sha256","odk-lexical-utf8-sha256","odk-canonical-scalar"))))</f>
        <v/>
      </c>
      <c r="H359">
        <f>IF(E359&lt;&gt;"INCLUDE","","{"&amp;CHAR(34)&amp;"path"&amp;CHAR(34)&amp;":"&amp;CHAR(34)&amp;B359&amp;CHAR(34)&amp;","&amp;CHAR(34)&amp;"type"&amp;CHAR(34)&amp;":"&amp;CHAR(34)&amp;F359&amp;CHAR(34)&amp;","&amp;CHAR(34)&amp;"xlsform_type"&amp;CHAR(34)&amp;":"&amp;CHAR(34)&amp;C359&amp;CHAR(34)&amp;","&amp;CHAR(34)&amp;"commitment"&amp;CHAR(34)&amp;":"&amp;CHAR(34)&amp;IF(F359="sha256","text-utf8-sha256","value")&amp;CHAR(34)&amp;","&amp;CHAR(34)&amp;"transform"&amp;CHAR(34)&amp;":"&amp;CHAR(34)&amp;G359&amp;CHAR(34)&amp;"}")</f>
        <v/>
      </c>
      <c r="I359">
        <f>IF(E359&lt;&gt;"INCLUDE","","'|"&amp;B359&amp;"=', "&amp;IF(F359="date","if(string-length(string(${"&amp;B359&amp;"})) &gt; 0, format-date(${"&amp;B359&amp;"}, '%Y-%m-%d'), '')",IF(F359="sha256","digest(string(${"&amp;B359&amp;"}), 'SHA-256', 'hex')","string(${"&amp;B359&amp;"})")))</f>
        <v/>
      </c>
      <c r="J359">
        <f>IF(E359="INCLUDE","Included by explicit yes","Not included")</f>
        <v/>
      </c>
      <c r="K359">
        <f>K358&amp;IF(H359="","",","&amp;H359)</f>
        <v/>
      </c>
      <c r="L359">
        <f>L358&amp;IF(I359="","",","&amp;I359)</f>
        <v/>
      </c>
    </row>
    <row r="360">
      <c r="A360" t="n">
        <v>377</v>
      </c>
      <c r="B360">
        <f>survey!B377</f>
        <v/>
      </c>
      <c r="C360">
        <f>survey!A377</f>
        <v/>
      </c>
      <c r="D360" t="inlineStr"/>
      <c r="E360">
        <f>IF(OR(B360="",C360=""),"",IF(LOWER(D360)="yes","INCLUDE","EXCLUDE"))</f>
        <v/>
      </c>
      <c r="F360">
        <f>IF(E360&lt;&gt;"INCLUDE","",IF(LEFT(LOWER(C360),10)="select_one ","select_one",IF(LOWER(C360)="date","date",IF(OR(LOWER(C360)="integer",LOWER(C360)="decimal",LOWER(C360)="range"),LOWER(C360),"sha256"))))</f>
        <v/>
      </c>
      <c r="G360">
        <f>IF(E360&lt;&gt;"INCLUDE","",IF(F360="date","yyyy-mm-dd",IF(F360="select_one","stored-choice-name",IF(F360="sha256","odk-lexical-utf8-sha256","odk-canonical-scalar"))))</f>
        <v/>
      </c>
      <c r="H360">
        <f>IF(E360&lt;&gt;"INCLUDE","","{"&amp;CHAR(34)&amp;"path"&amp;CHAR(34)&amp;":"&amp;CHAR(34)&amp;B360&amp;CHAR(34)&amp;","&amp;CHAR(34)&amp;"type"&amp;CHAR(34)&amp;":"&amp;CHAR(34)&amp;F360&amp;CHAR(34)&amp;","&amp;CHAR(34)&amp;"xlsform_type"&amp;CHAR(34)&amp;":"&amp;CHAR(34)&amp;C360&amp;CHAR(34)&amp;","&amp;CHAR(34)&amp;"commitment"&amp;CHAR(34)&amp;":"&amp;CHAR(34)&amp;IF(F360="sha256","text-utf8-sha256","value")&amp;CHAR(34)&amp;","&amp;CHAR(34)&amp;"transform"&amp;CHAR(34)&amp;":"&amp;CHAR(34)&amp;G360&amp;CHAR(34)&amp;"}")</f>
        <v/>
      </c>
      <c r="I360">
        <f>IF(E360&lt;&gt;"INCLUDE","","'|"&amp;B360&amp;"=', "&amp;IF(F360="date","if(string-length(string(${"&amp;B360&amp;"})) &gt; 0, format-date(${"&amp;B360&amp;"}, '%Y-%m-%d'), '')",IF(F360="sha256","digest(string(${"&amp;B360&amp;"}), 'SHA-256', 'hex')","string(${"&amp;B360&amp;"})")))</f>
        <v/>
      </c>
      <c r="J360">
        <f>IF(E360="INCLUDE","Included by explicit yes","Not included")</f>
        <v/>
      </c>
      <c r="K360">
        <f>K359&amp;IF(H360="","",","&amp;H360)</f>
        <v/>
      </c>
      <c r="L360">
        <f>L359&amp;IF(I360="","",","&amp;I360)</f>
        <v/>
      </c>
    </row>
    <row r="361">
      <c r="A361" t="n">
        <v>378</v>
      </c>
      <c r="B361">
        <f>survey!B378</f>
        <v/>
      </c>
      <c r="C361">
        <f>survey!A378</f>
        <v/>
      </c>
      <c r="D361" t="inlineStr"/>
      <c r="E361">
        <f>IF(OR(B361="",C361=""),"",IF(LOWER(D361)="yes","INCLUDE","EXCLUDE"))</f>
        <v/>
      </c>
      <c r="F361">
        <f>IF(E361&lt;&gt;"INCLUDE","",IF(LEFT(LOWER(C361),10)="select_one ","select_one",IF(LOWER(C361)="date","date",IF(OR(LOWER(C361)="integer",LOWER(C361)="decimal",LOWER(C361)="range"),LOWER(C361),"sha256"))))</f>
        <v/>
      </c>
      <c r="G361">
        <f>IF(E361&lt;&gt;"INCLUDE","",IF(F361="date","yyyy-mm-dd",IF(F361="select_one","stored-choice-name",IF(F361="sha256","odk-lexical-utf8-sha256","odk-canonical-scalar"))))</f>
        <v/>
      </c>
      <c r="H361">
        <f>IF(E361&lt;&gt;"INCLUDE","","{"&amp;CHAR(34)&amp;"path"&amp;CHAR(34)&amp;":"&amp;CHAR(34)&amp;B361&amp;CHAR(34)&amp;","&amp;CHAR(34)&amp;"type"&amp;CHAR(34)&amp;":"&amp;CHAR(34)&amp;F361&amp;CHAR(34)&amp;","&amp;CHAR(34)&amp;"xlsform_type"&amp;CHAR(34)&amp;":"&amp;CHAR(34)&amp;C361&amp;CHAR(34)&amp;","&amp;CHAR(34)&amp;"commitment"&amp;CHAR(34)&amp;":"&amp;CHAR(34)&amp;IF(F361="sha256","text-utf8-sha256","value")&amp;CHAR(34)&amp;","&amp;CHAR(34)&amp;"transform"&amp;CHAR(34)&amp;":"&amp;CHAR(34)&amp;G361&amp;CHAR(34)&amp;"}")</f>
        <v/>
      </c>
      <c r="I361">
        <f>IF(E361&lt;&gt;"INCLUDE","","'|"&amp;B361&amp;"=', "&amp;IF(F361="date","if(string-length(string(${"&amp;B361&amp;"})) &gt; 0, format-date(${"&amp;B361&amp;"}, '%Y-%m-%d'), '')",IF(F361="sha256","digest(string(${"&amp;B361&amp;"}), 'SHA-256', 'hex')","string(${"&amp;B361&amp;"})")))</f>
        <v/>
      </c>
      <c r="J361">
        <f>IF(E361="INCLUDE","Included by explicit yes","Not included")</f>
        <v/>
      </c>
      <c r="K361">
        <f>K360&amp;IF(H361="","",","&amp;H361)</f>
        <v/>
      </c>
      <c r="L361">
        <f>L360&amp;IF(I361="","",","&amp;I361)</f>
        <v/>
      </c>
    </row>
    <row r="362">
      <c r="A362" t="n">
        <v>379</v>
      </c>
      <c r="B362">
        <f>survey!B379</f>
        <v/>
      </c>
      <c r="C362">
        <f>survey!A379</f>
        <v/>
      </c>
      <c r="D362" t="inlineStr"/>
      <c r="E362">
        <f>IF(OR(B362="",C362=""),"",IF(LOWER(D362)="yes","INCLUDE","EXCLUDE"))</f>
        <v/>
      </c>
      <c r="F362">
        <f>IF(E362&lt;&gt;"INCLUDE","",IF(LEFT(LOWER(C362),10)="select_one ","select_one",IF(LOWER(C362)="date","date",IF(OR(LOWER(C362)="integer",LOWER(C362)="decimal",LOWER(C362)="range"),LOWER(C362),"sha256"))))</f>
        <v/>
      </c>
      <c r="G362">
        <f>IF(E362&lt;&gt;"INCLUDE","",IF(F362="date","yyyy-mm-dd",IF(F362="select_one","stored-choice-name",IF(F362="sha256","odk-lexical-utf8-sha256","odk-canonical-scalar"))))</f>
        <v/>
      </c>
      <c r="H362">
        <f>IF(E362&lt;&gt;"INCLUDE","","{"&amp;CHAR(34)&amp;"path"&amp;CHAR(34)&amp;":"&amp;CHAR(34)&amp;B362&amp;CHAR(34)&amp;","&amp;CHAR(34)&amp;"type"&amp;CHAR(34)&amp;":"&amp;CHAR(34)&amp;F362&amp;CHAR(34)&amp;","&amp;CHAR(34)&amp;"xlsform_type"&amp;CHAR(34)&amp;":"&amp;CHAR(34)&amp;C362&amp;CHAR(34)&amp;","&amp;CHAR(34)&amp;"commitment"&amp;CHAR(34)&amp;":"&amp;CHAR(34)&amp;IF(F362="sha256","text-utf8-sha256","value")&amp;CHAR(34)&amp;","&amp;CHAR(34)&amp;"transform"&amp;CHAR(34)&amp;":"&amp;CHAR(34)&amp;G362&amp;CHAR(34)&amp;"}")</f>
        <v/>
      </c>
      <c r="I362">
        <f>IF(E362&lt;&gt;"INCLUDE","","'|"&amp;B362&amp;"=', "&amp;IF(F362="date","if(string-length(string(${"&amp;B362&amp;"})) &gt; 0, format-date(${"&amp;B362&amp;"}, '%Y-%m-%d'), '')",IF(F362="sha256","digest(string(${"&amp;B362&amp;"}), 'SHA-256', 'hex')","string(${"&amp;B362&amp;"})")))</f>
        <v/>
      </c>
      <c r="J362">
        <f>IF(E362="INCLUDE","Included by explicit yes","Not included")</f>
        <v/>
      </c>
      <c r="K362">
        <f>K361&amp;IF(H362="","",","&amp;H362)</f>
        <v/>
      </c>
      <c r="L362">
        <f>L361&amp;IF(I362="","",","&amp;I362)</f>
        <v/>
      </c>
    </row>
    <row r="363">
      <c r="A363" t="n">
        <v>380</v>
      </c>
      <c r="B363">
        <f>survey!B380</f>
        <v/>
      </c>
      <c r="C363">
        <f>survey!A380</f>
        <v/>
      </c>
      <c r="D363" t="inlineStr"/>
      <c r="E363">
        <f>IF(OR(B363="",C363=""),"",IF(LOWER(D363)="yes","INCLUDE","EXCLUDE"))</f>
        <v/>
      </c>
      <c r="F363">
        <f>IF(E363&lt;&gt;"INCLUDE","",IF(LEFT(LOWER(C363),10)="select_one ","select_one",IF(LOWER(C363)="date","date",IF(OR(LOWER(C363)="integer",LOWER(C363)="decimal",LOWER(C363)="range"),LOWER(C363),"sha256"))))</f>
        <v/>
      </c>
      <c r="G363">
        <f>IF(E363&lt;&gt;"INCLUDE","",IF(F363="date","yyyy-mm-dd",IF(F363="select_one","stored-choice-name",IF(F363="sha256","odk-lexical-utf8-sha256","odk-canonical-scalar"))))</f>
        <v/>
      </c>
      <c r="H363">
        <f>IF(E363&lt;&gt;"INCLUDE","","{"&amp;CHAR(34)&amp;"path"&amp;CHAR(34)&amp;":"&amp;CHAR(34)&amp;B363&amp;CHAR(34)&amp;","&amp;CHAR(34)&amp;"type"&amp;CHAR(34)&amp;":"&amp;CHAR(34)&amp;F363&amp;CHAR(34)&amp;","&amp;CHAR(34)&amp;"xlsform_type"&amp;CHAR(34)&amp;":"&amp;CHAR(34)&amp;C363&amp;CHAR(34)&amp;","&amp;CHAR(34)&amp;"commitment"&amp;CHAR(34)&amp;":"&amp;CHAR(34)&amp;IF(F363="sha256","text-utf8-sha256","value")&amp;CHAR(34)&amp;","&amp;CHAR(34)&amp;"transform"&amp;CHAR(34)&amp;":"&amp;CHAR(34)&amp;G363&amp;CHAR(34)&amp;"}")</f>
        <v/>
      </c>
      <c r="I363">
        <f>IF(E363&lt;&gt;"INCLUDE","","'|"&amp;B363&amp;"=', "&amp;IF(F363="date","if(string-length(string(${"&amp;B363&amp;"})) &gt; 0, format-date(${"&amp;B363&amp;"}, '%Y-%m-%d'), '')",IF(F363="sha256","digest(string(${"&amp;B363&amp;"}), 'SHA-256', 'hex')","string(${"&amp;B363&amp;"})")))</f>
        <v/>
      </c>
      <c r="J363">
        <f>IF(E363="INCLUDE","Included by explicit yes","Not included")</f>
        <v/>
      </c>
      <c r="K363">
        <f>K362&amp;IF(H363="","",","&amp;H363)</f>
        <v/>
      </c>
      <c r="L363">
        <f>L362&amp;IF(I363="","",","&amp;I363)</f>
        <v/>
      </c>
    </row>
    <row r="364">
      <c r="A364" t="n">
        <v>381</v>
      </c>
      <c r="B364">
        <f>survey!B381</f>
        <v/>
      </c>
      <c r="C364">
        <f>survey!A381</f>
        <v/>
      </c>
      <c r="D364" t="inlineStr"/>
      <c r="E364">
        <f>IF(OR(B364="",C364=""),"",IF(LOWER(D364)="yes","INCLUDE","EXCLUDE"))</f>
        <v/>
      </c>
      <c r="F364">
        <f>IF(E364&lt;&gt;"INCLUDE","",IF(LEFT(LOWER(C364),10)="select_one ","select_one",IF(LOWER(C364)="date","date",IF(OR(LOWER(C364)="integer",LOWER(C364)="decimal",LOWER(C364)="range"),LOWER(C364),"sha256"))))</f>
        <v/>
      </c>
      <c r="G364">
        <f>IF(E364&lt;&gt;"INCLUDE","",IF(F364="date","yyyy-mm-dd",IF(F364="select_one","stored-choice-name",IF(F364="sha256","odk-lexical-utf8-sha256","odk-canonical-scalar"))))</f>
        <v/>
      </c>
      <c r="H364">
        <f>IF(E364&lt;&gt;"INCLUDE","","{"&amp;CHAR(34)&amp;"path"&amp;CHAR(34)&amp;":"&amp;CHAR(34)&amp;B364&amp;CHAR(34)&amp;","&amp;CHAR(34)&amp;"type"&amp;CHAR(34)&amp;":"&amp;CHAR(34)&amp;F364&amp;CHAR(34)&amp;","&amp;CHAR(34)&amp;"xlsform_type"&amp;CHAR(34)&amp;":"&amp;CHAR(34)&amp;C364&amp;CHAR(34)&amp;","&amp;CHAR(34)&amp;"commitment"&amp;CHAR(34)&amp;":"&amp;CHAR(34)&amp;IF(F364="sha256","text-utf8-sha256","value")&amp;CHAR(34)&amp;","&amp;CHAR(34)&amp;"transform"&amp;CHAR(34)&amp;":"&amp;CHAR(34)&amp;G364&amp;CHAR(34)&amp;"}")</f>
        <v/>
      </c>
      <c r="I364">
        <f>IF(E364&lt;&gt;"INCLUDE","","'|"&amp;B364&amp;"=', "&amp;IF(F364="date","if(string-length(string(${"&amp;B364&amp;"})) &gt; 0, format-date(${"&amp;B364&amp;"}, '%Y-%m-%d'), '')",IF(F364="sha256","digest(string(${"&amp;B364&amp;"}), 'SHA-256', 'hex')","string(${"&amp;B364&amp;"})")))</f>
        <v/>
      </c>
      <c r="J364">
        <f>IF(E364="INCLUDE","Included by explicit yes","Not included")</f>
        <v/>
      </c>
      <c r="K364">
        <f>K363&amp;IF(H364="","",","&amp;H364)</f>
        <v/>
      </c>
      <c r="L364">
        <f>L363&amp;IF(I364="","",","&amp;I364)</f>
        <v/>
      </c>
    </row>
    <row r="365">
      <c r="A365" t="n">
        <v>382</v>
      </c>
      <c r="B365">
        <f>survey!B382</f>
        <v/>
      </c>
      <c r="C365">
        <f>survey!A382</f>
        <v/>
      </c>
      <c r="D365" t="inlineStr"/>
      <c r="E365">
        <f>IF(OR(B365="",C365=""),"",IF(LOWER(D365)="yes","INCLUDE","EXCLUDE"))</f>
        <v/>
      </c>
      <c r="F365">
        <f>IF(E365&lt;&gt;"INCLUDE","",IF(LEFT(LOWER(C365),10)="select_one ","select_one",IF(LOWER(C365)="date","date",IF(OR(LOWER(C365)="integer",LOWER(C365)="decimal",LOWER(C365)="range"),LOWER(C365),"sha256"))))</f>
        <v/>
      </c>
      <c r="G365">
        <f>IF(E365&lt;&gt;"INCLUDE","",IF(F365="date","yyyy-mm-dd",IF(F365="select_one","stored-choice-name",IF(F365="sha256","odk-lexical-utf8-sha256","odk-canonical-scalar"))))</f>
        <v/>
      </c>
      <c r="H365">
        <f>IF(E365&lt;&gt;"INCLUDE","","{"&amp;CHAR(34)&amp;"path"&amp;CHAR(34)&amp;":"&amp;CHAR(34)&amp;B365&amp;CHAR(34)&amp;","&amp;CHAR(34)&amp;"type"&amp;CHAR(34)&amp;":"&amp;CHAR(34)&amp;F365&amp;CHAR(34)&amp;","&amp;CHAR(34)&amp;"xlsform_type"&amp;CHAR(34)&amp;":"&amp;CHAR(34)&amp;C365&amp;CHAR(34)&amp;","&amp;CHAR(34)&amp;"commitment"&amp;CHAR(34)&amp;":"&amp;CHAR(34)&amp;IF(F365="sha256","text-utf8-sha256","value")&amp;CHAR(34)&amp;","&amp;CHAR(34)&amp;"transform"&amp;CHAR(34)&amp;":"&amp;CHAR(34)&amp;G365&amp;CHAR(34)&amp;"}")</f>
        <v/>
      </c>
      <c r="I365">
        <f>IF(E365&lt;&gt;"INCLUDE","","'|"&amp;B365&amp;"=', "&amp;IF(F365="date","if(string-length(string(${"&amp;B365&amp;"})) &gt; 0, format-date(${"&amp;B365&amp;"}, '%Y-%m-%d'), '')",IF(F365="sha256","digest(string(${"&amp;B365&amp;"}), 'SHA-256', 'hex')","string(${"&amp;B365&amp;"})")))</f>
        <v/>
      </c>
      <c r="J365">
        <f>IF(E365="INCLUDE","Included by explicit yes","Not included")</f>
        <v/>
      </c>
      <c r="K365">
        <f>K364&amp;IF(H365="","",","&amp;H365)</f>
        <v/>
      </c>
      <c r="L365">
        <f>L364&amp;IF(I365="","",","&amp;I365)</f>
        <v/>
      </c>
    </row>
    <row r="366">
      <c r="A366" t="n">
        <v>383</v>
      </c>
      <c r="B366">
        <f>survey!B383</f>
        <v/>
      </c>
      <c r="C366">
        <f>survey!A383</f>
        <v/>
      </c>
      <c r="D366" t="inlineStr"/>
      <c r="E366">
        <f>IF(OR(B366="",C366=""),"",IF(LOWER(D366)="yes","INCLUDE","EXCLUDE"))</f>
        <v/>
      </c>
      <c r="F366">
        <f>IF(E366&lt;&gt;"INCLUDE","",IF(LEFT(LOWER(C366),10)="select_one ","select_one",IF(LOWER(C366)="date","date",IF(OR(LOWER(C366)="integer",LOWER(C366)="decimal",LOWER(C366)="range"),LOWER(C366),"sha256"))))</f>
        <v/>
      </c>
      <c r="G366">
        <f>IF(E366&lt;&gt;"INCLUDE","",IF(F366="date","yyyy-mm-dd",IF(F366="select_one","stored-choice-name",IF(F366="sha256","odk-lexical-utf8-sha256","odk-canonical-scalar"))))</f>
        <v/>
      </c>
      <c r="H366">
        <f>IF(E366&lt;&gt;"INCLUDE","","{"&amp;CHAR(34)&amp;"path"&amp;CHAR(34)&amp;":"&amp;CHAR(34)&amp;B366&amp;CHAR(34)&amp;","&amp;CHAR(34)&amp;"type"&amp;CHAR(34)&amp;":"&amp;CHAR(34)&amp;F366&amp;CHAR(34)&amp;","&amp;CHAR(34)&amp;"xlsform_type"&amp;CHAR(34)&amp;":"&amp;CHAR(34)&amp;C366&amp;CHAR(34)&amp;","&amp;CHAR(34)&amp;"commitment"&amp;CHAR(34)&amp;":"&amp;CHAR(34)&amp;IF(F366="sha256","text-utf8-sha256","value")&amp;CHAR(34)&amp;","&amp;CHAR(34)&amp;"transform"&amp;CHAR(34)&amp;":"&amp;CHAR(34)&amp;G366&amp;CHAR(34)&amp;"}")</f>
        <v/>
      </c>
      <c r="I366">
        <f>IF(E366&lt;&gt;"INCLUDE","","'|"&amp;B366&amp;"=', "&amp;IF(F366="date","if(string-length(string(${"&amp;B366&amp;"})) &gt; 0, format-date(${"&amp;B366&amp;"}, '%Y-%m-%d'), '')",IF(F366="sha256","digest(string(${"&amp;B366&amp;"}), 'SHA-256', 'hex')","string(${"&amp;B366&amp;"})")))</f>
        <v/>
      </c>
      <c r="J366">
        <f>IF(E366="INCLUDE","Included by explicit yes","Not included")</f>
        <v/>
      </c>
      <c r="K366">
        <f>K365&amp;IF(H366="","",","&amp;H366)</f>
        <v/>
      </c>
      <c r="L366">
        <f>L365&amp;IF(I366="","",","&amp;I366)</f>
        <v/>
      </c>
    </row>
    <row r="367">
      <c r="A367" t="n">
        <v>384</v>
      </c>
      <c r="B367">
        <f>survey!B384</f>
        <v/>
      </c>
      <c r="C367">
        <f>survey!A384</f>
        <v/>
      </c>
      <c r="D367" t="inlineStr"/>
      <c r="E367">
        <f>IF(OR(B367="",C367=""),"",IF(LOWER(D367)="yes","INCLUDE","EXCLUDE"))</f>
        <v/>
      </c>
      <c r="F367">
        <f>IF(E367&lt;&gt;"INCLUDE","",IF(LEFT(LOWER(C367),10)="select_one ","select_one",IF(LOWER(C367)="date","date",IF(OR(LOWER(C367)="integer",LOWER(C367)="decimal",LOWER(C367)="range"),LOWER(C367),"sha256"))))</f>
        <v/>
      </c>
      <c r="G367">
        <f>IF(E367&lt;&gt;"INCLUDE","",IF(F367="date","yyyy-mm-dd",IF(F367="select_one","stored-choice-name",IF(F367="sha256","odk-lexical-utf8-sha256","odk-canonical-scalar"))))</f>
        <v/>
      </c>
      <c r="H367">
        <f>IF(E367&lt;&gt;"INCLUDE","","{"&amp;CHAR(34)&amp;"path"&amp;CHAR(34)&amp;":"&amp;CHAR(34)&amp;B367&amp;CHAR(34)&amp;","&amp;CHAR(34)&amp;"type"&amp;CHAR(34)&amp;":"&amp;CHAR(34)&amp;F367&amp;CHAR(34)&amp;","&amp;CHAR(34)&amp;"xlsform_type"&amp;CHAR(34)&amp;":"&amp;CHAR(34)&amp;C367&amp;CHAR(34)&amp;","&amp;CHAR(34)&amp;"commitment"&amp;CHAR(34)&amp;":"&amp;CHAR(34)&amp;IF(F367="sha256","text-utf8-sha256","value")&amp;CHAR(34)&amp;","&amp;CHAR(34)&amp;"transform"&amp;CHAR(34)&amp;":"&amp;CHAR(34)&amp;G367&amp;CHAR(34)&amp;"}")</f>
        <v/>
      </c>
      <c r="I367">
        <f>IF(E367&lt;&gt;"INCLUDE","","'|"&amp;B367&amp;"=', "&amp;IF(F367="date","if(string-length(string(${"&amp;B367&amp;"})) &gt; 0, format-date(${"&amp;B367&amp;"}, '%Y-%m-%d'), '')",IF(F367="sha256","digest(string(${"&amp;B367&amp;"}), 'SHA-256', 'hex')","string(${"&amp;B367&amp;"})")))</f>
        <v/>
      </c>
      <c r="J367">
        <f>IF(E367="INCLUDE","Included by explicit yes","Not included")</f>
        <v/>
      </c>
      <c r="K367">
        <f>K366&amp;IF(H367="","",","&amp;H367)</f>
        <v/>
      </c>
      <c r="L367">
        <f>L366&amp;IF(I367="","",","&amp;I367)</f>
        <v/>
      </c>
    </row>
    <row r="368">
      <c r="A368" t="n">
        <v>385</v>
      </c>
      <c r="B368">
        <f>survey!B385</f>
        <v/>
      </c>
      <c r="C368">
        <f>survey!A385</f>
        <v/>
      </c>
      <c r="D368" t="inlineStr"/>
      <c r="E368">
        <f>IF(OR(B368="",C368=""),"",IF(LOWER(D368)="yes","INCLUDE","EXCLUDE"))</f>
        <v/>
      </c>
      <c r="F368">
        <f>IF(E368&lt;&gt;"INCLUDE","",IF(LEFT(LOWER(C368),10)="select_one ","select_one",IF(LOWER(C368)="date","date",IF(OR(LOWER(C368)="integer",LOWER(C368)="decimal",LOWER(C368)="range"),LOWER(C368),"sha256"))))</f>
        <v/>
      </c>
      <c r="G368">
        <f>IF(E368&lt;&gt;"INCLUDE","",IF(F368="date","yyyy-mm-dd",IF(F368="select_one","stored-choice-name",IF(F368="sha256","odk-lexical-utf8-sha256","odk-canonical-scalar"))))</f>
        <v/>
      </c>
      <c r="H368">
        <f>IF(E368&lt;&gt;"INCLUDE","","{"&amp;CHAR(34)&amp;"path"&amp;CHAR(34)&amp;":"&amp;CHAR(34)&amp;B368&amp;CHAR(34)&amp;","&amp;CHAR(34)&amp;"type"&amp;CHAR(34)&amp;":"&amp;CHAR(34)&amp;F368&amp;CHAR(34)&amp;","&amp;CHAR(34)&amp;"xlsform_type"&amp;CHAR(34)&amp;":"&amp;CHAR(34)&amp;C368&amp;CHAR(34)&amp;","&amp;CHAR(34)&amp;"commitment"&amp;CHAR(34)&amp;":"&amp;CHAR(34)&amp;IF(F368="sha256","text-utf8-sha256","value")&amp;CHAR(34)&amp;","&amp;CHAR(34)&amp;"transform"&amp;CHAR(34)&amp;":"&amp;CHAR(34)&amp;G368&amp;CHAR(34)&amp;"}")</f>
        <v/>
      </c>
      <c r="I368">
        <f>IF(E368&lt;&gt;"INCLUDE","","'|"&amp;B368&amp;"=', "&amp;IF(F368="date","if(string-length(string(${"&amp;B368&amp;"})) &gt; 0, format-date(${"&amp;B368&amp;"}, '%Y-%m-%d'), '')",IF(F368="sha256","digest(string(${"&amp;B368&amp;"}), 'SHA-256', 'hex')","string(${"&amp;B368&amp;"})")))</f>
        <v/>
      </c>
      <c r="J368">
        <f>IF(E368="INCLUDE","Included by explicit yes","Not included")</f>
        <v/>
      </c>
      <c r="K368">
        <f>K367&amp;IF(H368="","",","&amp;H368)</f>
        <v/>
      </c>
      <c r="L368">
        <f>L367&amp;IF(I368="","",","&amp;I368)</f>
        <v/>
      </c>
    </row>
    <row r="369">
      <c r="A369" t="n">
        <v>386</v>
      </c>
      <c r="B369">
        <f>survey!B386</f>
        <v/>
      </c>
      <c r="C369">
        <f>survey!A386</f>
        <v/>
      </c>
      <c r="D369" t="inlineStr"/>
      <c r="E369">
        <f>IF(OR(B369="",C369=""),"",IF(LOWER(D369)="yes","INCLUDE","EXCLUDE"))</f>
        <v/>
      </c>
      <c r="F369">
        <f>IF(E369&lt;&gt;"INCLUDE","",IF(LEFT(LOWER(C369),10)="select_one ","select_one",IF(LOWER(C369)="date","date",IF(OR(LOWER(C369)="integer",LOWER(C369)="decimal",LOWER(C369)="range"),LOWER(C369),"sha256"))))</f>
        <v/>
      </c>
      <c r="G369">
        <f>IF(E369&lt;&gt;"INCLUDE","",IF(F369="date","yyyy-mm-dd",IF(F369="select_one","stored-choice-name",IF(F369="sha256","odk-lexical-utf8-sha256","odk-canonical-scalar"))))</f>
        <v/>
      </c>
      <c r="H369">
        <f>IF(E369&lt;&gt;"INCLUDE","","{"&amp;CHAR(34)&amp;"path"&amp;CHAR(34)&amp;":"&amp;CHAR(34)&amp;B369&amp;CHAR(34)&amp;","&amp;CHAR(34)&amp;"type"&amp;CHAR(34)&amp;":"&amp;CHAR(34)&amp;F369&amp;CHAR(34)&amp;","&amp;CHAR(34)&amp;"xlsform_type"&amp;CHAR(34)&amp;":"&amp;CHAR(34)&amp;C369&amp;CHAR(34)&amp;","&amp;CHAR(34)&amp;"commitment"&amp;CHAR(34)&amp;":"&amp;CHAR(34)&amp;IF(F369="sha256","text-utf8-sha256","value")&amp;CHAR(34)&amp;","&amp;CHAR(34)&amp;"transform"&amp;CHAR(34)&amp;":"&amp;CHAR(34)&amp;G369&amp;CHAR(34)&amp;"}")</f>
        <v/>
      </c>
      <c r="I369">
        <f>IF(E369&lt;&gt;"INCLUDE","","'|"&amp;B369&amp;"=', "&amp;IF(F369="date","if(string-length(string(${"&amp;B369&amp;"})) &gt; 0, format-date(${"&amp;B369&amp;"}, '%Y-%m-%d'), '')",IF(F369="sha256","digest(string(${"&amp;B369&amp;"}), 'SHA-256', 'hex')","string(${"&amp;B369&amp;"})")))</f>
        <v/>
      </c>
      <c r="J369">
        <f>IF(E369="INCLUDE","Included by explicit yes","Not included")</f>
        <v/>
      </c>
      <c r="K369">
        <f>K368&amp;IF(H369="","",","&amp;H369)</f>
        <v/>
      </c>
      <c r="L369">
        <f>L368&amp;IF(I369="","",","&amp;I369)</f>
        <v/>
      </c>
    </row>
    <row r="370">
      <c r="A370" t="n">
        <v>387</v>
      </c>
      <c r="B370">
        <f>survey!B387</f>
        <v/>
      </c>
      <c r="C370">
        <f>survey!A387</f>
        <v/>
      </c>
      <c r="D370" t="inlineStr"/>
      <c r="E370">
        <f>IF(OR(B370="",C370=""),"",IF(LOWER(D370)="yes","INCLUDE","EXCLUDE"))</f>
        <v/>
      </c>
      <c r="F370">
        <f>IF(E370&lt;&gt;"INCLUDE","",IF(LEFT(LOWER(C370),10)="select_one ","select_one",IF(LOWER(C370)="date","date",IF(OR(LOWER(C370)="integer",LOWER(C370)="decimal",LOWER(C370)="range"),LOWER(C370),"sha256"))))</f>
        <v/>
      </c>
      <c r="G370">
        <f>IF(E370&lt;&gt;"INCLUDE","",IF(F370="date","yyyy-mm-dd",IF(F370="select_one","stored-choice-name",IF(F370="sha256","odk-lexical-utf8-sha256","odk-canonical-scalar"))))</f>
        <v/>
      </c>
      <c r="H370">
        <f>IF(E370&lt;&gt;"INCLUDE","","{"&amp;CHAR(34)&amp;"path"&amp;CHAR(34)&amp;":"&amp;CHAR(34)&amp;B370&amp;CHAR(34)&amp;","&amp;CHAR(34)&amp;"type"&amp;CHAR(34)&amp;":"&amp;CHAR(34)&amp;F370&amp;CHAR(34)&amp;","&amp;CHAR(34)&amp;"xlsform_type"&amp;CHAR(34)&amp;":"&amp;CHAR(34)&amp;C370&amp;CHAR(34)&amp;","&amp;CHAR(34)&amp;"commitment"&amp;CHAR(34)&amp;":"&amp;CHAR(34)&amp;IF(F370="sha256","text-utf8-sha256","value")&amp;CHAR(34)&amp;","&amp;CHAR(34)&amp;"transform"&amp;CHAR(34)&amp;":"&amp;CHAR(34)&amp;G370&amp;CHAR(34)&amp;"}")</f>
        <v/>
      </c>
      <c r="I370">
        <f>IF(E370&lt;&gt;"INCLUDE","","'|"&amp;B370&amp;"=', "&amp;IF(F370="date","if(string-length(string(${"&amp;B370&amp;"})) &gt; 0, format-date(${"&amp;B370&amp;"}, '%Y-%m-%d'), '')",IF(F370="sha256","digest(string(${"&amp;B370&amp;"}), 'SHA-256', 'hex')","string(${"&amp;B370&amp;"})")))</f>
        <v/>
      </c>
      <c r="J370">
        <f>IF(E370="INCLUDE","Included by explicit yes","Not included")</f>
        <v/>
      </c>
      <c r="K370">
        <f>K369&amp;IF(H370="","",","&amp;H370)</f>
        <v/>
      </c>
      <c r="L370">
        <f>L369&amp;IF(I370="","",","&amp;I370)</f>
        <v/>
      </c>
    </row>
    <row r="371">
      <c r="A371" t="n">
        <v>388</v>
      </c>
      <c r="B371">
        <f>survey!B388</f>
        <v/>
      </c>
      <c r="C371">
        <f>survey!A388</f>
        <v/>
      </c>
      <c r="D371" t="inlineStr"/>
      <c r="E371">
        <f>IF(OR(B371="",C371=""),"",IF(LOWER(D371)="yes","INCLUDE","EXCLUDE"))</f>
        <v/>
      </c>
      <c r="F371">
        <f>IF(E371&lt;&gt;"INCLUDE","",IF(LEFT(LOWER(C371),10)="select_one ","select_one",IF(LOWER(C371)="date","date",IF(OR(LOWER(C371)="integer",LOWER(C371)="decimal",LOWER(C371)="range"),LOWER(C371),"sha256"))))</f>
        <v/>
      </c>
      <c r="G371">
        <f>IF(E371&lt;&gt;"INCLUDE","",IF(F371="date","yyyy-mm-dd",IF(F371="select_one","stored-choice-name",IF(F371="sha256","odk-lexical-utf8-sha256","odk-canonical-scalar"))))</f>
        <v/>
      </c>
      <c r="H371">
        <f>IF(E371&lt;&gt;"INCLUDE","","{"&amp;CHAR(34)&amp;"path"&amp;CHAR(34)&amp;":"&amp;CHAR(34)&amp;B371&amp;CHAR(34)&amp;","&amp;CHAR(34)&amp;"type"&amp;CHAR(34)&amp;":"&amp;CHAR(34)&amp;F371&amp;CHAR(34)&amp;","&amp;CHAR(34)&amp;"xlsform_type"&amp;CHAR(34)&amp;":"&amp;CHAR(34)&amp;C371&amp;CHAR(34)&amp;","&amp;CHAR(34)&amp;"commitment"&amp;CHAR(34)&amp;":"&amp;CHAR(34)&amp;IF(F371="sha256","text-utf8-sha256","value")&amp;CHAR(34)&amp;","&amp;CHAR(34)&amp;"transform"&amp;CHAR(34)&amp;":"&amp;CHAR(34)&amp;G371&amp;CHAR(34)&amp;"}")</f>
        <v/>
      </c>
      <c r="I371">
        <f>IF(E371&lt;&gt;"INCLUDE","","'|"&amp;B371&amp;"=', "&amp;IF(F371="date","if(string-length(string(${"&amp;B371&amp;"})) &gt; 0, format-date(${"&amp;B371&amp;"}, '%Y-%m-%d'), '')",IF(F371="sha256","digest(string(${"&amp;B371&amp;"}), 'SHA-256', 'hex')","string(${"&amp;B371&amp;"})")))</f>
        <v/>
      </c>
      <c r="J371">
        <f>IF(E371="INCLUDE","Included by explicit yes","Not included")</f>
        <v/>
      </c>
      <c r="K371">
        <f>K370&amp;IF(H371="","",","&amp;H371)</f>
        <v/>
      </c>
      <c r="L371">
        <f>L370&amp;IF(I371="","",","&amp;I371)</f>
        <v/>
      </c>
    </row>
    <row r="372">
      <c r="A372" t="n">
        <v>389</v>
      </c>
      <c r="B372">
        <f>survey!B389</f>
        <v/>
      </c>
      <c r="C372">
        <f>survey!A389</f>
        <v/>
      </c>
      <c r="D372" t="inlineStr"/>
      <c r="E372">
        <f>IF(OR(B372="",C372=""),"",IF(LOWER(D372)="yes","INCLUDE","EXCLUDE"))</f>
        <v/>
      </c>
      <c r="F372">
        <f>IF(E372&lt;&gt;"INCLUDE","",IF(LEFT(LOWER(C372),10)="select_one ","select_one",IF(LOWER(C372)="date","date",IF(OR(LOWER(C372)="integer",LOWER(C372)="decimal",LOWER(C372)="range"),LOWER(C372),"sha256"))))</f>
        <v/>
      </c>
      <c r="G372">
        <f>IF(E372&lt;&gt;"INCLUDE","",IF(F372="date","yyyy-mm-dd",IF(F372="select_one","stored-choice-name",IF(F372="sha256","odk-lexical-utf8-sha256","odk-canonical-scalar"))))</f>
        <v/>
      </c>
      <c r="H372">
        <f>IF(E372&lt;&gt;"INCLUDE","","{"&amp;CHAR(34)&amp;"path"&amp;CHAR(34)&amp;":"&amp;CHAR(34)&amp;B372&amp;CHAR(34)&amp;","&amp;CHAR(34)&amp;"type"&amp;CHAR(34)&amp;":"&amp;CHAR(34)&amp;F372&amp;CHAR(34)&amp;","&amp;CHAR(34)&amp;"xlsform_type"&amp;CHAR(34)&amp;":"&amp;CHAR(34)&amp;C372&amp;CHAR(34)&amp;","&amp;CHAR(34)&amp;"commitment"&amp;CHAR(34)&amp;":"&amp;CHAR(34)&amp;IF(F372="sha256","text-utf8-sha256","value")&amp;CHAR(34)&amp;","&amp;CHAR(34)&amp;"transform"&amp;CHAR(34)&amp;":"&amp;CHAR(34)&amp;G372&amp;CHAR(34)&amp;"}")</f>
        <v/>
      </c>
      <c r="I372">
        <f>IF(E372&lt;&gt;"INCLUDE","","'|"&amp;B372&amp;"=', "&amp;IF(F372="date","if(string-length(string(${"&amp;B372&amp;"})) &gt; 0, format-date(${"&amp;B372&amp;"}, '%Y-%m-%d'), '')",IF(F372="sha256","digest(string(${"&amp;B372&amp;"}), 'SHA-256', 'hex')","string(${"&amp;B372&amp;"})")))</f>
        <v/>
      </c>
      <c r="J372">
        <f>IF(E372="INCLUDE","Included by explicit yes","Not included")</f>
        <v/>
      </c>
      <c r="K372">
        <f>K371&amp;IF(H372="","",","&amp;H372)</f>
        <v/>
      </c>
      <c r="L372">
        <f>L371&amp;IF(I372="","",","&amp;I372)</f>
        <v/>
      </c>
    </row>
    <row r="373">
      <c r="A373" t="n">
        <v>390</v>
      </c>
      <c r="B373">
        <f>survey!B390</f>
        <v/>
      </c>
      <c r="C373">
        <f>survey!A390</f>
        <v/>
      </c>
      <c r="D373" t="inlineStr"/>
      <c r="E373">
        <f>IF(OR(B373="",C373=""),"",IF(LOWER(D373)="yes","INCLUDE","EXCLUDE"))</f>
        <v/>
      </c>
      <c r="F373">
        <f>IF(E373&lt;&gt;"INCLUDE","",IF(LEFT(LOWER(C373),10)="select_one ","select_one",IF(LOWER(C373)="date","date",IF(OR(LOWER(C373)="integer",LOWER(C373)="decimal",LOWER(C373)="range"),LOWER(C373),"sha256"))))</f>
        <v/>
      </c>
      <c r="G373">
        <f>IF(E373&lt;&gt;"INCLUDE","",IF(F373="date","yyyy-mm-dd",IF(F373="select_one","stored-choice-name",IF(F373="sha256","odk-lexical-utf8-sha256","odk-canonical-scalar"))))</f>
        <v/>
      </c>
      <c r="H373">
        <f>IF(E373&lt;&gt;"INCLUDE","","{"&amp;CHAR(34)&amp;"path"&amp;CHAR(34)&amp;":"&amp;CHAR(34)&amp;B373&amp;CHAR(34)&amp;","&amp;CHAR(34)&amp;"type"&amp;CHAR(34)&amp;":"&amp;CHAR(34)&amp;F373&amp;CHAR(34)&amp;","&amp;CHAR(34)&amp;"xlsform_type"&amp;CHAR(34)&amp;":"&amp;CHAR(34)&amp;C373&amp;CHAR(34)&amp;","&amp;CHAR(34)&amp;"commitment"&amp;CHAR(34)&amp;":"&amp;CHAR(34)&amp;IF(F373="sha256","text-utf8-sha256","value")&amp;CHAR(34)&amp;","&amp;CHAR(34)&amp;"transform"&amp;CHAR(34)&amp;":"&amp;CHAR(34)&amp;G373&amp;CHAR(34)&amp;"}")</f>
        <v/>
      </c>
      <c r="I373">
        <f>IF(E373&lt;&gt;"INCLUDE","","'|"&amp;B373&amp;"=', "&amp;IF(F373="date","if(string-length(string(${"&amp;B373&amp;"})) &gt; 0, format-date(${"&amp;B373&amp;"}, '%Y-%m-%d'), '')",IF(F373="sha256","digest(string(${"&amp;B373&amp;"}), 'SHA-256', 'hex')","string(${"&amp;B373&amp;"})")))</f>
        <v/>
      </c>
      <c r="J373">
        <f>IF(E373="INCLUDE","Included by explicit yes","Not included")</f>
        <v/>
      </c>
      <c r="K373">
        <f>K372&amp;IF(H373="","",","&amp;H373)</f>
        <v/>
      </c>
      <c r="L373">
        <f>L372&amp;IF(I373="","",","&amp;I373)</f>
        <v/>
      </c>
    </row>
    <row r="374">
      <c r="A374" t="n">
        <v>391</v>
      </c>
      <c r="B374">
        <f>survey!B391</f>
        <v/>
      </c>
      <c r="C374">
        <f>survey!A391</f>
        <v/>
      </c>
      <c r="D374" t="inlineStr"/>
      <c r="E374">
        <f>IF(OR(B374="",C374=""),"",IF(LOWER(D374)="yes","INCLUDE","EXCLUDE"))</f>
        <v/>
      </c>
      <c r="F374">
        <f>IF(E374&lt;&gt;"INCLUDE","",IF(LEFT(LOWER(C374),10)="select_one ","select_one",IF(LOWER(C374)="date","date",IF(OR(LOWER(C374)="integer",LOWER(C374)="decimal",LOWER(C374)="range"),LOWER(C374),"sha256"))))</f>
        <v/>
      </c>
      <c r="G374">
        <f>IF(E374&lt;&gt;"INCLUDE","",IF(F374="date","yyyy-mm-dd",IF(F374="select_one","stored-choice-name",IF(F374="sha256","odk-lexical-utf8-sha256","odk-canonical-scalar"))))</f>
        <v/>
      </c>
      <c r="H374">
        <f>IF(E374&lt;&gt;"INCLUDE","","{"&amp;CHAR(34)&amp;"path"&amp;CHAR(34)&amp;":"&amp;CHAR(34)&amp;B374&amp;CHAR(34)&amp;","&amp;CHAR(34)&amp;"type"&amp;CHAR(34)&amp;":"&amp;CHAR(34)&amp;F374&amp;CHAR(34)&amp;","&amp;CHAR(34)&amp;"xlsform_type"&amp;CHAR(34)&amp;":"&amp;CHAR(34)&amp;C374&amp;CHAR(34)&amp;","&amp;CHAR(34)&amp;"commitment"&amp;CHAR(34)&amp;":"&amp;CHAR(34)&amp;IF(F374="sha256","text-utf8-sha256","value")&amp;CHAR(34)&amp;","&amp;CHAR(34)&amp;"transform"&amp;CHAR(34)&amp;":"&amp;CHAR(34)&amp;G374&amp;CHAR(34)&amp;"}")</f>
        <v/>
      </c>
      <c r="I374">
        <f>IF(E374&lt;&gt;"INCLUDE","","'|"&amp;B374&amp;"=', "&amp;IF(F374="date","if(string-length(string(${"&amp;B374&amp;"})) &gt; 0, format-date(${"&amp;B374&amp;"}, '%Y-%m-%d'), '')",IF(F374="sha256","digest(string(${"&amp;B374&amp;"}), 'SHA-256', 'hex')","string(${"&amp;B374&amp;"})")))</f>
        <v/>
      </c>
      <c r="J374">
        <f>IF(E374="INCLUDE","Included by explicit yes","Not included")</f>
        <v/>
      </c>
      <c r="K374">
        <f>K373&amp;IF(H374="","",","&amp;H374)</f>
        <v/>
      </c>
      <c r="L374">
        <f>L373&amp;IF(I374="","",","&amp;I374)</f>
        <v/>
      </c>
    </row>
    <row r="375">
      <c r="A375" t="n">
        <v>392</v>
      </c>
      <c r="B375">
        <f>survey!B392</f>
        <v/>
      </c>
      <c r="C375">
        <f>survey!A392</f>
        <v/>
      </c>
      <c r="D375" t="inlineStr"/>
      <c r="E375">
        <f>IF(OR(B375="",C375=""),"",IF(LOWER(D375)="yes","INCLUDE","EXCLUDE"))</f>
        <v/>
      </c>
      <c r="F375">
        <f>IF(E375&lt;&gt;"INCLUDE","",IF(LEFT(LOWER(C375),10)="select_one ","select_one",IF(LOWER(C375)="date","date",IF(OR(LOWER(C375)="integer",LOWER(C375)="decimal",LOWER(C375)="range"),LOWER(C375),"sha256"))))</f>
        <v/>
      </c>
      <c r="G375">
        <f>IF(E375&lt;&gt;"INCLUDE","",IF(F375="date","yyyy-mm-dd",IF(F375="select_one","stored-choice-name",IF(F375="sha256","odk-lexical-utf8-sha256","odk-canonical-scalar"))))</f>
        <v/>
      </c>
      <c r="H375">
        <f>IF(E375&lt;&gt;"INCLUDE","","{"&amp;CHAR(34)&amp;"path"&amp;CHAR(34)&amp;":"&amp;CHAR(34)&amp;B375&amp;CHAR(34)&amp;","&amp;CHAR(34)&amp;"type"&amp;CHAR(34)&amp;":"&amp;CHAR(34)&amp;F375&amp;CHAR(34)&amp;","&amp;CHAR(34)&amp;"xlsform_type"&amp;CHAR(34)&amp;":"&amp;CHAR(34)&amp;C375&amp;CHAR(34)&amp;","&amp;CHAR(34)&amp;"commitment"&amp;CHAR(34)&amp;":"&amp;CHAR(34)&amp;IF(F375="sha256","text-utf8-sha256","value")&amp;CHAR(34)&amp;","&amp;CHAR(34)&amp;"transform"&amp;CHAR(34)&amp;":"&amp;CHAR(34)&amp;G375&amp;CHAR(34)&amp;"}")</f>
        <v/>
      </c>
      <c r="I375">
        <f>IF(E375&lt;&gt;"INCLUDE","","'|"&amp;B375&amp;"=', "&amp;IF(F375="date","if(string-length(string(${"&amp;B375&amp;"})) &gt; 0, format-date(${"&amp;B375&amp;"}, '%Y-%m-%d'), '')",IF(F375="sha256","digest(string(${"&amp;B375&amp;"}), 'SHA-256', 'hex')","string(${"&amp;B375&amp;"})")))</f>
        <v/>
      </c>
      <c r="J375">
        <f>IF(E375="INCLUDE","Included by explicit yes","Not included")</f>
        <v/>
      </c>
      <c r="K375">
        <f>K374&amp;IF(H375="","",","&amp;H375)</f>
        <v/>
      </c>
      <c r="L375">
        <f>L374&amp;IF(I375="","",","&amp;I375)</f>
        <v/>
      </c>
    </row>
    <row r="376">
      <c r="A376" t="n">
        <v>393</v>
      </c>
      <c r="B376">
        <f>survey!B393</f>
        <v/>
      </c>
      <c r="C376">
        <f>survey!A393</f>
        <v/>
      </c>
      <c r="D376" t="inlineStr"/>
      <c r="E376">
        <f>IF(OR(B376="",C376=""),"",IF(LOWER(D376)="yes","INCLUDE","EXCLUDE"))</f>
        <v/>
      </c>
      <c r="F376">
        <f>IF(E376&lt;&gt;"INCLUDE","",IF(LEFT(LOWER(C376),10)="select_one ","select_one",IF(LOWER(C376)="date","date",IF(OR(LOWER(C376)="integer",LOWER(C376)="decimal",LOWER(C376)="range"),LOWER(C376),"sha256"))))</f>
        <v/>
      </c>
      <c r="G376">
        <f>IF(E376&lt;&gt;"INCLUDE","",IF(F376="date","yyyy-mm-dd",IF(F376="select_one","stored-choice-name",IF(F376="sha256","odk-lexical-utf8-sha256","odk-canonical-scalar"))))</f>
        <v/>
      </c>
      <c r="H376">
        <f>IF(E376&lt;&gt;"INCLUDE","","{"&amp;CHAR(34)&amp;"path"&amp;CHAR(34)&amp;":"&amp;CHAR(34)&amp;B376&amp;CHAR(34)&amp;","&amp;CHAR(34)&amp;"type"&amp;CHAR(34)&amp;":"&amp;CHAR(34)&amp;F376&amp;CHAR(34)&amp;","&amp;CHAR(34)&amp;"xlsform_type"&amp;CHAR(34)&amp;":"&amp;CHAR(34)&amp;C376&amp;CHAR(34)&amp;","&amp;CHAR(34)&amp;"commitment"&amp;CHAR(34)&amp;":"&amp;CHAR(34)&amp;IF(F376="sha256","text-utf8-sha256","value")&amp;CHAR(34)&amp;","&amp;CHAR(34)&amp;"transform"&amp;CHAR(34)&amp;":"&amp;CHAR(34)&amp;G376&amp;CHAR(34)&amp;"}")</f>
        <v/>
      </c>
      <c r="I376">
        <f>IF(E376&lt;&gt;"INCLUDE","","'|"&amp;B376&amp;"=', "&amp;IF(F376="date","if(string-length(string(${"&amp;B376&amp;"})) &gt; 0, format-date(${"&amp;B376&amp;"}, '%Y-%m-%d'), '')",IF(F376="sha256","digest(string(${"&amp;B376&amp;"}), 'SHA-256', 'hex')","string(${"&amp;B376&amp;"})")))</f>
        <v/>
      </c>
      <c r="J376">
        <f>IF(E376="INCLUDE","Included by explicit yes","Not included")</f>
        <v/>
      </c>
      <c r="K376">
        <f>K375&amp;IF(H376="","",","&amp;H376)</f>
        <v/>
      </c>
      <c r="L376">
        <f>L375&amp;IF(I376="","",","&amp;I376)</f>
        <v/>
      </c>
    </row>
    <row r="377">
      <c r="A377" t="n">
        <v>394</v>
      </c>
      <c r="B377">
        <f>survey!B394</f>
        <v/>
      </c>
      <c r="C377">
        <f>survey!A394</f>
        <v/>
      </c>
      <c r="D377" t="inlineStr"/>
      <c r="E377">
        <f>IF(OR(B377="",C377=""),"",IF(LOWER(D377)="yes","INCLUDE","EXCLUDE"))</f>
        <v/>
      </c>
      <c r="F377">
        <f>IF(E377&lt;&gt;"INCLUDE","",IF(LEFT(LOWER(C377),10)="select_one ","select_one",IF(LOWER(C377)="date","date",IF(OR(LOWER(C377)="integer",LOWER(C377)="decimal",LOWER(C377)="range"),LOWER(C377),"sha256"))))</f>
        <v/>
      </c>
      <c r="G377">
        <f>IF(E377&lt;&gt;"INCLUDE","",IF(F377="date","yyyy-mm-dd",IF(F377="select_one","stored-choice-name",IF(F377="sha256","odk-lexical-utf8-sha256","odk-canonical-scalar"))))</f>
        <v/>
      </c>
      <c r="H377">
        <f>IF(E377&lt;&gt;"INCLUDE","","{"&amp;CHAR(34)&amp;"path"&amp;CHAR(34)&amp;":"&amp;CHAR(34)&amp;B377&amp;CHAR(34)&amp;","&amp;CHAR(34)&amp;"type"&amp;CHAR(34)&amp;":"&amp;CHAR(34)&amp;F377&amp;CHAR(34)&amp;","&amp;CHAR(34)&amp;"xlsform_type"&amp;CHAR(34)&amp;":"&amp;CHAR(34)&amp;C377&amp;CHAR(34)&amp;","&amp;CHAR(34)&amp;"commitment"&amp;CHAR(34)&amp;":"&amp;CHAR(34)&amp;IF(F377="sha256","text-utf8-sha256","value")&amp;CHAR(34)&amp;","&amp;CHAR(34)&amp;"transform"&amp;CHAR(34)&amp;":"&amp;CHAR(34)&amp;G377&amp;CHAR(34)&amp;"}")</f>
        <v/>
      </c>
      <c r="I377">
        <f>IF(E377&lt;&gt;"INCLUDE","","'|"&amp;B377&amp;"=', "&amp;IF(F377="date","if(string-length(string(${"&amp;B377&amp;"})) &gt; 0, format-date(${"&amp;B377&amp;"}, '%Y-%m-%d'), '')",IF(F377="sha256","digest(string(${"&amp;B377&amp;"}), 'SHA-256', 'hex')","string(${"&amp;B377&amp;"})")))</f>
        <v/>
      </c>
      <c r="J377">
        <f>IF(E377="INCLUDE","Included by explicit yes","Not included")</f>
        <v/>
      </c>
      <c r="K377">
        <f>K376&amp;IF(H377="","",","&amp;H377)</f>
        <v/>
      </c>
      <c r="L377">
        <f>L376&amp;IF(I377="","",","&amp;I377)</f>
        <v/>
      </c>
    </row>
    <row r="378">
      <c r="A378" t="n">
        <v>395</v>
      </c>
      <c r="B378">
        <f>survey!B395</f>
        <v/>
      </c>
      <c r="C378">
        <f>survey!A395</f>
        <v/>
      </c>
      <c r="D378" t="inlineStr"/>
      <c r="E378">
        <f>IF(OR(B378="",C378=""),"",IF(LOWER(D378)="yes","INCLUDE","EXCLUDE"))</f>
        <v/>
      </c>
      <c r="F378">
        <f>IF(E378&lt;&gt;"INCLUDE","",IF(LEFT(LOWER(C378),10)="select_one ","select_one",IF(LOWER(C378)="date","date",IF(OR(LOWER(C378)="integer",LOWER(C378)="decimal",LOWER(C378)="range"),LOWER(C378),"sha256"))))</f>
        <v/>
      </c>
      <c r="G378">
        <f>IF(E378&lt;&gt;"INCLUDE","",IF(F378="date","yyyy-mm-dd",IF(F378="select_one","stored-choice-name",IF(F378="sha256","odk-lexical-utf8-sha256","odk-canonical-scalar"))))</f>
        <v/>
      </c>
      <c r="H378">
        <f>IF(E378&lt;&gt;"INCLUDE","","{"&amp;CHAR(34)&amp;"path"&amp;CHAR(34)&amp;":"&amp;CHAR(34)&amp;B378&amp;CHAR(34)&amp;","&amp;CHAR(34)&amp;"type"&amp;CHAR(34)&amp;":"&amp;CHAR(34)&amp;F378&amp;CHAR(34)&amp;","&amp;CHAR(34)&amp;"xlsform_type"&amp;CHAR(34)&amp;":"&amp;CHAR(34)&amp;C378&amp;CHAR(34)&amp;","&amp;CHAR(34)&amp;"commitment"&amp;CHAR(34)&amp;":"&amp;CHAR(34)&amp;IF(F378="sha256","text-utf8-sha256","value")&amp;CHAR(34)&amp;","&amp;CHAR(34)&amp;"transform"&amp;CHAR(34)&amp;":"&amp;CHAR(34)&amp;G378&amp;CHAR(34)&amp;"}")</f>
        <v/>
      </c>
      <c r="I378">
        <f>IF(E378&lt;&gt;"INCLUDE","","'|"&amp;B378&amp;"=', "&amp;IF(F378="date","if(string-length(string(${"&amp;B378&amp;"})) &gt; 0, format-date(${"&amp;B378&amp;"}, '%Y-%m-%d'), '')",IF(F378="sha256","digest(string(${"&amp;B378&amp;"}), 'SHA-256', 'hex')","string(${"&amp;B378&amp;"})")))</f>
        <v/>
      </c>
      <c r="J378">
        <f>IF(E378="INCLUDE","Included by explicit yes","Not included")</f>
        <v/>
      </c>
      <c r="K378">
        <f>K377&amp;IF(H378="","",","&amp;H378)</f>
        <v/>
      </c>
      <c r="L378">
        <f>L377&amp;IF(I378="","",","&amp;I378)</f>
        <v/>
      </c>
    </row>
    <row r="379">
      <c r="A379" t="n">
        <v>396</v>
      </c>
      <c r="B379">
        <f>survey!B396</f>
        <v/>
      </c>
      <c r="C379">
        <f>survey!A396</f>
        <v/>
      </c>
      <c r="D379" t="inlineStr"/>
      <c r="E379">
        <f>IF(OR(B379="",C379=""),"",IF(LOWER(D379)="yes","INCLUDE","EXCLUDE"))</f>
        <v/>
      </c>
      <c r="F379">
        <f>IF(E379&lt;&gt;"INCLUDE","",IF(LEFT(LOWER(C379),10)="select_one ","select_one",IF(LOWER(C379)="date","date",IF(OR(LOWER(C379)="integer",LOWER(C379)="decimal",LOWER(C379)="range"),LOWER(C379),"sha256"))))</f>
        <v/>
      </c>
      <c r="G379">
        <f>IF(E379&lt;&gt;"INCLUDE","",IF(F379="date","yyyy-mm-dd",IF(F379="select_one","stored-choice-name",IF(F379="sha256","odk-lexical-utf8-sha256","odk-canonical-scalar"))))</f>
        <v/>
      </c>
      <c r="H379">
        <f>IF(E379&lt;&gt;"INCLUDE","","{"&amp;CHAR(34)&amp;"path"&amp;CHAR(34)&amp;":"&amp;CHAR(34)&amp;B379&amp;CHAR(34)&amp;","&amp;CHAR(34)&amp;"type"&amp;CHAR(34)&amp;":"&amp;CHAR(34)&amp;F379&amp;CHAR(34)&amp;","&amp;CHAR(34)&amp;"xlsform_type"&amp;CHAR(34)&amp;":"&amp;CHAR(34)&amp;C379&amp;CHAR(34)&amp;","&amp;CHAR(34)&amp;"commitment"&amp;CHAR(34)&amp;":"&amp;CHAR(34)&amp;IF(F379="sha256","text-utf8-sha256","value")&amp;CHAR(34)&amp;","&amp;CHAR(34)&amp;"transform"&amp;CHAR(34)&amp;":"&amp;CHAR(34)&amp;G379&amp;CHAR(34)&amp;"}")</f>
        <v/>
      </c>
      <c r="I379">
        <f>IF(E379&lt;&gt;"INCLUDE","","'|"&amp;B379&amp;"=', "&amp;IF(F379="date","if(string-length(string(${"&amp;B379&amp;"})) &gt; 0, format-date(${"&amp;B379&amp;"}, '%Y-%m-%d'), '')",IF(F379="sha256","digest(string(${"&amp;B379&amp;"}), 'SHA-256', 'hex')","string(${"&amp;B379&amp;"})")))</f>
        <v/>
      </c>
      <c r="J379">
        <f>IF(E379="INCLUDE","Included by explicit yes","Not included")</f>
        <v/>
      </c>
      <c r="K379">
        <f>K378&amp;IF(H379="","",","&amp;H379)</f>
        <v/>
      </c>
      <c r="L379">
        <f>L378&amp;IF(I379="","",","&amp;I379)</f>
        <v/>
      </c>
    </row>
    <row r="380">
      <c r="A380" t="n">
        <v>397</v>
      </c>
      <c r="B380">
        <f>survey!B397</f>
        <v/>
      </c>
      <c r="C380">
        <f>survey!A397</f>
        <v/>
      </c>
      <c r="D380" t="inlineStr"/>
      <c r="E380">
        <f>IF(OR(B380="",C380=""),"",IF(LOWER(D380)="yes","INCLUDE","EXCLUDE"))</f>
        <v/>
      </c>
      <c r="F380">
        <f>IF(E380&lt;&gt;"INCLUDE","",IF(LEFT(LOWER(C380),10)="select_one ","select_one",IF(LOWER(C380)="date","date",IF(OR(LOWER(C380)="integer",LOWER(C380)="decimal",LOWER(C380)="range"),LOWER(C380),"sha256"))))</f>
        <v/>
      </c>
      <c r="G380">
        <f>IF(E380&lt;&gt;"INCLUDE","",IF(F380="date","yyyy-mm-dd",IF(F380="select_one","stored-choice-name",IF(F380="sha256","odk-lexical-utf8-sha256","odk-canonical-scalar"))))</f>
        <v/>
      </c>
      <c r="H380">
        <f>IF(E380&lt;&gt;"INCLUDE","","{"&amp;CHAR(34)&amp;"path"&amp;CHAR(34)&amp;":"&amp;CHAR(34)&amp;B380&amp;CHAR(34)&amp;","&amp;CHAR(34)&amp;"type"&amp;CHAR(34)&amp;":"&amp;CHAR(34)&amp;F380&amp;CHAR(34)&amp;","&amp;CHAR(34)&amp;"xlsform_type"&amp;CHAR(34)&amp;":"&amp;CHAR(34)&amp;C380&amp;CHAR(34)&amp;","&amp;CHAR(34)&amp;"commitment"&amp;CHAR(34)&amp;":"&amp;CHAR(34)&amp;IF(F380="sha256","text-utf8-sha256","value")&amp;CHAR(34)&amp;","&amp;CHAR(34)&amp;"transform"&amp;CHAR(34)&amp;":"&amp;CHAR(34)&amp;G380&amp;CHAR(34)&amp;"}")</f>
        <v/>
      </c>
      <c r="I380">
        <f>IF(E380&lt;&gt;"INCLUDE","","'|"&amp;B380&amp;"=', "&amp;IF(F380="date","if(string-length(string(${"&amp;B380&amp;"})) &gt; 0, format-date(${"&amp;B380&amp;"}, '%Y-%m-%d'), '')",IF(F380="sha256","digest(string(${"&amp;B380&amp;"}), 'SHA-256', 'hex')","string(${"&amp;B380&amp;"})")))</f>
        <v/>
      </c>
      <c r="J380">
        <f>IF(E380="INCLUDE","Included by explicit yes","Not included")</f>
        <v/>
      </c>
      <c r="K380">
        <f>K379&amp;IF(H380="","",","&amp;H380)</f>
        <v/>
      </c>
      <c r="L380">
        <f>L379&amp;IF(I380="","",","&amp;I380)</f>
        <v/>
      </c>
    </row>
    <row r="381">
      <c r="A381" t="n">
        <v>398</v>
      </c>
      <c r="B381">
        <f>survey!B398</f>
        <v/>
      </c>
      <c r="C381">
        <f>survey!A398</f>
        <v/>
      </c>
      <c r="D381" t="inlineStr"/>
      <c r="E381">
        <f>IF(OR(B381="",C381=""),"",IF(LOWER(D381)="yes","INCLUDE","EXCLUDE"))</f>
        <v/>
      </c>
      <c r="F381">
        <f>IF(E381&lt;&gt;"INCLUDE","",IF(LEFT(LOWER(C381),10)="select_one ","select_one",IF(LOWER(C381)="date","date",IF(OR(LOWER(C381)="integer",LOWER(C381)="decimal",LOWER(C381)="range"),LOWER(C381),"sha256"))))</f>
        <v/>
      </c>
      <c r="G381">
        <f>IF(E381&lt;&gt;"INCLUDE","",IF(F381="date","yyyy-mm-dd",IF(F381="select_one","stored-choice-name",IF(F381="sha256","odk-lexical-utf8-sha256","odk-canonical-scalar"))))</f>
        <v/>
      </c>
      <c r="H381">
        <f>IF(E381&lt;&gt;"INCLUDE","","{"&amp;CHAR(34)&amp;"path"&amp;CHAR(34)&amp;":"&amp;CHAR(34)&amp;B381&amp;CHAR(34)&amp;","&amp;CHAR(34)&amp;"type"&amp;CHAR(34)&amp;":"&amp;CHAR(34)&amp;F381&amp;CHAR(34)&amp;","&amp;CHAR(34)&amp;"xlsform_type"&amp;CHAR(34)&amp;":"&amp;CHAR(34)&amp;C381&amp;CHAR(34)&amp;","&amp;CHAR(34)&amp;"commitment"&amp;CHAR(34)&amp;":"&amp;CHAR(34)&amp;IF(F381="sha256","text-utf8-sha256","value")&amp;CHAR(34)&amp;","&amp;CHAR(34)&amp;"transform"&amp;CHAR(34)&amp;":"&amp;CHAR(34)&amp;G381&amp;CHAR(34)&amp;"}")</f>
        <v/>
      </c>
      <c r="I381">
        <f>IF(E381&lt;&gt;"INCLUDE","","'|"&amp;B381&amp;"=', "&amp;IF(F381="date","if(string-length(string(${"&amp;B381&amp;"})) &gt; 0, format-date(${"&amp;B381&amp;"}, '%Y-%m-%d'), '')",IF(F381="sha256","digest(string(${"&amp;B381&amp;"}), 'SHA-256', 'hex')","string(${"&amp;B381&amp;"})")))</f>
        <v/>
      </c>
      <c r="J381">
        <f>IF(E381="INCLUDE","Included by explicit yes","Not included")</f>
        <v/>
      </c>
      <c r="K381">
        <f>K380&amp;IF(H381="","",","&amp;H381)</f>
        <v/>
      </c>
      <c r="L381">
        <f>L380&amp;IF(I381="","",","&amp;I381)</f>
        <v/>
      </c>
    </row>
    <row r="382">
      <c r="A382" t="n">
        <v>399</v>
      </c>
      <c r="B382">
        <f>survey!B399</f>
        <v/>
      </c>
      <c r="C382">
        <f>survey!A399</f>
        <v/>
      </c>
      <c r="D382" t="inlineStr"/>
      <c r="E382">
        <f>IF(OR(B382="",C382=""),"",IF(LOWER(D382)="yes","INCLUDE","EXCLUDE"))</f>
        <v/>
      </c>
      <c r="F382">
        <f>IF(E382&lt;&gt;"INCLUDE","",IF(LEFT(LOWER(C382),10)="select_one ","select_one",IF(LOWER(C382)="date","date",IF(OR(LOWER(C382)="integer",LOWER(C382)="decimal",LOWER(C382)="range"),LOWER(C382),"sha256"))))</f>
        <v/>
      </c>
      <c r="G382">
        <f>IF(E382&lt;&gt;"INCLUDE","",IF(F382="date","yyyy-mm-dd",IF(F382="select_one","stored-choice-name",IF(F382="sha256","odk-lexical-utf8-sha256","odk-canonical-scalar"))))</f>
        <v/>
      </c>
      <c r="H382">
        <f>IF(E382&lt;&gt;"INCLUDE","","{"&amp;CHAR(34)&amp;"path"&amp;CHAR(34)&amp;":"&amp;CHAR(34)&amp;B382&amp;CHAR(34)&amp;","&amp;CHAR(34)&amp;"type"&amp;CHAR(34)&amp;":"&amp;CHAR(34)&amp;F382&amp;CHAR(34)&amp;","&amp;CHAR(34)&amp;"xlsform_type"&amp;CHAR(34)&amp;":"&amp;CHAR(34)&amp;C382&amp;CHAR(34)&amp;","&amp;CHAR(34)&amp;"commitment"&amp;CHAR(34)&amp;":"&amp;CHAR(34)&amp;IF(F382="sha256","text-utf8-sha256","value")&amp;CHAR(34)&amp;","&amp;CHAR(34)&amp;"transform"&amp;CHAR(34)&amp;":"&amp;CHAR(34)&amp;G382&amp;CHAR(34)&amp;"}")</f>
        <v/>
      </c>
      <c r="I382">
        <f>IF(E382&lt;&gt;"INCLUDE","","'|"&amp;B382&amp;"=', "&amp;IF(F382="date","if(string-length(string(${"&amp;B382&amp;"})) &gt; 0, format-date(${"&amp;B382&amp;"}, '%Y-%m-%d'), '')",IF(F382="sha256","digest(string(${"&amp;B382&amp;"}), 'SHA-256', 'hex')","string(${"&amp;B382&amp;"})")))</f>
        <v/>
      </c>
      <c r="J382">
        <f>IF(E382="INCLUDE","Included by explicit yes","Not included")</f>
        <v/>
      </c>
      <c r="K382">
        <f>K381&amp;IF(H382="","",","&amp;H382)</f>
        <v/>
      </c>
      <c r="L382">
        <f>L381&amp;IF(I382="","",","&amp;I382)</f>
        <v/>
      </c>
    </row>
    <row r="383">
      <c r="A383" t="n">
        <v>400</v>
      </c>
      <c r="B383">
        <f>survey!B400</f>
        <v/>
      </c>
      <c r="C383">
        <f>survey!A400</f>
        <v/>
      </c>
      <c r="D383" t="inlineStr"/>
      <c r="E383">
        <f>IF(OR(B383="",C383=""),"",IF(LOWER(D383)="yes","INCLUDE","EXCLUDE"))</f>
        <v/>
      </c>
      <c r="F383">
        <f>IF(E383&lt;&gt;"INCLUDE","",IF(LEFT(LOWER(C383),10)="select_one ","select_one",IF(LOWER(C383)="date","date",IF(OR(LOWER(C383)="integer",LOWER(C383)="decimal",LOWER(C383)="range"),LOWER(C383),"sha256"))))</f>
        <v/>
      </c>
      <c r="G383">
        <f>IF(E383&lt;&gt;"INCLUDE","",IF(F383="date","yyyy-mm-dd",IF(F383="select_one","stored-choice-name",IF(F383="sha256","odk-lexical-utf8-sha256","odk-canonical-scalar"))))</f>
        <v/>
      </c>
      <c r="H383">
        <f>IF(E383&lt;&gt;"INCLUDE","","{"&amp;CHAR(34)&amp;"path"&amp;CHAR(34)&amp;":"&amp;CHAR(34)&amp;B383&amp;CHAR(34)&amp;","&amp;CHAR(34)&amp;"type"&amp;CHAR(34)&amp;":"&amp;CHAR(34)&amp;F383&amp;CHAR(34)&amp;","&amp;CHAR(34)&amp;"xlsform_type"&amp;CHAR(34)&amp;":"&amp;CHAR(34)&amp;C383&amp;CHAR(34)&amp;","&amp;CHAR(34)&amp;"commitment"&amp;CHAR(34)&amp;":"&amp;CHAR(34)&amp;IF(F383="sha256","text-utf8-sha256","value")&amp;CHAR(34)&amp;","&amp;CHAR(34)&amp;"transform"&amp;CHAR(34)&amp;":"&amp;CHAR(34)&amp;G383&amp;CHAR(34)&amp;"}")</f>
        <v/>
      </c>
      <c r="I383">
        <f>IF(E383&lt;&gt;"INCLUDE","","'|"&amp;B383&amp;"=', "&amp;IF(F383="date","if(string-length(string(${"&amp;B383&amp;"})) &gt; 0, format-date(${"&amp;B383&amp;"}, '%Y-%m-%d'), '')",IF(F383="sha256","digest(string(${"&amp;B383&amp;"}), 'SHA-256', 'hex')","string(${"&amp;B383&amp;"})")))</f>
        <v/>
      </c>
      <c r="J383">
        <f>IF(E383="INCLUDE","Included by explicit yes","Not included")</f>
        <v/>
      </c>
      <c r="K383">
        <f>K382&amp;IF(H383="","",","&amp;H383)</f>
        <v/>
      </c>
      <c r="L383">
        <f>L382&amp;IF(I383="","",","&amp;I383)</f>
        <v/>
      </c>
    </row>
    <row r="384">
      <c r="A384" t="n">
        <v>401</v>
      </c>
      <c r="B384">
        <f>survey!B401</f>
        <v/>
      </c>
      <c r="C384">
        <f>survey!A401</f>
        <v/>
      </c>
      <c r="D384" t="inlineStr"/>
      <c r="E384">
        <f>IF(OR(B384="",C384=""),"",IF(LOWER(D384)="yes","INCLUDE","EXCLUDE"))</f>
        <v/>
      </c>
      <c r="F384">
        <f>IF(E384&lt;&gt;"INCLUDE","",IF(LEFT(LOWER(C384),10)="select_one ","select_one",IF(LOWER(C384)="date","date",IF(OR(LOWER(C384)="integer",LOWER(C384)="decimal",LOWER(C384)="range"),LOWER(C384),"sha256"))))</f>
        <v/>
      </c>
      <c r="G384">
        <f>IF(E384&lt;&gt;"INCLUDE","",IF(F384="date","yyyy-mm-dd",IF(F384="select_one","stored-choice-name",IF(F384="sha256","odk-lexical-utf8-sha256","odk-canonical-scalar"))))</f>
        <v/>
      </c>
      <c r="H384">
        <f>IF(E384&lt;&gt;"INCLUDE","","{"&amp;CHAR(34)&amp;"path"&amp;CHAR(34)&amp;":"&amp;CHAR(34)&amp;B384&amp;CHAR(34)&amp;","&amp;CHAR(34)&amp;"type"&amp;CHAR(34)&amp;":"&amp;CHAR(34)&amp;F384&amp;CHAR(34)&amp;","&amp;CHAR(34)&amp;"xlsform_type"&amp;CHAR(34)&amp;":"&amp;CHAR(34)&amp;C384&amp;CHAR(34)&amp;","&amp;CHAR(34)&amp;"commitment"&amp;CHAR(34)&amp;":"&amp;CHAR(34)&amp;IF(F384="sha256","text-utf8-sha256","value")&amp;CHAR(34)&amp;","&amp;CHAR(34)&amp;"transform"&amp;CHAR(34)&amp;":"&amp;CHAR(34)&amp;G384&amp;CHAR(34)&amp;"}")</f>
        <v/>
      </c>
      <c r="I384">
        <f>IF(E384&lt;&gt;"INCLUDE","","'|"&amp;B384&amp;"=', "&amp;IF(F384="date","if(string-length(string(${"&amp;B384&amp;"})) &gt; 0, format-date(${"&amp;B384&amp;"}, '%Y-%m-%d'), '')",IF(F384="sha256","digest(string(${"&amp;B384&amp;"}), 'SHA-256', 'hex')","string(${"&amp;B384&amp;"})")))</f>
        <v/>
      </c>
      <c r="J384">
        <f>IF(E384="INCLUDE","Included by explicit yes","Not included")</f>
        <v/>
      </c>
      <c r="K384">
        <f>K383&amp;IF(H384="","",","&amp;H384)</f>
        <v/>
      </c>
      <c r="L384">
        <f>L383&amp;IF(I384="","",","&amp;I384)</f>
        <v/>
      </c>
    </row>
    <row r="385">
      <c r="A385" t="n">
        <v>402</v>
      </c>
      <c r="B385">
        <f>survey!B402</f>
        <v/>
      </c>
      <c r="C385">
        <f>survey!A402</f>
        <v/>
      </c>
      <c r="D385" t="inlineStr"/>
      <c r="E385">
        <f>IF(OR(B385="",C385=""),"",IF(LOWER(D385)="yes","INCLUDE","EXCLUDE"))</f>
        <v/>
      </c>
      <c r="F385">
        <f>IF(E385&lt;&gt;"INCLUDE","",IF(LEFT(LOWER(C385),10)="select_one ","select_one",IF(LOWER(C385)="date","date",IF(OR(LOWER(C385)="integer",LOWER(C385)="decimal",LOWER(C385)="range"),LOWER(C385),"sha256"))))</f>
        <v/>
      </c>
      <c r="G385">
        <f>IF(E385&lt;&gt;"INCLUDE","",IF(F385="date","yyyy-mm-dd",IF(F385="select_one","stored-choice-name",IF(F385="sha256","odk-lexical-utf8-sha256","odk-canonical-scalar"))))</f>
        <v/>
      </c>
      <c r="H385">
        <f>IF(E385&lt;&gt;"INCLUDE","","{"&amp;CHAR(34)&amp;"path"&amp;CHAR(34)&amp;":"&amp;CHAR(34)&amp;B385&amp;CHAR(34)&amp;","&amp;CHAR(34)&amp;"type"&amp;CHAR(34)&amp;":"&amp;CHAR(34)&amp;F385&amp;CHAR(34)&amp;","&amp;CHAR(34)&amp;"xlsform_type"&amp;CHAR(34)&amp;":"&amp;CHAR(34)&amp;C385&amp;CHAR(34)&amp;","&amp;CHAR(34)&amp;"commitment"&amp;CHAR(34)&amp;":"&amp;CHAR(34)&amp;IF(F385="sha256","text-utf8-sha256","value")&amp;CHAR(34)&amp;","&amp;CHAR(34)&amp;"transform"&amp;CHAR(34)&amp;":"&amp;CHAR(34)&amp;G385&amp;CHAR(34)&amp;"}")</f>
        <v/>
      </c>
      <c r="I385">
        <f>IF(E385&lt;&gt;"INCLUDE","","'|"&amp;B385&amp;"=', "&amp;IF(F385="date","if(string-length(string(${"&amp;B385&amp;"})) &gt; 0, format-date(${"&amp;B385&amp;"}, '%Y-%m-%d'), '')",IF(F385="sha256","digest(string(${"&amp;B385&amp;"}), 'SHA-256', 'hex')","string(${"&amp;B385&amp;"})")))</f>
        <v/>
      </c>
      <c r="J385">
        <f>IF(E385="INCLUDE","Included by explicit yes","Not included")</f>
        <v/>
      </c>
      <c r="K385">
        <f>K384&amp;IF(H385="","",","&amp;H385)</f>
        <v/>
      </c>
      <c r="L385">
        <f>L384&amp;IF(I385="","",","&amp;I385)</f>
        <v/>
      </c>
    </row>
    <row r="386">
      <c r="A386" t="n">
        <v>403</v>
      </c>
      <c r="B386">
        <f>survey!B403</f>
        <v/>
      </c>
      <c r="C386">
        <f>survey!A403</f>
        <v/>
      </c>
      <c r="D386" t="inlineStr"/>
      <c r="E386">
        <f>IF(OR(B386="",C386=""),"",IF(LOWER(D386)="yes","INCLUDE","EXCLUDE"))</f>
        <v/>
      </c>
      <c r="F386">
        <f>IF(E386&lt;&gt;"INCLUDE","",IF(LEFT(LOWER(C386),10)="select_one ","select_one",IF(LOWER(C386)="date","date",IF(OR(LOWER(C386)="integer",LOWER(C386)="decimal",LOWER(C386)="range"),LOWER(C386),"sha256"))))</f>
        <v/>
      </c>
      <c r="G386">
        <f>IF(E386&lt;&gt;"INCLUDE","",IF(F386="date","yyyy-mm-dd",IF(F386="select_one","stored-choice-name",IF(F386="sha256","odk-lexical-utf8-sha256","odk-canonical-scalar"))))</f>
        <v/>
      </c>
      <c r="H386">
        <f>IF(E386&lt;&gt;"INCLUDE","","{"&amp;CHAR(34)&amp;"path"&amp;CHAR(34)&amp;":"&amp;CHAR(34)&amp;B386&amp;CHAR(34)&amp;","&amp;CHAR(34)&amp;"type"&amp;CHAR(34)&amp;":"&amp;CHAR(34)&amp;F386&amp;CHAR(34)&amp;","&amp;CHAR(34)&amp;"xlsform_type"&amp;CHAR(34)&amp;":"&amp;CHAR(34)&amp;C386&amp;CHAR(34)&amp;","&amp;CHAR(34)&amp;"commitment"&amp;CHAR(34)&amp;":"&amp;CHAR(34)&amp;IF(F386="sha256","text-utf8-sha256","value")&amp;CHAR(34)&amp;","&amp;CHAR(34)&amp;"transform"&amp;CHAR(34)&amp;":"&amp;CHAR(34)&amp;G386&amp;CHAR(34)&amp;"}")</f>
        <v/>
      </c>
      <c r="I386">
        <f>IF(E386&lt;&gt;"INCLUDE","","'|"&amp;B386&amp;"=', "&amp;IF(F386="date","if(string-length(string(${"&amp;B386&amp;"})) &gt; 0, format-date(${"&amp;B386&amp;"}, '%Y-%m-%d'), '')",IF(F386="sha256","digest(string(${"&amp;B386&amp;"}), 'SHA-256', 'hex')","string(${"&amp;B386&amp;"})")))</f>
        <v/>
      </c>
      <c r="J386">
        <f>IF(E386="INCLUDE","Included by explicit yes","Not included")</f>
        <v/>
      </c>
      <c r="K386">
        <f>K385&amp;IF(H386="","",","&amp;H386)</f>
        <v/>
      </c>
      <c r="L386">
        <f>L385&amp;IF(I386="","",","&amp;I386)</f>
        <v/>
      </c>
    </row>
    <row r="387">
      <c r="A387" t="n">
        <v>404</v>
      </c>
      <c r="B387">
        <f>survey!B404</f>
        <v/>
      </c>
      <c r="C387">
        <f>survey!A404</f>
        <v/>
      </c>
      <c r="D387" t="inlineStr"/>
      <c r="E387">
        <f>IF(OR(B387="",C387=""),"",IF(LOWER(D387)="yes","INCLUDE","EXCLUDE"))</f>
        <v/>
      </c>
      <c r="F387">
        <f>IF(E387&lt;&gt;"INCLUDE","",IF(LEFT(LOWER(C387),10)="select_one ","select_one",IF(LOWER(C387)="date","date",IF(OR(LOWER(C387)="integer",LOWER(C387)="decimal",LOWER(C387)="range"),LOWER(C387),"sha256"))))</f>
        <v/>
      </c>
      <c r="G387">
        <f>IF(E387&lt;&gt;"INCLUDE","",IF(F387="date","yyyy-mm-dd",IF(F387="select_one","stored-choice-name",IF(F387="sha256","odk-lexical-utf8-sha256","odk-canonical-scalar"))))</f>
        <v/>
      </c>
      <c r="H387">
        <f>IF(E387&lt;&gt;"INCLUDE","","{"&amp;CHAR(34)&amp;"path"&amp;CHAR(34)&amp;":"&amp;CHAR(34)&amp;B387&amp;CHAR(34)&amp;","&amp;CHAR(34)&amp;"type"&amp;CHAR(34)&amp;":"&amp;CHAR(34)&amp;F387&amp;CHAR(34)&amp;","&amp;CHAR(34)&amp;"xlsform_type"&amp;CHAR(34)&amp;":"&amp;CHAR(34)&amp;C387&amp;CHAR(34)&amp;","&amp;CHAR(34)&amp;"commitment"&amp;CHAR(34)&amp;":"&amp;CHAR(34)&amp;IF(F387="sha256","text-utf8-sha256","value")&amp;CHAR(34)&amp;","&amp;CHAR(34)&amp;"transform"&amp;CHAR(34)&amp;":"&amp;CHAR(34)&amp;G387&amp;CHAR(34)&amp;"}")</f>
        <v/>
      </c>
      <c r="I387">
        <f>IF(E387&lt;&gt;"INCLUDE","","'|"&amp;B387&amp;"=', "&amp;IF(F387="date","if(string-length(string(${"&amp;B387&amp;"})) &gt; 0, format-date(${"&amp;B387&amp;"}, '%Y-%m-%d'), '')",IF(F387="sha256","digest(string(${"&amp;B387&amp;"}), 'SHA-256', 'hex')","string(${"&amp;B387&amp;"})")))</f>
        <v/>
      </c>
      <c r="J387">
        <f>IF(E387="INCLUDE","Included by explicit yes","Not included")</f>
        <v/>
      </c>
      <c r="K387">
        <f>K386&amp;IF(H387="","",","&amp;H387)</f>
        <v/>
      </c>
      <c r="L387">
        <f>L386&amp;IF(I387="","",","&amp;I387)</f>
        <v/>
      </c>
    </row>
    <row r="388">
      <c r="A388" t="n">
        <v>405</v>
      </c>
      <c r="B388">
        <f>survey!B405</f>
        <v/>
      </c>
      <c r="C388">
        <f>survey!A405</f>
        <v/>
      </c>
      <c r="D388" t="inlineStr"/>
      <c r="E388">
        <f>IF(OR(B388="",C388=""),"",IF(LOWER(D388)="yes","INCLUDE","EXCLUDE"))</f>
        <v/>
      </c>
      <c r="F388">
        <f>IF(E388&lt;&gt;"INCLUDE","",IF(LEFT(LOWER(C388),10)="select_one ","select_one",IF(LOWER(C388)="date","date",IF(OR(LOWER(C388)="integer",LOWER(C388)="decimal",LOWER(C388)="range"),LOWER(C388),"sha256"))))</f>
        <v/>
      </c>
      <c r="G388">
        <f>IF(E388&lt;&gt;"INCLUDE","",IF(F388="date","yyyy-mm-dd",IF(F388="select_one","stored-choice-name",IF(F388="sha256","odk-lexical-utf8-sha256","odk-canonical-scalar"))))</f>
        <v/>
      </c>
      <c r="H388">
        <f>IF(E388&lt;&gt;"INCLUDE","","{"&amp;CHAR(34)&amp;"path"&amp;CHAR(34)&amp;":"&amp;CHAR(34)&amp;B388&amp;CHAR(34)&amp;","&amp;CHAR(34)&amp;"type"&amp;CHAR(34)&amp;":"&amp;CHAR(34)&amp;F388&amp;CHAR(34)&amp;","&amp;CHAR(34)&amp;"xlsform_type"&amp;CHAR(34)&amp;":"&amp;CHAR(34)&amp;C388&amp;CHAR(34)&amp;","&amp;CHAR(34)&amp;"commitment"&amp;CHAR(34)&amp;":"&amp;CHAR(34)&amp;IF(F388="sha256","text-utf8-sha256","value")&amp;CHAR(34)&amp;","&amp;CHAR(34)&amp;"transform"&amp;CHAR(34)&amp;":"&amp;CHAR(34)&amp;G388&amp;CHAR(34)&amp;"}")</f>
        <v/>
      </c>
      <c r="I388">
        <f>IF(E388&lt;&gt;"INCLUDE","","'|"&amp;B388&amp;"=', "&amp;IF(F388="date","if(string-length(string(${"&amp;B388&amp;"})) &gt; 0, format-date(${"&amp;B388&amp;"}, '%Y-%m-%d'), '')",IF(F388="sha256","digest(string(${"&amp;B388&amp;"}), 'SHA-256', 'hex')","string(${"&amp;B388&amp;"})")))</f>
        <v/>
      </c>
      <c r="J388">
        <f>IF(E388="INCLUDE","Included by explicit yes","Not included")</f>
        <v/>
      </c>
      <c r="K388">
        <f>K387&amp;IF(H388="","",","&amp;H388)</f>
        <v/>
      </c>
      <c r="L388">
        <f>L387&amp;IF(I388="","",","&amp;I388)</f>
        <v/>
      </c>
    </row>
    <row r="389">
      <c r="A389" t="n">
        <v>406</v>
      </c>
      <c r="B389">
        <f>survey!B406</f>
        <v/>
      </c>
      <c r="C389">
        <f>survey!A406</f>
        <v/>
      </c>
      <c r="D389" t="inlineStr"/>
      <c r="E389">
        <f>IF(OR(B389="",C389=""),"",IF(LOWER(D389)="yes","INCLUDE","EXCLUDE"))</f>
        <v/>
      </c>
      <c r="F389">
        <f>IF(E389&lt;&gt;"INCLUDE","",IF(LEFT(LOWER(C389),10)="select_one ","select_one",IF(LOWER(C389)="date","date",IF(OR(LOWER(C389)="integer",LOWER(C389)="decimal",LOWER(C389)="range"),LOWER(C389),"sha256"))))</f>
        <v/>
      </c>
      <c r="G389">
        <f>IF(E389&lt;&gt;"INCLUDE","",IF(F389="date","yyyy-mm-dd",IF(F389="select_one","stored-choice-name",IF(F389="sha256","odk-lexical-utf8-sha256","odk-canonical-scalar"))))</f>
        <v/>
      </c>
      <c r="H389">
        <f>IF(E389&lt;&gt;"INCLUDE","","{"&amp;CHAR(34)&amp;"path"&amp;CHAR(34)&amp;":"&amp;CHAR(34)&amp;B389&amp;CHAR(34)&amp;","&amp;CHAR(34)&amp;"type"&amp;CHAR(34)&amp;":"&amp;CHAR(34)&amp;F389&amp;CHAR(34)&amp;","&amp;CHAR(34)&amp;"xlsform_type"&amp;CHAR(34)&amp;":"&amp;CHAR(34)&amp;C389&amp;CHAR(34)&amp;","&amp;CHAR(34)&amp;"commitment"&amp;CHAR(34)&amp;":"&amp;CHAR(34)&amp;IF(F389="sha256","text-utf8-sha256","value")&amp;CHAR(34)&amp;","&amp;CHAR(34)&amp;"transform"&amp;CHAR(34)&amp;":"&amp;CHAR(34)&amp;G389&amp;CHAR(34)&amp;"}")</f>
        <v/>
      </c>
      <c r="I389">
        <f>IF(E389&lt;&gt;"INCLUDE","","'|"&amp;B389&amp;"=', "&amp;IF(F389="date","if(string-length(string(${"&amp;B389&amp;"})) &gt; 0, format-date(${"&amp;B389&amp;"}, '%Y-%m-%d'), '')",IF(F389="sha256","digest(string(${"&amp;B389&amp;"}), 'SHA-256', 'hex')","string(${"&amp;B389&amp;"})")))</f>
        <v/>
      </c>
      <c r="J389">
        <f>IF(E389="INCLUDE","Included by explicit yes","Not included")</f>
        <v/>
      </c>
      <c r="K389">
        <f>K388&amp;IF(H389="","",","&amp;H389)</f>
        <v/>
      </c>
      <c r="L389">
        <f>L388&amp;IF(I389="","",","&amp;I389)</f>
        <v/>
      </c>
    </row>
    <row r="390">
      <c r="A390" t="n">
        <v>407</v>
      </c>
      <c r="B390">
        <f>survey!B407</f>
        <v/>
      </c>
      <c r="C390">
        <f>survey!A407</f>
        <v/>
      </c>
      <c r="D390" t="inlineStr"/>
      <c r="E390">
        <f>IF(OR(B390="",C390=""),"",IF(LOWER(D390)="yes","INCLUDE","EXCLUDE"))</f>
        <v/>
      </c>
      <c r="F390">
        <f>IF(E390&lt;&gt;"INCLUDE","",IF(LEFT(LOWER(C390),10)="select_one ","select_one",IF(LOWER(C390)="date","date",IF(OR(LOWER(C390)="integer",LOWER(C390)="decimal",LOWER(C390)="range"),LOWER(C390),"sha256"))))</f>
        <v/>
      </c>
      <c r="G390">
        <f>IF(E390&lt;&gt;"INCLUDE","",IF(F390="date","yyyy-mm-dd",IF(F390="select_one","stored-choice-name",IF(F390="sha256","odk-lexical-utf8-sha256","odk-canonical-scalar"))))</f>
        <v/>
      </c>
      <c r="H390">
        <f>IF(E390&lt;&gt;"INCLUDE","","{"&amp;CHAR(34)&amp;"path"&amp;CHAR(34)&amp;":"&amp;CHAR(34)&amp;B390&amp;CHAR(34)&amp;","&amp;CHAR(34)&amp;"type"&amp;CHAR(34)&amp;":"&amp;CHAR(34)&amp;F390&amp;CHAR(34)&amp;","&amp;CHAR(34)&amp;"xlsform_type"&amp;CHAR(34)&amp;":"&amp;CHAR(34)&amp;C390&amp;CHAR(34)&amp;","&amp;CHAR(34)&amp;"commitment"&amp;CHAR(34)&amp;":"&amp;CHAR(34)&amp;IF(F390="sha256","text-utf8-sha256","value")&amp;CHAR(34)&amp;","&amp;CHAR(34)&amp;"transform"&amp;CHAR(34)&amp;":"&amp;CHAR(34)&amp;G390&amp;CHAR(34)&amp;"}")</f>
        <v/>
      </c>
      <c r="I390">
        <f>IF(E390&lt;&gt;"INCLUDE","","'|"&amp;B390&amp;"=', "&amp;IF(F390="date","if(string-length(string(${"&amp;B390&amp;"})) &gt; 0, format-date(${"&amp;B390&amp;"}, '%Y-%m-%d'), '')",IF(F390="sha256","digest(string(${"&amp;B390&amp;"}), 'SHA-256', 'hex')","string(${"&amp;B390&amp;"})")))</f>
        <v/>
      </c>
      <c r="J390">
        <f>IF(E390="INCLUDE","Included by explicit yes","Not included")</f>
        <v/>
      </c>
      <c r="K390">
        <f>K389&amp;IF(H390="","",","&amp;H390)</f>
        <v/>
      </c>
      <c r="L390">
        <f>L389&amp;IF(I390="","",","&amp;I390)</f>
        <v/>
      </c>
    </row>
    <row r="391">
      <c r="A391" t="n">
        <v>408</v>
      </c>
      <c r="B391">
        <f>survey!B408</f>
        <v/>
      </c>
      <c r="C391">
        <f>survey!A408</f>
        <v/>
      </c>
      <c r="D391" t="inlineStr"/>
      <c r="E391">
        <f>IF(OR(B391="",C391=""),"",IF(LOWER(D391)="yes","INCLUDE","EXCLUDE"))</f>
        <v/>
      </c>
      <c r="F391">
        <f>IF(E391&lt;&gt;"INCLUDE","",IF(LEFT(LOWER(C391),10)="select_one ","select_one",IF(LOWER(C391)="date","date",IF(OR(LOWER(C391)="integer",LOWER(C391)="decimal",LOWER(C391)="range"),LOWER(C391),"sha256"))))</f>
        <v/>
      </c>
      <c r="G391">
        <f>IF(E391&lt;&gt;"INCLUDE","",IF(F391="date","yyyy-mm-dd",IF(F391="select_one","stored-choice-name",IF(F391="sha256","odk-lexical-utf8-sha256","odk-canonical-scalar"))))</f>
        <v/>
      </c>
      <c r="H391">
        <f>IF(E391&lt;&gt;"INCLUDE","","{"&amp;CHAR(34)&amp;"path"&amp;CHAR(34)&amp;":"&amp;CHAR(34)&amp;B391&amp;CHAR(34)&amp;","&amp;CHAR(34)&amp;"type"&amp;CHAR(34)&amp;":"&amp;CHAR(34)&amp;F391&amp;CHAR(34)&amp;","&amp;CHAR(34)&amp;"xlsform_type"&amp;CHAR(34)&amp;":"&amp;CHAR(34)&amp;C391&amp;CHAR(34)&amp;","&amp;CHAR(34)&amp;"commitment"&amp;CHAR(34)&amp;":"&amp;CHAR(34)&amp;IF(F391="sha256","text-utf8-sha256","value")&amp;CHAR(34)&amp;","&amp;CHAR(34)&amp;"transform"&amp;CHAR(34)&amp;":"&amp;CHAR(34)&amp;G391&amp;CHAR(34)&amp;"}")</f>
        <v/>
      </c>
      <c r="I391">
        <f>IF(E391&lt;&gt;"INCLUDE","","'|"&amp;B391&amp;"=', "&amp;IF(F391="date","if(string-length(string(${"&amp;B391&amp;"})) &gt; 0, format-date(${"&amp;B391&amp;"}, '%Y-%m-%d'), '')",IF(F391="sha256","digest(string(${"&amp;B391&amp;"}), 'SHA-256', 'hex')","string(${"&amp;B391&amp;"})")))</f>
        <v/>
      </c>
      <c r="J391">
        <f>IF(E391="INCLUDE","Included by explicit yes","Not included")</f>
        <v/>
      </c>
      <c r="K391">
        <f>K390&amp;IF(H391="","",","&amp;H391)</f>
        <v/>
      </c>
      <c r="L391">
        <f>L390&amp;IF(I391="","",","&amp;I391)</f>
        <v/>
      </c>
    </row>
    <row r="392">
      <c r="A392" t="n">
        <v>409</v>
      </c>
      <c r="B392">
        <f>survey!B409</f>
        <v/>
      </c>
      <c r="C392">
        <f>survey!A409</f>
        <v/>
      </c>
      <c r="D392" t="inlineStr"/>
      <c r="E392">
        <f>IF(OR(B392="",C392=""),"",IF(LOWER(D392)="yes","INCLUDE","EXCLUDE"))</f>
        <v/>
      </c>
      <c r="F392">
        <f>IF(E392&lt;&gt;"INCLUDE","",IF(LEFT(LOWER(C392),10)="select_one ","select_one",IF(LOWER(C392)="date","date",IF(OR(LOWER(C392)="integer",LOWER(C392)="decimal",LOWER(C392)="range"),LOWER(C392),"sha256"))))</f>
        <v/>
      </c>
      <c r="G392">
        <f>IF(E392&lt;&gt;"INCLUDE","",IF(F392="date","yyyy-mm-dd",IF(F392="select_one","stored-choice-name",IF(F392="sha256","odk-lexical-utf8-sha256","odk-canonical-scalar"))))</f>
        <v/>
      </c>
      <c r="H392">
        <f>IF(E392&lt;&gt;"INCLUDE","","{"&amp;CHAR(34)&amp;"path"&amp;CHAR(34)&amp;":"&amp;CHAR(34)&amp;B392&amp;CHAR(34)&amp;","&amp;CHAR(34)&amp;"type"&amp;CHAR(34)&amp;":"&amp;CHAR(34)&amp;F392&amp;CHAR(34)&amp;","&amp;CHAR(34)&amp;"xlsform_type"&amp;CHAR(34)&amp;":"&amp;CHAR(34)&amp;C392&amp;CHAR(34)&amp;","&amp;CHAR(34)&amp;"commitment"&amp;CHAR(34)&amp;":"&amp;CHAR(34)&amp;IF(F392="sha256","text-utf8-sha256","value")&amp;CHAR(34)&amp;","&amp;CHAR(34)&amp;"transform"&amp;CHAR(34)&amp;":"&amp;CHAR(34)&amp;G392&amp;CHAR(34)&amp;"}")</f>
        <v/>
      </c>
      <c r="I392">
        <f>IF(E392&lt;&gt;"INCLUDE","","'|"&amp;B392&amp;"=', "&amp;IF(F392="date","if(string-length(string(${"&amp;B392&amp;"})) &gt; 0, format-date(${"&amp;B392&amp;"}, '%Y-%m-%d'), '')",IF(F392="sha256","digest(string(${"&amp;B392&amp;"}), 'SHA-256', 'hex')","string(${"&amp;B392&amp;"})")))</f>
        <v/>
      </c>
      <c r="J392">
        <f>IF(E392="INCLUDE","Included by explicit yes","Not included")</f>
        <v/>
      </c>
      <c r="K392">
        <f>K391&amp;IF(H392="","",","&amp;H392)</f>
        <v/>
      </c>
      <c r="L392">
        <f>L391&amp;IF(I392="","",","&amp;I392)</f>
        <v/>
      </c>
    </row>
    <row r="393">
      <c r="A393" t="n">
        <v>410</v>
      </c>
      <c r="B393">
        <f>survey!B410</f>
        <v/>
      </c>
      <c r="C393">
        <f>survey!A410</f>
        <v/>
      </c>
      <c r="D393" t="inlineStr"/>
      <c r="E393">
        <f>IF(OR(B393="",C393=""),"",IF(LOWER(D393)="yes","INCLUDE","EXCLUDE"))</f>
        <v/>
      </c>
      <c r="F393">
        <f>IF(E393&lt;&gt;"INCLUDE","",IF(LEFT(LOWER(C393),10)="select_one ","select_one",IF(LOWER(C393)="date","date",IF(OR(LOWER(C393)="integer",LOWER(C393)="decimal",LOWER(C393)="range"),LOWER(C393),"sha256"))))</f>
        <v/>
      </c>
      <c r="G393">
        <f>IF(E393&lt;&gt;"INCLUDE","",IF(F393="date","yyyy-mm-dd",IF(F393="select_one","stored-choice-name",IF(F393="sha256","odk-lexical-utf8-sha256","odk-canonical-scalar"))))</f>
        <v/>
      </c>
      <c r="H393">
        <f>IF(E393&lt;&gt;"INCLUDE","","{"&amp;CHAR(34)&amp;"path"&amp;CHAR(34)&amp;":"&amp;CHAR(34)&amp;B393&amp;CHAR(34)&amp;","&amp;CHAR(34)&amp;"type"&amp;CHAR(34)&amp;":"&amp;CHAR(34)&amp;F393&amp;CHAR(34)&amp;","&amp;CHAR(34)&amp;"xlsform_type"&amp;CHAR(34)&amp;":"&amp;CHAR(34)&amp;C393&amp;CHAR(34)&amp;","&amp;CHAR(34)&amp;"commitment"&amp;CHAR(34)&amp;":"&amp;CHAR(34)&amp;IF(F393="sha256","text-utf8-sha256","value")&amp;CHAR(34)&amp;","&amp;CHAR(34)&amp;"transform"&amp;CHAR(34)&amp;":"&amp;CHAR(34)&amp;G393&amp;CHAR(34)&amp;"}")</f>
        <v/>
      </c>
      <c r="I393">
        <f>IF(E393&lt;&gt;"INCLUDE","","'|"&amp;B393&amp;"=', "&amp;IF(F393="date","if(string-length(string(${"&amp;B393&amp;"})) &gt; 0, format-date(${"&amp;B393&amp;"}, '%Y-%m-%d'), '')",IF(F393="sha256","digest(string(${"&amp;B393&amp;"}), 'SHA-256', 'hex')","string(${"&amp;B393&amp;"})")))</f>
        <v/>
      </c>
      <c r="J393">
        <f>IF(E393="INCLUDE","Included by explicit yes","Not included")</f>
        <v/>
      </c>
      <c r="K393">
        <f>K392&amp;IF(H393="","",","&amp;H393)</f>
        <v/>
      </c>
      <c r="L393">
        <f>L392&amp;IF(I393="","",","&amp;I393)</f>
        <v/>
      </c>
    </row>
    <row r="394">
      <c r="A394" t="n">
        <v>411</v>
      </c>
      <c r="B394">
        <f>survey!B411</f>
        <v/>
      </c>
      <c r="C394">
        <f>survey!A411</f>
        <v/>
      </c>
      <c r="D394" t="inlineStr"/>
      <c r="E394">
        <f>IF(OR(B394="",C394=""),"",IF(LOWER(D394)="yes","INCLUDE","EXCLUDE"))</f>
        <v/>
      </c>
      <c r="F394">
        <f>IF(E394&lt;&gt;"INCLUDE","",IF(LEFT(LOWER(C394),10)="select_one ","select_one",IF(LOWER(C394)="date","date",IF(OR(LOWER(C394)="integer",LOWER(C394)="decimal",LOWER(C394)="range"),LOWER(C394),"sha256"))))</f>
        <v/>
      </c>
      <c r="G394">
        <f>IF(E394&lt;&gt;"INCLUDE","",IF(F394="date","yyyy-mm-dd",IF(F394="select_one","stored-choice-name",IF(F394="sha256","odk-lexical-utf8-sha256","odk-canonical-scalar"))))</f>
        <v/>
      </c>
      <c r="H394">
        <f>IF(E394&lt;&gt;"INCLUDE","","{"&amp;CHAR(34)&amp;"path"&amp;CHAR(34)&amp;":"&amp;CHAR(34)&amp;B394&amp;CHAR(34)&amp;","&amp;CHAR(34)&amp;"type"&amp;CHAR(34)&amp;":"&amp;CHAR(34)&amp;F394&amp;CHAR(34)&amp;","&amp;CHAR(34)&amp;"xlsform_type"&amp;CHAR(34)&amp;":"&amp;CHAR(34)&amp;C394&amp;CHAR(34)&amp;","&amp;CHAR(34)&amp;"commitment"&amp;CHAR(34)&amp;":"&amp;CHAR(34)&amp;IF(F394="sha256","text-utf8-sha256","value")&amp;CHAR(34)&amp;","&amp;CHAR(34)&amp;"transform"&amp;CHAR(34)&amp;":"&amp;CHAR(34)&amp;G394&amp;CHAR(34)&amp;"}")</f>
        <v/>
      </c>
      <c r="I394">
        <f>IF(E394&lt;&gt;"INCLUDE","","'|"&amp;B394&amp;"=', "&amp;IF(F394="date","if(string-length(string(${"&amp;B394&amp;"})) &gt; 0, format-date(${"&amp;B394&amp;"}, '%Y-%m-%d'), '')",IF(F394="sha256","digest(string(${"&amp;B394&amp;"}), 'SHA-256', 'hex')","string(${"&amp;B394&amp;"})")))</f>
        <v/>
      </c>
      <c r="J394">
        <f>IF(E394="INCLUDE","Included by explicit yes","Not included")</f>
        <v/>
      </c>
      <c r="K394">
        <f>K393&amp;IF(H394="","",","&amp;H394)</f>
        <v/>
      </c>
      <c r="L394">
        <f>L393&amp;IF(I394="","",","&amp;I394)</f>
        <v/>
      </c>
    </row>
    <row r="395">
      <c r="A395" t="n">
        <v>412</v>
      </c>
      <c r="B395">
        <f>survey!B412</f>
        <v/>
      </c>
      <c r="C395">
        <f>survey!A412</f>
        <v/>
      </c>
      <c r="D395" t="inlineStr"/>
      <c r="E395">
        <f>IF(OR(B395="",C395=""),"",IF(LOWER(D395)="yes","INCLUDE","EXCLUDE"))</f>
        <v/>
      </c>
      <c r="F395">
        <f>IF(E395&lt;&gt;"INCLUDE","",IF(LEFT(LOWER(C395),10)="select_one ","select_one",IF(LOWER(C395)="date","date",IF(OR(LOWER(C395)="integer",LOWER(C395)="decimal",LOWER(C395)="range"),LOWER(C395),"sha256"))))</f>
        <v/>
      </c>
      <c r="G395">
        <f>IF(E395&lt;&gt;"INCLUDE","",IF(F395="date","yyyy-mm-dd",IF(F395="select_one","stored-choice-name",IF(F395="sha256","odk-lexical-utf8-sha256","odk-canonical-scalar"))))</f>
        <v/>
      </c>
      <c r="H395">
        <f>IF(E395&lt;&gt;"INCLUDE","","{"&amp;CHAR(34)&amp;"path"&amp;CHAR(34)&amp;":"&amp;CHAR(34)&amp;B395&amp;CHAR(34)&amp;","&amp;CHAR(34)&amp;"type"&amp;CHAR(34)&amp;":"&amp;CHAR(34)&amp;F395&amp;CHAR(34)&amp;","&amp;CHAR(34)&amp;"xlsform_type"&amp;CHAR(34)&amp;":"&amp;CHAR(34)&amp;C395&amp;CHAR(34)&amp;","&amp;CHAR(34)&amp;"commitment"&amp;CHAR(34)&amp;":"&amp;CHAR(34)&amp;IF(F395="sha256","text-utf8-sha256","value")&amp;CHAR(34)&amp;","&amp;CHAR(34)&amp;"transform"&amp;CHAR(34)&amp;":"&amp;CHAR(34)&amp;G395&amp;CHAR(34)&amp;"}")</f>
        <v/>
      </c>
      <c r="I395">
        <f>IF(E395&lt;&gt;"INCLUDE","","'|"&amp;B395&amp;"=', "&amp;IF(F395="date","if(string-length(string(${"&amp;B395&amp;"})) &gt; 0, format-date(${"&amp;B395&amp;"}, '%Y-%m-%d'), '')",IF(F395="sha256","digest(string(${"&amp;B395&amp;"}), 'SHA-256', 'hex')","string(${"&amp;B395&amp;"})")))</f>
        <v/>
      </c>
      <c r="J395">
        <f>IF(E395="INCLUDE","Included by explicit yes","Not included")</f>
        <v/>
      </c>
      <c r="K395">
        <f>K394&amp;IF(H395="","",","&amp;H395)</f>
        <v/>
      </c>
      <c r="L395">
        <f>L394&amp;IF(I395="","",","&amp;I395)</f>
        <v/>
      </c>
    </row>
    <row r="396">
      <c r="A396" t="n">
        <v>413</v>
      </c>
      <c r="B396">
        <f>survey!B413</f>
        <v/>
      </c>
      <c r="C396">
        <f>survey!A413</f>
        <v/>
      </c>
      <c r="D396" t="inlineStr"/>
      <c r="E396">
        <f>IF(OR(B396="",C396=""),"",IF(LOWER(D396)="yes","INCLUDE","EXCLUDE"))</f>
        <v/>
      </c>
      <c r="F396">
        <f>IF(E396&lt;&gt;"INCLUDE","",IF(LEFT(LOWER(C396),10)="select_one ","select_one",IF(LOWER(C396)="date","date",IF(OR(LOWER(C396)="integer",LOWER(C396)="decimal",LOWER(C396)="range"),LOWER(C396),"sha256"))))</f>
        <v/>
      </c>
      <c r="G396">
        <f>IF(E396&lt;&gt;"INCLUDE","",IF(F396="date","yyyy-mm-dd",IF(F396="select_one","stored-choice-name",IF(F396="sha256","odk-lexical-utf8-sha256","odk-canonical-scalar"))))</f>
        <v/>
      </c>
      <c r="H396">
        <f>IF(E396&lt;&gt;"INCLUDE","","{"&amp;CHAR(34)&amp;"path"&amp;CHAR(34)&amp;":"&amp;CHAR(34)&amp;B396&amp;CHAR(34)&amp;","&amp;CHAR(34)&amp;"type"&amp;CHAR(34)&amp;":"&amp;CHAR(34)&amp;F396&amp;CHAR(34)&amp;","&amp;CHAR(34)&amp;"xlsform_type"&amp;CHAR(34)&amp;":"&amp;CHAR(34)&amp;C396&amp;CHAR(34)&amp;","&amp;CHAR(34)&amp;"commitment"&amp;CHAR(34)&amp;":"&amp;CHAR(34)&amp;IF(F396="sha256","text-utf8-sha256","value")&amp;CHAR(34)&amp;","&amp;CHAR(34)&amp;"transform"&amp;CHAR(34)&amp;":"&amp;CHAR(34)&amp;G396&amp;CHAR(34)&amp;"}")</f>
        <v/>
      </c>
      <c r="I396">
        <f>IF(E396&lt;&gt;"INCLUDE","","'|"&amp;B396&amp;"=', "&amp;IF(F396="date","if(string-length(string(${"&amp;B396&amp;"})) &gt; 0, format-date(${"&amp;B396&amp;"}, '%Y-%m-%d'), '')",IF(F396="sha256","digest(string(${"&amp;B396&amp;"}), 'SHA-256', 'hex')","string(${"&amp;B396&amp;"})")))</f>
        <v/>
      </c>
      <c r="J396">
        <f>IF(E396="INCLUDE","Included by explicit yes","Not included")</f>
        <v/>
      </c>
      <c r="K396">
        <f>K395&amp;IF(H396="","",","&amp;H396)</f>
        <v/>
      </c>
      <c r="L396">
        <f>L395&amp;IF(I396="","",","&amp;I396)</f>
        <v/>
      </c>
    </row>
    <row r="397">
      <c r="A397" t="n">
        <v>414</v>
      </c>
      <c r="B397">
        <f>survey!B414</f>
        <v/>
      </c>
      <c r="C397">
        <f>survey!A414</f>
        <v/>
      </c>
      <c r="D397" t="inlineStr"/>
      <c r="E397">
        <f>IF(OR(B397="",C397=""),"",IF(LOWER(D397)="yes","INCLUDE","EXCLUDE"))</f>
        <v/>
      </c>
      <c r="F397">
        <f>IF(E397&lt;&gt;"INCLUDE","",IF(LEFT(LOWER(C397),10)="select_one ","select_one",IF(LOWER(C397)="date","date",IF(OR(LOWER(C397)="integer",LOWER(C397)="decimal",LOWER(C397)="range"),LOWER(C397),"sha256"))))</f>
        <v/>
      </c>
      <c r="G397">
        <f>IF(E397&lt;&gt;"INCLUDE","",IF(F397="date","yyyy-mm-dd",IF(F397="select_one","stored-choice-name",IF(F397="sha256","odk-lexical-utf8-sha256","odk-canonical-scalar"))))</f>
        <v/>
      </c>
      <c r="H397">
        <f>IF(E397&lt;&gt;"INCLUDE","","{"&amp;CHAR(34)&amp;"path"&amp;CHAR(34)&amp;":"&amp;CHAR(34)&amp;B397&amp;CHAR(34)&amp;","&amp;CHAR(34)&amp;"type"&amp;CHAR(34)&amp;":"&amp;CHAR(34)&amp;F397&amp;CHAR(34)&amp;","&amp;CHAR(34)&amp;"xlsform_type"&amp;CHAR(34)&amp;":"&amp;CHAR(34)&amp;C397&amp;CHAR(34)&amp;","&amp;CHAR(34)&amp;"commitment"&amp;CHAR(34)&amp;":"&amp;CHAR(34)&amp;IF(F397="sha256","text-utf8-sha256","value")&amp;CHAR(34)&amp;","&amp;CHAR(34)&amp;"transform"&amp;CHAR(34)&amp;":"&amp;CHAR(34)&amp;G397&amp;CHAR(34)&amp;"}")</f>
        <v/>
      </c>
      <c r="I397">
        <f>IF(E397&lt;&gt;"INCLUDE","","'|"&amp;B397&amp;"=', "&amp;IF(F397="date","if(string-length(string(${"&amp;B397&amp;"})) &gt; 0, format-date(${"&amp;B397&amp;"}, '%Y-%m-%d'), '')",IF(F397="sha256","digest(string(${"&amp;B397&amp;"}), 'SHA-256', 'hex')","string(${"&amp;B397&amp;"})")))</f>
        <v/>
      </c>
      <c r="J397">
        <f>IF(E397="INCLUDE","Included by explicit yes","Not included")</f>
        <v/>
      </c>
      <c r="K397">
        <f>K396&amp;IF(H397="","",","&amp;H397)</f>
        <v/>
      </c>
      <c r="L397">
        <f>L396&amp;IF(I397="","",","&amp;I397)</f>
        <v/>
      </c>
    </row>
    <row r="398">
      <c r="A398" t="n">
        <v>415</v>
      </c>
      <c r="B398">
        <f>survey!B415</f>
        <v/>
      </c>
      <c r="C398">
        <f>survey!A415</f>
        <v/>
      </c>
      <c r="D398" t="inlineStr"/>
      <c r="E398">
        <f>IF(OR(B398="",C398=""),"",IF(LOWER(D398)="yes","INCLUDE","EXCLUDE"))</f>
        <v/>
      </c>
      <c r="F398">
        <f>IF(E398&lt;&gt;"INCLUDE","",IF(LEFT(LOWER(C398),10)="select_one ","select_one",IF(LOWER(C398)="date","date",IF(OR(LOWER(C398)="integer",LOWER(C398)="decimal",LOWER(C398)="range"),LOWER(C398),"sha256"))))</f>
        <v/>
      </c>
      <c r="G398">
        <f>IF(E398&lt;&gt;"INCLUDE","",IF(F398="date","yyyy-mm-dd",IF(F398="select_one","stored-choice-name",IF(F398="sha256","odk-lexical-utf8-sha256","odk-canonical-scalar"))))</f>
        <v/>
      </c>
      <c r="H398">
        <f>IF(E398&lt;&gt;"INCLUDE","","{"&amp;CHAR(34)&amp;"path"&amp;CHAR(34)&amp;":"&amp;CHAR(34)&amp;B398&amp;CHAR(34)&amp;","&amp;CHAR(34)&amp;"type"&amp;CHAR(34)&amp;":"&amp;CHAR(34)&amp;F398&amp;CHAR(34)&amp;","&amp;CHAR(34)&amp;"xlsform_type"&amp;CHAR(34)&amp;":"&amp;CHAR(34)&amp;C398&amp;CHAR(34)&amp;","&amp;CHAR(34)&amp;"commitment"&amp;CHAR(34)&amp;":"&amp;CHAR(34)&amp;IF(F398="sha256","text-utf8-sha256","value")&amp;CHAR(34)&amp;","&amp;CHAR(34)&amp;"transform"&amp;CHAR(34)&amp;":"&amp;CHAR(34)&amp;G398&amp;CHAR(34)&amp;"}")</f>
        <v/>
      </c>
      <c r="I398">
        <f>IF(E398&lt;&gt;"INCLUDE","","'|"&amp;B398&amp;"=', "&amp;IF(F398="date","if(string-length(string(${"&amp;B398&amp;"})) &gt; 0, format-date(${"&amp;B398&amp;"}, '%Y-%m-%d'), '')",IF(F398="sha256","digest(string(${"&amp;B398&amp;"}), 'SHA-256', 'hex')","string(${"&amp;B398&amp;"})")))</f>
        <v/>
      </c>
      <c r="J398">
        <f>IF(E398="INCLUDE","Included by explicit yes","Not included")</f>
        <v/>
      </c>
      <c r="K398">
        <f>K397&amp;IF(H398="","",","&amp;H398)</f>
        <v/>
      </c>
      <c r="L398">
        <f>L397&amp;IF(I398="","",","&amp;I398)</f>
        <v/>
      </c>
    </row>
    <row r="399">
      <c r="A399" t="n">
        <v>416</v>
      </c>
      <c r="B399">
        <f>survey!B416</f>
        <v/>
      </c>
      <c r="C399">
        <f>survey!A416</f>
        <v/>
      </c>
      <c r="D399" t="inlineStr"/>
      <c r="E399">
        <f>IF(OR(B399="",C399=""),"",IF(LOWER(D399)="yes","INCLUDE","EXCLUDE"))</f>
        <v/>
      </c>
      <c r="F399">
        <f>IF(E399&lt;&gt;"INCLUDE","",IF(LEFT(LOWER(C399),10)="select_one ","select_one",IF(LOWER(C399)="date","date",IF(OR(LOWER(C399)="integer",LOWER(C399)="decimal",LOWER(C399)="range"),LOWER(C399),"sha256"))))</f>
        <v/>
      </c>
      <c r="G399">
        <f>IF(E399&lt;&gt;"INCLUDE","",IF(F399="date","yyyy-mm-dd",IF(F399="select_one","stored-choice-name",IF(F399="sha256","odk-lexical-utf8-sha256","odk-canonical-scalar"))))</f>
        <v/>
      </c>
      <c r="H399">
        <f>IF(E399&lt;&gt;"INCLUDE","","{"&amp;CHAR(34)&amp;"path"&amp;CHAR(34)&amp;":"&amp;CHAR(34)&amp;B399&amp;CHAR(34)&amp;","&amp;CHAR(34)&amp;"type"&amp;CHAR(34)&amp;":"&amp;CHAR(34)&amp;F399&amp;CHAR(34)&amp;","&amp;CHAR(34)&amp;"xlsform_type"&amp;CHAR(34)&amp;":"&amp;CHAR(34)&amp;C399&amp;CHAR(34)&amp;","&amp;CHAR(34)&amp;"commitment"&amp;CHAR(34)&amp;":"&amp;CHAR(34)&amp;IF(F399="sha256","text-utf8-sha256","value")&amp;CHAR(34)&amp;","&amp;CHAR(34)&amp;"transform"&amp;CHAR(34)&amp;":"&amp;CHAR(34)&amp;G399&amp;CHAR(34)&amp;"}")</f>
        <v/>
      </c>
      <c r="I399">
        <f>IF(E399&lt;&gt;"INCLUDE","","'|"&amp;B399&amp;"=', "&amp;IF(F399="date","if(string-length(string(${"&amp;B399&amp;"})) &gt; 0, format-date(${"&amp;B399&amp;"}, '%Y-%m-%d'), '')",IF(F399="sha256","digest(string(${"&amp;B399&amp;"}), 'SHA-256', 'hex')","string(${"&amp;B399&amp;"})")))</f>
        <v/>
      </c>
      <c r="J399">
        <f>IF(E399="INCLUDE","Included by explicit yes","Not included")</f>
        <v/>
      </c>
      <c r="K399">
        <f>K398&amp;IF(H399="","",","&amp;H399)</f>
        <v/>
      </c>
      <c r="L399">
        <f>L398&amp;IF(I399="","",","&amp;I399)</f>
        <v/>
      </c>
    </row>
    <row r="400">
      <c r="A400" t="n">
        <v>417</v>
      </c>
      <c r="B400">
        <f>survey!B417</f>
        <v/>
      </c>
      <c r="C400">
        <f>survey!A417</f>
        <v/>
      </c>
      <c r="D400" t="inlineStr"/>
      <c r="E400">
        <f>IF(OR(B400="",C400=""),"",IF(LOWER(D400)="yes","INCLUDE","EXCLUDE"))</f>
        <v/>
      </c>
      <c r="F400">
        <f>IF(E400&lt;&gt;"INCLUDE","",IF(LEFT(LOWER(C400),10)="select_one ","select_one",IF(LOWER(C400)="date","date",IF(OR(LOWER(C400)="integer",LOWER(C400)="decimal",LOWER(C400)="range"),LOWER(C400),"sha256"))))</f>
        <v/>
      </c>
      <c r="G400">
        <f>IF(E400&lt;&gt;"INCLUDE","",IF(F400="date","yyyy-mm-dd",IF(F400="select_one","stored-choice-name",IF(F400="sha256","odk-lexical-utf8-sha256","odk-canonical-scalar"))))</f>
        <v/>
      </c>
      <c r="H400">
        <f>IF(E400&lt;&gt;"INCLUDE","","{"&amp;CHAR(34)&amp;"path"&amp;CHAR(34)&amp;":"&amp;CHAR(34)&amp;B400&amp;CHAR(34)&amp;","&amp;CHAR(34)&amp;"type"&amp;CHAR(34)&amp;":"&amp;CHAR(34)&amp;F400&amp;CHAR(34)&amp;","&amp;CHAR(34)&amp;"xlsform_type"&amp;CHAR(34)&amp;":"&amp;CHAR(34)&amp;C400&amp;CHAR(34)&amp;","&amp;CHAR(34)&amp;"commitment"&amp;CHAR(34)&amp;":"&amp;CHAR(34)&amp;IF(F400="sha256","text-utf8-sha256","value")&amp;CHAR(34)&amp;","&amp;CHAR(34)&amp;"transform"&amp;CHAR(34)&amp;":"&amp;CHAR(34)&amp;G400&amp;CHAR(34)&amp;"}")</f>
        <v/>
      </c>
      <c r="I400">
        <f>IF(E400&lt;&gt;"INCLUDE","","'|"&amp;B400&amp;"=', "&amp;IF(F400="date","if(string-length(string(${"&amp;B400&amp;"})) &gt; 0, format-date(${"&amp;B400&amp;"}, '%Y-%m-%d'), '')",IF(F400="sha256","digest(string(${"&amp;B400&amp;"}), 'SHA-256', 'hex')","string(${"&amp;B400&amp;"})")))</f>
        <v/>
      </c>
      <c r="J400">
        <f>IF(E400="INCLUDE","Included by explicit yes","Not included")</f>
        <v/>
      </c>
      <c r="K400">
        <f>K399&amp;IF(H400="","",","&amp;H400)</f>
        <v/>
      </c>
      <c r="L400">
        <f>L399&amp;IF(I400="","",","&amp;I400)</f>
        <v/>
      </c>
    </row>
    <row r="401">
      <c r="A401" t="n">
        <v>418</v>
      </c>
      <c r="B401">
        <f>survey!B418</f>
        <v/>
      </c>
      <c r="C401">
        <f>survey!A418</f>
        <v/>
      </c>
      <c r="D401" t="inlineStr"/>
      <c r="E401">
        <f>IF(OR(B401="",C401=""),"",IF(LOWER(D401)="yes","INCLUDE","EXCLUDE"))</f>
        <v/>
      </c>
      <c r="F401">
        <f>IF(E401&lt;&gt;"INCLUDE","",IF(LEFT(LOWER(C401),10)="select_one ","select_one",IF(LOWER(C401)="date","date",IF(OR(LOWER(C401)="integer",LOWER(C401)="decimal",LOWER(C401)="range"),LOWER(C401),"sha256"))))</f>
        <v/>
      </c>
      <c r="G401">
        <f>IF(E401&lt;&gt;"INCLUDE","",IF(F401="date","yyyy-mm-dd",IF(F401="select_one","stored-choice-name",IF(F401="sha256","odk-lexical-utf8-sha256","odk-canonical-scalar"))))</f>
        <v/>
      </c>
      <c r="H401">
        <f>IF(E401&lt;&gt;"INCLUDE","","{"&amp;CHAR(34)&amp;"path"&amp;CHAR(34)&amp;":"&amp;CHAR(34)&amp;B401&amp;CHAR(34)&amp;","&amp;CHAR(34)&amp;"type"&amp;CHAR(34)&amp;":"&amp;CHAR(34)&amp;F401&amp;CHAR(34)&amp;","&amp;CHAR(34)&amp;"xlsform_type"&amp;CHAR(34)&amp;":"&amp;CHAR(34)&amp;C401&amp;CHAR(34)&amp;","&amp;CHAR(34)&amp;"commitment"&amp;CHAR(34)&amp;":"&amp;CHAR(34)&amp;IF(F401="sha256","text-utf8-sha256","value")&amp;CHAR(34)&amp;","&amp;CHAR(34)&amp;"transform"&amp;CHAR(34)&amp;":"&amp;CHAR(34)&amp;G401&amp;CHAR(34)&amp;"}")</f>
        <v/>
      </c>
      <c r="I401">
        <f>IF(E401&lt;&gt;"INCLUDE","","'|"&amp;B401&amp;"=', "&amp;IF(F401="date","if(string-length(string(${"&amp;B401&amp;"})) &gt; 0, format-date(${"&amp;B401&amp;"}, '%Y-%m-%d'), '')",IF(F401="sha256","digest(string(${"&amp;B401&amp;"}), 'SHA-256', 'hex')","string(${"&amp;B401&amp;"})")))</f>
        <v/>
      </c>
      <c r="J401">
        <f>IF(E401="INCLUDE","Included by explicit yes","Not included")</f>
        <v/>
      </c>
      <c r="K401">
        <f>K400&amp;IF(H401="","",","&amp;H401)</f>
        <v/>
      </c>
      <c r="L401">
        <f>L400&amp;IF(I401="","",","&amp;I401)</f>
        <v/>
      </c>
    </row>
    <row r="402">
      <c r="A402" t="n">
        <v>419</v>
      </c>
      <c r="B402">
        <f>survey!B419</f>
        <v/>
      </c>
      <c r="C402">
        <f>survey!A419</f>
        <v/>
      </c>
      <c r="D402" t="inlineStr"/>
      <c r="E402">
        <f>IF(OR(B402="",C402=""),"",IF(LOWER(D402)="yes","INCLUDE","EXCLUDE"))</f>
        <v/>
      </c>
      <c r="F402">
        <f>IF(E402&lt;&gt;"INCLUDE","",IF(LEFT(LOWER(C402),10)="select_one ","select_one",IF(LOWER(C402)="date","date",IF(OR(LOWER(C402)="integer",LOWER(C402)="decimal",LOWER(C402)="range"),LOWER(C402),"sha256"))))</f>
        <v/>
      </c>
      <c r="G402">
        <f>IF(E402&lt;&gt;"INCLUDE","",IF(F402="date","yyyy-mm-dd",IF(F402="select_one","stored-choice-name",IF(F402="sha256","odk-lexical-utf8-sha256","odk-canonical-scalar"))))</f>
        <v/>
      </c>
      <c r="H402">
        <f>IF(E402&lt;&gt;"INCLUDE","","{"&amp;CHAR(34)&amp;"path"&amp;CHAR(34)&amp;":"&amp;CHAR(34)&amp;B402&amp;CHAR(34)&amp;","&amp;CHAR(34)&amp;"type"&amp;CHAR(34)&amp;":"&amp;CHAR(34)&amp;F402&amp;CHAR(34)&amp;","&amp;CHAR(34)&amp;"xlsform_type"&amp;CHAR(34)&amp;":"&amp;CHAR(34)&amp;C402&amp;CHAR(34)&amp;","&amp;CHAR(34)&amp;"commitment"&amp;CHAR(34)&amp;":"&amp;CHAR(34)&amp;IF(F402="sha256","text-utf8-sha256","value")&amp;CHAR(34)&amp;","&amp;CHAR(34)&amp;"transform"&amp;CHAR(34)&amp;":"&amp;CHAR(34)&amp;G402&amp;CHAR(34)&amp;"}")</f>
        <v/>
      </c>
      <c r="I402">
        <f>IF(E402&lt;&gt;"INCLUDE","","'|"&amp;B402&amp;"=', "&amp;IF(F402="date","if(string-length(string(${"&amp;B402&amp;"})) &gt; 0, format-date(${"&amp;B402&amp;"}, '%Y-%m-%d'), '')",IF(F402="sha256","digest(string(${"&amp;B402&amp;"}), 'SHA-256', 'hex')","string(${"&amp;B402&amp;"})")))</f>
        <v/>
      </c>
      <c r="J402">
        <f>IF(E402="INCLUDE","Included by explicit yes","Not included")</f>
        <v/>
      </c>
      <c r="K402">
        <f>K401&amp;IF(H402="","",","&amp;H402)</f>
        <v/>
      </c>
      <c r="L402">
        <f>L401&amp;IF(I402="","",","&amp;I402)</f>
        <v/>
      </c>
    </row>
    <row r="403">
      <c r="A403" t="n">
        <v>420</v>
      </c>
      <c r="B403">
        <f>survey!B420</f>
        <v/>
      </c>
      <c r="C403">
        <f>survey!A420</f>
        <v/>
      </c>
      <c r="D403" t="inlineStr"/>
      <c r="E403">
        <f>IF(OR(B403="",C403=""),"",IF(LOWER(D403)="yes","INCLUDE","EXCLUDE"))</f>
        <v/>
      </c>
      <c r="F403">
        <f>IF(E403&lt;&gt;"INCLUDE","",IF(LEFT(LOWER(C403),10)="select_one ","select_one",IF(LOWER(C403)="date","date",IF(OR(LOWER(C403)="integer",LOWER(C403)="decimal",LOWER(C403)="range"),LOWER(C403),"sha256"))))</f>
        <v/>
      </c>
      <c r="G403">
        <f>IF(E403&lt;&gt;"INCLUDE","",IF(F403="date","yyyy-mm-dd",IF(F403="select_one","stored-choice-name",IF(F403="sha256","odk-lexical-utf8-sha256","odk-canonical-scalar"))))</f>
        <v/>
      </c>
      <c r="H403">
        <f>IF(E403&lt;&gt;"INCLUDE","","{"&amp;CHAR(34)&amp;"path"&amp;CHAR(34)&amp;":"&amp;CHAR(34)&amp;B403&amp;CHAR(34)&amp;","&amp;CHAR(34)&amp;"type"&amp;CHAR(34)&amp;":"&amp;CHAR(34)&amp;F403&amp;CHAR(34)&amp;","&amp;CHAR(34)&amp;"xlsform_type"&amp;CHAR(34)&amp;":"&amp;CHAR(34)&amp;C403&amp;CHAR(34)&amp;","&amp;CHAR(34)&amp;"commitment"&amp;CHAR(34)&amp;":"&amp;CHAR(34)&amp;IF(F403="sha256","text-utf8-sha256","value")&amp;CHAR(34)&amp;","&amp;CHAR(34)&amp;"transform"&amp;CHAR(34)&amp;":"&amp;CHAR(34)&amp;G403&amp;CHAR(34)&amp;"}")</f>
        <v/>
      </c>
      <c r="I403">
        <f>IF(E403&lt;&gt;"INCLUDE","","'|"&amp;B403&amp;"=', "&amp;IF(F403="date","if(string-length(string(${"&amp;B403&amp;"})) &gt; 0, format-date(${"&amp;B403&amp;"}, '%Y-%m-%d'), '')",IF(F403="sha256","digest(string(${"&amp;B403&amp;"}), 'SHA-256', 'hex')","string(${"&amp;B403&amp;"})")))</f>
        <v/>
      </c>
      <c r="J403">
        <f>IF(E403="INCLUDE","Included by explicit yes","Not included")</f>
        <v/>
      </c>
      <c r="K403">
        <f>K402&amp;IF(H403="","",","&amp;H403)</f>
        <v/>
      </c>
      <c r="L403">
        <f>L402&amp;IF(I403="","",","&amp;I403)</f>
        <v/>
      </c>
    </row>
    <row r="404">
      <c r="A404" t="n">
        <v>421</v>
      </c>
      <c r="B404">
        <f>survey!B421</f>
        <v/>
      </c>
      <c r="C404">
        <f>survey!A421</f>
        <v/>
      </c>
      <c r="D404" t="inlineStr"/>
      <c r="E404">
        <f>IF(OR(B404="",C404=""),"",IF(LOWER(D404)="yes","INCLUDE","EXCLUDE"))</f>
        <v/>
      </c>
      <c r="F404">
        <f>IF(E404&lt;&gt;"INCLUDE","",IF(LEFT(LOWER(C404),10)="select_one ","select_one",IF(LOWER(C404)="date","date",IF(OR(LOWER(C404)="integer",LOWER(C404)="decimal",LOWER(C404)="range"),LOWER(C404),"sha256"))))</f>
        <v/>
      </c>
      <c r="G404">
        <f>IF(E404&lt;&gt;"INCLUDE","",IF(F404="date","yyyy-mm-dd",IF(F404="select_one","stored-choice-name",IF(F404="sha256","odk-lexical-utf8-sha256","odk-canonical-scalar"))))</f>
        <v/>
      </c>
      <c r="H404">
        <f>IF(E404&lt;&gt;"INCLUDE","","{"&amp;CHAR(34)&amp;"path"&amp;CHAR(34)&amp;":"&amp;CHAR(34)&amp;B404&amp;CHAR(34)&amp;","&amp;CHAR(34)&amp;"type"&amp;CHAR(34)&amp;":"&amp;CHAR(34)&amp;F404&amp;CHAR(34)&amp;","&amp;CHAR(34)&amp;"xlsform_type"&amp;CHAR(34)&amp;":"&amp;CHAR(34)&amp;C404&amp;CHAR(34)&amp;","&amp;CHAR(34)&amp;"commitment"&amp;CHAR(34)&amp;":"&amp;CHAR(34)&amp;IF(F404="sha256","text-utf8-sha256","value")&amp;CHAR(34)&amp;","&amp;CHAR(34)&amp;"transform"&amp;CHAR(34)&amp;":"&amp;CHAR(34)&amp;G404&amp;CHAR(34)&amp;"}")</f>
        <v/>
      </c>
      <c r="I404">
        <f>IF(E404&lt;&gt;"INCLUDE","","'|"&amp;B404&amp;"=', "&amp;IF(F404="date","if(string-length(string(${"&amp;B404&amp;"})) &gt; 0, format-date(${"&amp;B404&amp;"}, '%Y-%m-%d'), '')",IF(F404="sha256","digest(string(${"&amp;B404&amp;"}), 'SHA-256', 'hex')","string(${"&amp;B404&amp;"})")))</f>
        <v/>
      </c>
      <c r="J404">
        <f>IF(E404="INCLUDE","Included by explicit yes","Not included")</f>
        <v/>
      </c>
      <c r="K404">
        <f>K403&amp;IF(H404="","",","&amp;H404)</f>
        <v/>
      </c>
      <c r="L404">
        <f>L403&amp;IF(I404="","",","&amp;I404)</f>
        <v/>
      </c>
    </row>
    <row r="405">
      <c r="A405" t="n">
        <v>422</v>
      </c>
      <c r="B405">
        <f>survey!B422</f>
        <v/>
      </c>
      <c r="C405">
        <f>survey!A422</f>
        <v/>
      </c>
      <c r="D405" t="inlineStr"/>
      <c r="E405">
        <f>IF(OR(B405="",C405=""),"",IF(LOWER(D405)="yes","INCLUDE","EXCLUDE"))</f>
        <v/>
      </c>
      <c r="F405">
        <f>IF(E405&lt;&gt;"INCLUDE","",IF(LEFT(LOWER(C405),10)="select_one ","select_one",IF(LOWER(C405)="date","date",IF(OR(LOWER(C405)="integer",LOWER(C405)="decimal",LOWER(C405)="range"),LOWER(C405),"sha256"))))</f>
        <v/>
      </c>
      <c r="G405">
        <f>IF(E405&lt;&gt;"INCLUDE","",IF(F405="date","yyyy-mm-dd",IF(F405="select_one","stored-choice-name",IF(F405="sha256","odk-lexical-utf8-sha256","odk-canonical-scalar"))))</f>
        <v/>
      </c>
      <c r="H405">
        <f>IF(E405&lt;&gt;"INCLUDE","","{"&amp;CHAR(34)&amp;"path"&amp;CHAR(34)&amp;":"&amp;CHAR(34)&amp;B405&amp;CHAR(34)&amp;","&amp;CHAR(34)&amp;"type"&amp;CHAR(34)&amp;":"&amp;CHAR(34)&amp;F405&amp;CHAR(34)&amp;","&amp;CHAR(34)&amp;"xlsform_type"&amp;CHAR(34)&amp;":"&amp;CHAR(34)&amp;C405&amp;CHAR(34)&amp;","&amp;CHAR(34)&amp;"commitment"&amp;CHAR(34)&amp;":"&amp;CHAR(34)&amp;IF(F405="sha256","text-utf8-sha256","value")&amp;CHAR(34)&amp;","&amp;CHAR(34)&amp;"transform"&amp;CHAR(34)&amp;":"&amp;CHAR(34)&amp;G405&amp;CHAR(34)&amp;"}")</f>
        <v/>
      </c>
      <c r="I405">
        <f>IF(E405&lt;&gt;"INCLUDE","","'|"&amp;B405&amp;"=', "&amp;IF(F405="date","if(string-length(string(${"&amp;B405&amp;"})) &gt; 0, format-date(${"&amp;B405&amp;"}, '%Y-%m-%d'), '')",IF(F405="sha256","digest(string(${"&amp;B405&amp;"}), 'SHA-256', 'hex')","string(${"&amp;B405&amp;"})")))</f>
        <v/>
      </c>
      <c r="J405">
        <f>IF(E405="INCLUDE","Included by explicit yes","Not included")</f>
        <v/>
      </c>
      <c r="K405">
        <f>K404&amp;IF(H405="","",","&amp;H405)</f>
        <v/>
      </c>
      <c r="L405">
        <f>L404&amp;IF(I405="","",","&amp;I405)</f>
        <v/>
      </c>
    </row>
    <row r="406">
      <c r="A406" t="n">
        <v>423</v>
      </c>
      <c r="B406">
        <f>survey!B423</f>
        <v/>
      </c>
      <c r="C406">
        <f>survey!A423</f>
        <v/>
      </c>
      <c r="D406" t="inlineStr"/>
      <c r="E406">
        <f>IF(OR(B406="",C406=""),"",IF(LOWER(D406)="yes","INCLUDE","EXCLUDE"))</f>
        <v/>
      </c>
      <c r="F406">
        <f>IF(E406&lt;&gt;"INCLUDE","",IF(LEFT(LOWER(C406),10)="select_one ","select_one",IF(LOWER(C406)="date","date",IF(OR(LOWER(C406)="integer",LOWER(C406)="decimal",LOWER(C406)="range"),LOWER(C406),"sha256"))))</f>
        <v/>
      </c>
      <c r="G406">
        <f>IF(E406&lt;&gt;"INCLUDE","",IF(F406="date","yyyy-mm-dd",IF(F406="select_one","stored-choice-name",IF(F406="sha256","odk-lexical-utf8-sha256","odk-canonical-scalar"))))</f>
        <v/>
      </c>
      <c r="H406">
        <f>IF(E406&lt;&gt;"INCLUDE","","{"&amp;CHAR(34)&amp;"path"&amp;CHAR(34)&amp;":"&amp;CHAR(34)&amp;B406&amp;CHAR(34)&amp;","&amp;CHAR(34)&amp;"type"&amp;CHAR(34)&amp;":"&amp;CHAR(34)&amp;F406&amp;CHAR(34)&amp;","&amp;CHAR(34)&amp;"xlsform_type"&amp;CHAR(34)&amp;":"&amp;CHAR(34)&amp;C406&amp;CHAR(34)&amp;","&amp;CHAR(34)&amp;"commitment"&amp;CHAR(34)&amp;":"&amp;CHAR(34)&amp;IF(F406="sha256","text-utf8-sha256","value")&amp;CHAR(34)&amp;","&amp;CHAR(34)&amp;"transform"&amp;CHAR(34)&amp;":"&amp;CHAR(34)&amp;G406&amp;CHAR(34)&amp;"}")</f>
        <v/>
      </c>
      <c r="I406">
        <f>IF(E406&lt;&gt;"INCLUDE","","'|"&amp;B406&amp;"=', "&amp;IF(F406="date","if(string-length(string(${"&amp;B406&amp;"})) &gt; 0, format-date(${"&amp;B406&amp;"}, '%Y-%m-%d'), '')",IF(F406="sha256","digest(string(${"&amp;B406&amp;"}), 'SHA-256', 'hex')","string(${"&amp;B406&amp;"})")))</f>
        <v/>
      </c>
      <c r="J406">
        <f>IF(E406="INCLUDE","Included by explicit yes","Not included")</f>
        <v/>
      </c>
      <c r="K406">
        <f>K405&amp;IF(H406="","",","&amp;H406)</f>
        <v/>
      </c>
      <c r="L406">
        <f>L405&amp;IF(I406="","",","&amp;I406)</f>
        <v/>
      </c>
    </row>
    <row r="407">
      <c r="A407" t="n">
        <v>424</v>
      </c>
      <c r="B407">
        <f>survey!B424</f>
        <v/>
      </c>
      <c r="C407">
        <f>survey!A424</f>
        <v/>
      </c>
      <c r="D407" t="inlineStr"/>
      <c r="E407">
        <f>IF(OR(B407="",C407=""),"",IF(LOWER(D407)="yes","INCLUDE","EXCLUDE"))</f>
        <v/>
      </c>
      <c r="F407">
        <f>IF(E407&lt;&gt;"INCLUDE","",IF(LEFT(LOWER(C407),10)="select_one ","select_one",IF(LOWER(C407)="date","date",IF(OR(LOWER(C407)="integer",LOWER(C407)="decimal",LOWER(C407)="range"),LOWER(C407),"sha256"))))</f>
        <v/>
      </c>
      <c r="G407">
        <f>IF(E407&lt;&gt;"INCLUDE","",IF(F407="date","yyyy-mm-dd",IF(F407="select_one","stored-choice-name",IF(F407="sha256","odk-lexical-utf8-sha256","odk-canonical-scalar"))))</f>
        <v/>
      </c>
      <c r="H407">
        <f>IF(E407&lt;&gt;"INCLUDE","","{"&amp;CHAR(34)&amp;"path"&amp;CHAR(34)&amp;":"&amp;CHAR(34)&amp;B407&amp;CHAR(34)&amp;","&amp;CHAR(34)&amp;"type"&amp;CHAR(34)&amp;":"&amp;CHAR(34)&amp;F407&amp;CHAR(34)&amp;","&amp;CHAR(34)&amp;"xlsform_type"&amp;CHAR(34)&amp;":"&amp;CHAR(34)&amp;C407&amp;CHAR(34)&amp;","&amp;CHAR(34)&amp;"commitment"&amp;CHAR(34)&amp;":"&amp;CHAR(34)&amp;IF(F407="sha256","text-utf8-sha256","value")&amp;CHAR(34)&amp;","&amp;CHAR(34)&amp;"transform"&amp;CHAR(34)&amp;":"&amp;CHAR(34)&amp;G407&amp;CHAR(34)&amp;"}")</f>
        <v/>
      </c>
      <c r="I407">
        <f>IF(E407&lt;&gt;"INCLUDE","","'|"&amp;B407&amp;"=', "&amp;IF(F407="date","if(string-length(string(${"&amp;B407&amp;"})) &gt; 0, format-date(${"&amp;B407&amp;"}, '%Y-%m-%d'), '')",IF(F407="sha256","digest(string(${"&amp;B407&amp;"}), 'SHA-256', 'hex')","string(${"&amp;B407&amp;"})")))</f>
        <v/>
      </c>
      <c r="J407">
        <f>IF(E407="INCLUDE","Included by explicit yes","Not included")</f>
        <v/>
      </c>
      <c r="K407">
        <f>K406&amp;IF(H407="","",","&amp;H407)</f>
        <v/>
      </c>
      <c r="L407">
        <f>L406&amp;IF(I407="","",","&amp;I407)</f>
        <v/>
      </c>
    </row>
    <row r="408">
      <c r="A408" t="n">
        <v>425</v>
      </c>
      <c r="B408">
        <f>survey!B425</f>
        <v/>
      </c>
      <c r="C408">
        <f>survey!A425</f>
        <v/>
      </c>
      <c r="D408" t="inlineStr"/>
      <c r="E408">
        <f>IF(OR(B408="",C408=""),"",IF(LOWER(D408)="yes","INCLUDE","EXCLUDE"))</f>
        <v/>
      </c>
      <c r="F408">
        <f>IF(E408&lt;&gt;"INCLUDE","",IF(LEFT(LOWER(C408),10)="select_one ","select_one",IF(LOWER(C408)="date","date",IF(OR(LOWER(C408)="integer",LOWER(C408)="decimal",LOWER(C408)="range"),LOWER(C408),"sha256"))))</f>
        <v/>
      </c>
      <c r="G408">
        <f>IF(E408&lt;&gt;"INCLUDE","",IF(F408="date","yyyy-mm-dd",IF(F408="select_one","stored-choice-name",IF(F408="sha256","odk-lexical-utf8-sha256","odk-canonical-scalar"))))</f>
        <v/>
      </c>
      <c r="H408">
        <f>IF(E408&lt;&gt;"INCLUDE","","{"&amp;CHAR(34)&amp;"path"&amp;CHAR(34)&amp;":"&amp;CHAR(34)&amp;B408&amp;CHAR(34)&amp;","&amp;CHAR(34)&amp;"type"&amp;CHAR(34)&amp;":"&amp;CHAR(34)&amp;F408&amp;CHAR(34)&amp;","&amp;CHAR(34)&amp;"xlsform_type"&amp;CHAR(34)&amp;":"&amp;CHAR(34)&amp;C408&amp;CHAR(34)&amp;","&amp;CHAR(34)&amp;"commitment"&amp;CHAR(34)&amp;":"&amp;CHAR(34)&amp;IF(F408="sha256","text-utf8-sha256","value")&amp;CHAR(34)&amp;","&amp;CHAR(34)&amp;"transform"&amp;CHAR(34)&amp;":"&amp;CHAR(34)&amp;G408&amp;CHAR(34)&amp;"}")</f>
        <v/>
      </c>
      <c r="I408">
        <f>IF(E408&lt;&gt;"INCLUDE","","'|"&amp;B408&amp;"=', "&amp;IF(F408="date","if(string-length(string(${"&amp;B408&amp;"})) &gt; 0, format-date(${"&amp;B408&amp;"}, '%Y-%m-%d'), '')",IF(F408="sha256","digest(string(${"&amp;B408&amp;"}), 'SHA-256', 'hex')","string(${"&amp;B408&amp;"})")))</f>
        <v/>
      </c>
      <c r="J408">
        <f>IF(E408="INCLUDE","Included by explicit yes","Not included")</f>
        <v/>
      </c>
      <c r="K408">
        <f>K407&amp;IF(H408="","",","&amp;H408)</f>
        <v/>
      </c>
      <c r="L408">
        <f>L407&amp;IF(I408="","",","&amp;I408)</f>
        <v/>
      </c>
    </row>
    <row r="409">
      <c r="A409" t="n">
        <v>426</v>
      </c>
      <c r="B409">
        <f>survey!B426</f>
        <v/>
      </c>
      <c r="C409">
        <f>survey!A426</f>
        <v/>
      </c>
      <c r="D409" t="inlineStr"/>
      <c r="E409">
        <f>IF(OR(B409="",C409=""),"",IF(LOWER(D409)="yes","INCLUDE","EXCLUDE"))</f>
        <v/>
      </c>
      <c r="F409">
        <f>IF(E409&lt;&gt;"INCLUDE","",IF(LEFT(LOWER(C409),10)="select_one ","select_one",IF(LOWER(C409)="date","date",IF(OR(LOWER(C409)="integer",LOWER(C409)="decimal",LOWER(C409)="range"),LOWER(C409),"sha256"))))</f>
        <v/>
      </c>
      <c r="G409">
        <f>IF(E409&lt;&gt;"INCLUDE","",IF(F409="date","yyyy-mm-dd",IF(F409="select_one","stored-choice-name",IF(F409="sha256","odk-lexical-utf8-sha256","odk-canonical-scalar"))))</f>
        <v/>
      </c>
      <c r="H409">
        <f>IF(E409&lt;&gt;"INCLUDE","","{"&amp;CHAR(34)&amp;"path"&amp;CHAR(34)&amp;":"&amp;CHAR(34)&amp;B409&amp;CHAR(34)&amp;","&amp;CHAR(34)&amp;"type"&amp;CHAR(34)&amp;":"&amp;CHAR(34)&amp;F409&amp;CHAR(34)&amp;","&amp;CHAR(34)&amp;"xlsform_type"&amp;CHAR(34)&amp;":"&amp;CHAR(34)&amp;C409&amp;CHAR(34)&amp;","&amp;CHAR(34)&amp;"commitment"&amp;CHAR(34)&amp;":"&amp;CHAR(34)&amp;IF(F409="sha256","text-utf8-sha256","value")&amp;CHAR(34)&amp;","&amp;CHAR(34)&amp;"transform"&amp;CHAR(34)&amp;":"&amp;CHAR(34)&amp;G409&amp;CHAR(34)&amp;"}")</f>
        <v/>
      </c>
      <c r="I409">
        <f>IF(E409&lt;&gt;"INCLUDE","","'|"&amp;B409&amp;"=', "&amp;IF(F409="date","if(string-length(string(${"&amp;B409&amp;"})) &gt; 0, format-date(${"&amp;B409&amp;"}, '%Y-%m-%d'), '')",IF(F409="sha256","digest(string(${"&amp;B409&amp;"}), 'SHA-256', 'hex')","string(${"&amp;B409&amp;"})")))</f>
        <v/>
      </c>
      <c r="J409">
        <f>IF(E409="INCLUDE","Included by explicit yes","Not included")</f>
        <v/>
      </c>
      <c r="K409">
        <f>K408&amp;IF(H409="","",","&amp;H409)</f>
        <v/>
      </c>
      <c r="L409">
        <f>L408&amp;IF(I409="","",","&amp;I409)</f>
        <v/>
      </c>
    </row>
    <row r="410">
      <c r="A410" t="n">
        <v>427</v>
      </c>
      <c r="B410">
        <f>survey!B427</f>
        <v/>
      </c>
      <c r="C410">
        <f>survey!A427</f>
        <v/>
      </c>
      <c r="D410" t="inlineStr"/>
      <c r="E410">
        <f>IF(OR(B410="",C410=""),"",IF(LOWER(D410)="yes","INCLUDE","EXCLUDE"))</f>
        <v/>
      </c>
      <c r="F410">
        <f>IF(E410&lt;&gt;"INCLUDE","",IF(LEFT(LOWER(C410),10)="select_one ","select_one",IF(LOWER(C410)="date","date",IF(OR(LOWER(C410)="integer",LOWER(C410)="decimal",LOWER(C410)="range"),LOWER(C410),"sha256"))))</f>
        <v/>
      </c>
      <c r="G410">
        <f>IF(E410&lt;&gt;"INCLUDE","",IF(F410="date","yyyy-mm-dd",IF(F410="select_one","stored-choice-name",IF(F410="sha256","odk-lexical-utf8-sha256","odk-canonical-scalar"))))</f>
        <v/>
      </c>
      <c r="H410">
        <f>IF(E410&lt;&gt;"INCLUDE","","{"&amp;CHAR(34)&amp;"path"&amp;CHAR(34)&amp;":"&amp;CHAR(34)&amp;B410&amp;CHAR(34)&amp;","&amp;CHAR(34)&amp;"type"&amp;CHAR(34)&amp;":"&amp;CHAR(34)&amp;F410&amp;CHAR(34)&amp;","&amp;CHAR(34)&amp;"xlsform_type"&amp;CHAR(34)&amp;":"&amp;CHAR(34)&amp;C410&amp;CHAR(34)&amp;","&amp;CHAR(34)&amp;"commitment"&amp;CHAR(34)&amp;":"&amp;CHAR(34)&amp;IF(F410="sha256","text-utf8-sha256","value")&amp;CHAR(34)&amp;","&amp;CHAR(34)&amp;"transform"&amp;CHAR(34)&amp;":"&amp;CHAR(34)&amp;G410&amp;CHAR(34)&amp;"}")</f>
        <v/>
      </c>
      <c r="I410">
        <f>IF(E410&lt;&gt;"INCLUDE","","'|"&amp;B410&amp;"=', "&amp;IF(F410="date","if(string-length(string(${"&amp;B410&amp;"})) &gt; 0, format-date(${"&amp;B410&amp;"}, '%Y-%m-%d'), '')",IF(F410="sha256","digest(string(${"&amp;B410&amp;"}), 'SHA-256', 'hex')","string(${"&amp;B410&amp;"})")))</f>
        <v/>
      </c>
      <c r="J410">
        <f>IF(E410="INCLUDE","Included by explicit yes","Not included")</f>
        <v/>
      </c>
      <c r="K410">
        <f>K409&amp;IF(H410="","",","&amp;H410)</f>
        <v/>
      </c>
      <c r="L410">
        <f>L409&amp;IF(I410="","",","&amp;I410)</f>
        <v/>
      </c>
    </row>
    <row r="411">
      <c r="A411" t="n">
        <v>428</v>
      </c>
      <c r="B411">
        <f>survey!B428</f>
        <v/>
      </c>
      <c r="C411">
        <f>survey!A428</f>
        <v/>
      </c>
      <c r="D411" t="inlineStr"/>
      <c r="E411">
        <f>IF(OR(B411="",C411=""),"",IF(LOWER(D411)="yes","INCLUDE","EXCLUDE"))</f>
        <v/>
      </c>
      <c r="F411">
        <f>IF(E411&lt;&gt;"INCLUDE","",IF(LEFT(LOWER(C411),10)="select_one ","select_one",IF(LOWER(C411)="date","date",IF(OR(LOWER(C411)="integer",LOWER(C411)="decimal",LOWER(C411)="range"),LOWER(C411),"sha256"))))</f>
        <v/>
      </c>
      <c r="G411">
        <f>IF(E411&lt;&gt;"INCLUDE","",IF(F411="date","yyyy-mm-dd",IF(F411="select_one","stored-choice-name",IF(F411="sha256","odk-lexical-utf8-sha256","odk-canonical-scalar"))))</f>
        <v/>
      </c>
      <c r="H411">
        <f>IF(E411&lt;&gt;"INCLUDE","","{"&amp;CHAR(34)&amp;"path"&amp;CHAR(34)&amp;":"&amp;CHAR(34)&amp;B411&amp;CHAR(34)&amp;","&amp;CHAR(34)&amp;"type"&amp;CHAR(34)&amp;":"&amp;CHAR(34)&amp;F411&amp;CHAR(34)&amp;","&amp;CHAR(34)&amp;"xlsform_type"&amp;CHAR(34)&amp;":"&amp;CHAR(34)&amp;C411&amp;CHAR(34)&amp;","&amp;CHAR(34)&amp;"commitment"&amp;CHAR(34)&amp;":"&amp;CHAR(34)&amp;IF(F411="sha256","text-utf8-sha256","value")&amp;CHAR(34)&amp;","&amp;CHAR(34)&amp;"transform"&amp;CHAR(34)&amp;":"&amp;CHAR(34)&amp;G411&amp;CHAR(34)&amp;"}")</f>
        <v/>
      </c>
      <c r="I411">
        <f>IF(E411&lt;&gt;"INCLUDE","","'|"&amp;B411&amp;"=', "&amp;IF(F411="date","if(string-length(string(${"&amp;B411&amp;"})) &gt; 0, format-date(${"&amp;B411&amp;"}, '%Y-%m-%d'), '')",IF(F411="sha256","digest(string(${"&amp;B411&amp;"}), 'SHA-256', 'hex')","string(${"&amp;B411&amp;"})")))</f>
        <v/>
      </c>
      <c r="J411">
        <f>IF(E411="INCLUDE","Included by explicit yes","Not included")</f>
        <v/>
      </c>
      <c r="K411">
        <f>K410&amp;IF(H411="","",","&amp;H411)</f>
        <v/>
      </c>
      <c r="L411">
        <f>L410&amp;IF(I411="","",","&amp;I411)</f>
        <v/>
      </c>
    </row>
    <row r="412">
      <c r="A412" t="n">
        <v>429</v>
      </c>
      <c r="B412">
        <f>survey!B429</f>
        <v/>
      </c>
      <c r="C412">
        <f>survey!A429</f>
        <v/>
      </c>
      <c r="D412" t="inlineStr"/>
      <c r="E412">
        <f>IF(OR(B412="",C412=""),"",IF(LOWER(D412)="yes","INCLUDE","EXCLUDE"))</f>
        <v/>
      </c>
      <c r="F412">
        <f>IF(E412&lt;&gt;"INCLUDE","",IF(LEFT(LOWER(C412),10)="select_one ","select_one",IF(LOWER(C412)="date","date",IF(OR(LOWER(C412)="integer",LOWER(C412)="decimal",LOWER(C412)="range"),LOWER(C412),"sha256"))))</f>
        <v/>
      </c>
      <c r="G412">
        <f>IF(E412&lt;&gt;"INCLUDE","",IF(F412="date","yyyy-mm-dd",IF(F412="select_one","stored-choice-name",IF(F412="sha256","odk-lexical-utf8-sha256","odk-canonical-scalar"))))</f>
        <v/>
      </c>
      <c r="H412">
        <f>IF(E412&lt;&gt;"INCLUDE","","{"&amp;CHAR(34)&amp;"path"&amp;CHAR(34)&amp;":"&amp;CHAR(34)&amp;B412&amp;CHAR(34)&amp;","&amp;CHAR(34)&amp;"type"&amp;CHAR(34)&amp;":"&amp;CHAR(34)&amp;F412&amp;CHAR(34)&amp;","&amp;CHAR(34)&amp;"xlsform_type"&amp;CHAR(34)&amp;":"&amp;CHAR(34)&amp;C412&amp;CHAR(34)&amp;","&amp;CHAR(34)&amp;"commitment"&amp;CHAR(34)&amp;":"&amp;CHAR(34)&amp;IF(F412="sha256","text-utf8-sha256","value")&amp;CHAR(34)&amp;","&amp;CHAR(34)&amp;"transform"&amp;CHAR(34)&amp;":"&amp;CHAR(34)&amp;G412&amp;CHAR(34)&amp;"}")</f>
        <v/>
      </c>
      <c r="I412">
        <f>IF(E412&lt;&gt;"INCLUDE","","'|"&amp;B412&amp;"=', "&amp;IF(F412="date","if(string-length(string(${"&amp;B412&amp;"})) &gt; 0, format-date(${"&amp;B412&amp;"}, '%Y-%m-%d'), '')",IF(F412="sha256","digest(string(${"&amp;B412&amp;"}), 'SHA-256', 'hex')","string(${"&amp;B412&amp;"})")))</f>
        <v/>
      </c>
      <c r="J412">
        <f>IF(E412="INCLUDE","Included by explicit yes","Not included")</f>
        <v/>
      </c>
      <c r="K412">
        <f>K411&amp;IF(H412="","",","&amp;H412)</f>
        <v/>
      </c>
      <c r="L412">
        <f>L411&amp;IF(I412="","",","&amp;I412)</f>
        <v/>
      </c>
    </row>
    <row r="413">
      <c r="A413" t="n">
        <v>430</v>
      </c>
      <c r="B413">
        <f>survey!B430</f>
        <v/>
      </c>
      <c r="C413">
        <f>survey!A430</f>
        <v/>
      </c>
      <c r="D413" t="inlineStr"/>
      <c r="E413">
        <f>IF(OR(B413="",C413=""),"",IF(LOWER(D413)="yes","INCLUDE","EXCLUDE"))</f>
        <v/>
      </c>
      <c r="F413">
        <f>IF(E413&lt;&gt;"INCLUDE","",IF(LEFT(LOWER(C413),10)="select_one ","select_one",IF(LOWER(C413)="date","date",IF(OR(LOWER(C413)="integer",LOWER(C413)="decimal",LOWER(C413)="range"),LOWER(C413),"sha256"))))</f>
        <v/>
      </c>
      <c r="G413">
        <f>IF(E413&lt;&gt;"INCLUDE","",IF(F413="date","yyyy-mm-dd",IF(F413="select_one","stored-choice-name",IF(F413="sha256","odk-lexical-utf8-sha256","odk-canonical-scalar"))))</f>
        <v/>
      </c>
      <c r="H413">
        <f>IF(E413&lt;&gt;"INCLUDE","","{"&amp;CHAR(34)&amp;"path"&amp;CHAR(34)&amp;":"&amp;CHAR(34)&amp;B413&amp;CHAR(34)&amp;","&amp;CHAR(34)&amp;"type"&amp;CHAR(34)&amp;":"&amp;CHAR(34)&amp;F413&amp;CHAR(34)&amp;","&amp;CHAR(34)&amp;"xlsform_type"&amp;CHAR(34)&amp;":"&amp;CHAR(34)&amp;C413&amp;CHAR(34)&amp;","&amp;CHAR(34)&amp;"commitment"&amp;CHAR(34)&amp;":"&amp;CHAR(34)&amp;IF(F413="sha256","text-utf8-sha256","value")&amp;CHAR(34)&amp;","&amp;CHAR(34)&amp;"transform"&amp;CHAR(34)&amp;":"&amp;CHAR(34)&amp;G413&amp;CHAR(34)&amp;"}")</f>
        <v/>
      </c>
      <c r="I413">
        <f>IF(E413&lt;&gt;"INCLUDE","","'|"&amp;B413&amp;"=', "&amp;IF(F413="date","if(string-length(string(${"&amp;B413&amp;"})) &gt; 0, format-date(${"&amp;B413&amp;"}, '%Y-%m-%d'), '')",IF(F413="sha256","digest(string(${"&amp;B413&amp;"}), 'SHA-256', 'hex')","string(${"&amp;B413&amp;"})")))</f>
        <v/>
      </c>
      <c r="J413">
        <f>IF(E413="INCLUDE","Included by explicit yes","Not included")</f>
        <v/>
      </c>
      <c r="K413">
        <f>K412&amp;IF(H413="","",","&amp;H413)</f>
        <v/>
      </c>
      <c r="L413">
        <f>L412&amp;IF(I413="","",","&amp;I413)</f>
        <v/>
      </c>
    </row>
    <row r="414">
      <c r="A414" t="n">
        <v>431</v>
      </c>
      <c r="B414">
        <f>survey!B431</f>
        <v/>
      </c>
      <c r="C414">
        <f>survey!A431</f>
        <v/>
      </c>
      <c r="D414" t="inlineStr"/>
      <c r="E414">
        <f>IF(OR(B414="",C414=""),"",IF(LOWER(D414)="yes","INCLUDE","EXCLUDE"))</f>
        <v/>
      </c>
      <c r="F414">
        <f>IF(E414&lt;&gt;"INCLUDE","",IF(LEFT(LOWER(C414),10)="select_one ","select_one",IF(LOWER(C414)="date","date",IF(OR(LOWER(C414)="integer",LOWER(C414)="decimal",LOWER(C414)="range"),LOWER(C414),"sha256"))))</f>
        <v/>
      </c>
      <c r="G414">
        <f>IF(E414&lt;&gt;"INCLUDE","",IF(F414="date","yyyy-mm-dd",IF(F414="select_one","stored-choice-name",IF(F414="sha256","odk-lexical-utf8-sha256","odk-canonical-scalar"))))</f>
        <v/>
      </c>
      <c r="H414">
        <f>IF(E414&lt;&gt;"INCLUDE","","{"&amp;CHAR(34)&amp;"path"&amp;CHAR(34)&amp;":"&amp;CHAR(34)&amp;B414&amp;CHAR(34)&amp;","&amp;CHAR(34)&amp;"type"&amp;CHAR(34)&amp;":"&amp;CHAR(34)&amp;F414&amp;CHAR(34)&amp;","&amp;CHAR(34)&amp;"xlsform_type"&amp;CHAR(34)&amp;":"&amp;CHAR(34)&amp;C414&amp;CHAR(34)&amp;","&amp;CHAR(34)&amp;"commitment"&amp;CHAR(34)&amp;":"&amp;CHAR(34)&amp;IF(F414="sha256","text-utf8-sha256","value")&amp;CHAR(34)&amp;","&amp;CHAR(34)&amp;"transform"&amp;CHAR(34)&amp;":"&amp;CHAR(34)&amp;G414&amp;CHAR(34)&amp;"}")</f>
        <v/>
      </c>
      <c r="I414">
        <f>IF(E414&lt;&gt;"INCLUDE","","'|"&amp;B414&amp;"=', "&amp;IF(F414="date","if(string-length(string(${"&amp;B414&amp;"})) &gt; 0, format-date(${"&amp;B414&amp;"}, '%Y-%m-%d'), '')",IF(F414="sha256","digest(string(${"&amp;B414&amp;"}), 'SHA-256', 'hex')","string(${"&amp;B414&amp;"})")))</f>
        <v/>
      </c>
      <c r="J414">
        <f>IF(E414="INCLUDE","Included by explicit yes","Not included")</f>
        <v/>
      </c>
      <c r="K414">
        <f>K413&amp;IF(H414="","",","&amp;H414)</f>
        <v/>
      </c>
      <c r="L414">
        <f>L413&amp;IF(I414="","",","&amp;I414)</f>
        <v/>
      </c>
    </row>
    <row r="415">
      <c r="A415" t="n">
        <v>432</v>
      </c>
      <c r="B415">
        <f>survey!B432</f>
        <v/>
      </c>
      <c r="C415">
        <f>survey!A432</f>
        <v/>
      </c>
      <c r="D415" t="inlineStr"/>
      <c r="E415">
        <f>IF(OR(B415="",C415=""),"",IF(LOWER(D415)="yes","INCLUDE","EXCLUDE"))</f>
        <v/>
      </c>
      <c r="F415">
        <f>IF(E415&lt;&gt;"INCLUDE","",IF(LEFT(LOWER(C415),10)="select_one ","select_one",IF(LOWER(C415)="date","date",IF(OR(LOWER(C415)="integer",LOWER(C415)="decimal",LOWER(C415)="range"),LOWER(C415),"sha256"))))</f>
        <v/>
      </c>
      <c r="G415">
        <f>IF(E415&lt;&gt;"INCLUDE","",IF(F415="date","yyyy-mm-dd",IF(F415="select_one","stored-choice-name",IF(F415="sha256","odk-lexical-utf8-sha256","odk-canonical-scalar"))))</f>
        <v/>
      </c>
      <c r="H415">
        <f>IF(E415&lt;&gt;"INCLUDE","","{"&amp;CHAR(34)&amp;"path"&amp;CHAR(34)&amp;":"&amp;CHAR(34)&amp;B415&amp;CHAR(34)&amp;","&amp;CHAR(34)&amp;"type"&amp;CHAR(34)&amp;":"&amp;CHAR(34)&amp;F415&amp;CHAR(34)&amp;","&amp;CHAR(34)&amp;"xlsform_type"&amp;CHAR(34)&amp;":"&amp;CHAR(34)&amp;C415&amp;CHAR(34)&amp;","&amp;CHAR(34)&amp;"commitment"&amp;CHAR(34)&amp;":"&amp;CHAR(34)&amp;IF(F415="sha256","text-utf8-sha256","value")&amp;CHAR(34)&amp;","&amp;CHAR(34)&amp;"transform"&amp;CHAR(34)&amp;":"&amp;CHAR(34)&amp;G415&amp;CHAR(34)&amp;"}")</f>
        <v/>
      </c>
      <c r="I415">
        <f>IF(E415&lt;&gt;"INCLUDE","","'|"&amp;B415&amp;"=', "&amp;IF(F415="date","if(string-length(string(${"&amp;B415&amp;"})) &gt; 0, format-date(${"&amp;B415&amp;"}, '%Y-%m-%d'), '')",IF(F415="sha256","digest(string(${"&amp;B415&amp;"}), 'SHA-256', 'hex')","string(${"&amp;B415&amp;"})")))</f>
        <v/>
      </c>
      <c r="J415">
        <f>IF(E415="INCLUDE","Included by explicit yes","Not included")</f>
        <v/>
      </c>
      <c r="K415">
        <f>K414&amp;IF(H415="","",","&amp;H415)</f>
        <v/>
      </c>
      <c r="L415">
        <f>L414&amp;IF(I415="","",","&amp;I415)</f>
        <v/>
      </c>
    </row>
    <row r="416">
      <c r="A416" t="n">
        <v>433</v>
      </c>
      <c r="B416">
        <f>survey!B433</f>
        <v/>
      </c>
      <c r="C416">
        <f>survey!A433</f>
        <v/>
      </c>
      <c r="D416" t="inlineStr"/>
      <c r="E416">
        <f>IF(OR(B416="",C416=""),"",IF(LOWER(D416)="yes","INCLUDE","EXCLUDE"))</f>
        <v/>
      </c>
      <c r="F416">
        <f>IF(E416&lt;&gt;"INCLUDE","",IF(LEFT(LOWER(C416),10)="select_one ","select_one",IF(LOWER(C416)="date","date",IF(OR(LOWER(C416)="integer",LOWER(C416)="decimal",LOWER(C416)="range"),LOWER(C416),"sha256"))))</f>
        <v/>
      </c>
      <c r="G416">
        <f>IF(E416&lt;&gt;"INCLUDE","",IF(F416="date","yyyy-mm-dd",IF(F416="select_one","stored-choice-name",IF(F416="sha256","odk-lexical-utf8-sha256","odk-canonical-scalar"))))</f>
        <v/>
      </c>
      <c r="H416">
        <f>IF(E416&lt;&gt;"INCLUDE","","{"&amp;CHAR(34)&amp;"path"&amp;CHAR(34)&amp;":"&amp;CHAR(34)&amp;B416&amp;CHAR(34)&amp;","&amp;CHAR(34)&amp;"type"&amp;CHAR(34)&amp;":"&amp;CHAR(34)&amp;F416&amp;CHAR(34)&amp;","&amp;CHAR(34)&amp;"xlsform_type"&amp;CHAR(34)&amp;":"&amp;CHAR(34)&amp;C416&amp;CHAR(34)&amp;","&amp;CHAR(34)&amp;"commitment"&amp;CHAR(34)&amp;":"&amp;CHAR(34)&amp;IF(F416="sha256","text-utf8-sha256","value")&amp;CHAR(34)&amp;","&amp;CHAR(34)&amp;"transform"&amp;CHAR(34)&amp;":"&amp;CHAR(34)&amp;G416&amp;CHAR(34)&amp;"}")</f>
        <v/>
      </c>
      <c r="I416">
        <f>IF(E416&lt;&gt;"INCLUDE","","'|"&amp;B416&amp;"=', "&amp;IF(F416="date","if(string-length(string(${"&amp;B416&amp;"})) &gt; 0, format-date(${"&amp;B416&amp;"}, '%Y-%m-%d'), '')",IF(F416="sha256","digest(string(${"&amp;B416&amp;"}), 'SHA-256', 'hex')","string(${"&amp;B416&amp;"})")))</f>
        <v/>
      </c>
      <c r="J416">
        <f>IF(E416="INCLUDE","Included by explicit yes","Not included")</f>
        <v/>
      </c>
      <c r="K416">
        <f>K415&amp;IF(H416="","",","&amp;H416)</f>
        <v/>
      </c>
      <c r="L416">
        <f>L415&amp;IF(I416="","",","&amp;I416)</f>
        <v/>
      </c>
    </row>
    <row r="417">
      <c r="A417" t="n">
        <v>434</v>
      </c>
      <c r="B417">
        <f>survey!B434</f>
        <v/>
      </c>
      <c r="C417">
        <f>survey!A434</f>
        <v/>
      </c>
      <c r="D417" t="inlineStr"/>
      <c r="E417">
        <f>IF(OR(B417="",C417=""),"",IF(LOWER(D417)="yes","INCLUDE","EXCLUDE"))</f>
        <v/>
      </c>
      <c r="F417">
        <f>IF(E417&lt;&gt;"INCLUDE","",IF(LEFT(LOWER(C417),10)="select_one ","select_one",IF(LOWER(C417)="date","date",IF(OR(LOWER(C417)="integer",LOWER(C417)="decimal",LOWER(C417)="range"),LOWER(C417),"sha256"))))</f>
        <v/>
      </c>
      <c r="G417">
        <f>IF(E417&lt;&gt;"INCLUDE","",IF(F417="date","yyyy-mm-dd",IF(F417="select_one","stored-choice-name",IF(F417="sha256","odk-lexical-utf8-sha256","odk-canonical-scalar"))))</f>
        <v/>
      </c>
      <c r="H417">
        <f>IF(E417&lt;&gt;"INCLUDE","","{"&amp;CHAR(34)&amp;"path"&amp;CHAR(34)&amp;":"&amp;CHAR(34)&amp;B417&amp;CHAR(34)&amp;","&amp;CHAR(34)&amp;"type"&amp;CHAR(34)&amp;":"&amp;CHAR(34)&amp;F417&amp;CHAR(34)&amp;","&amp;CHAR(34)&amp;"xlsform_type"&amp;CHAR(34)&amp;":"&amp;CHAR(34)&amp;C417&amp;CHAR(34)&amp;","&amp;CHAR(34)&amp;"commitment"&amp;CHAR(34)&amp;":"&amp;CHAR(34)&amp;IF(F417="sha256","text-utf8-sha256","value")&amp;CHAR(34)&amp;","&amp;CHAR(34)&amp;"transform"&amp;CHAR(34)&amp;":"&amp;CHAR(34)&amp;G417&amp;CHAR(34)&amp;"}")</f>
        <v/>
      </c>
      <c r="I417">
        <f>IF(E417&lt;&gt;"INCLUDE","","'|"&amp;B417&amp;"=', "&amp;IF(F417="date","if(string-length(string(${"&amp;B417&amp;"})) &gt; 0, format-date(${"&amp;B417&amp;"}, '%Y-%m-%d'), '')",IF(F417="sha256","digest(string(${"&amp;B417&amp;"}), 'SHA-256', 'hex')","string(${"&amp;B417&amp;"})")))</f>
        <v/>
      </c>
      <c r="J417">
        <f>IF(E417="INCLUDE","Included by explicit yes","Not included")</f>
        <v/>
      </c>
      <c r="K417">
        <f>K416&amp;IF(H417="","",","&amp;H417)</f>
        <v/>
      </c>
      <c r="L417">
        <f>L416&amp;IF(I417="","",","&amp;I417)</f>
        <v/>
      </c>
    </row>
    <row r="418">
      <c r="A418" t="n">
        <v>435</v>
      </c>
      <c r="B418">
        <f>survey!B435</f>
        <v/>
      </c>
      <c r="C418">
        <f>survey!A435</f>
        <v/>
      </c>
      <c r="D418" t="inlineStr"/>
      <c r="E418">
        <f>IF(OR(B418="",C418=""),"",IF(LOWER(D418)="yes","INCLUDE","EXCLUDE"))</f>
        <v/>
      </c>
      <c r="F418">
        <f>IF(E418&lt;&gt;"INCLUDE","",IF(LEFT(LOWER(C418),10)="select_one ","select_one",IF(LOWER(C418)="date","date",IF(OR(LOWER(C418)="integer",LOWER(C418)="decimal",LOWER(C418)="range"),LOWER(C418),"sha256"))))</f>
        <v/>
      </c>
      <c r="G418">
        <f>IF(E418&lt;&gt;"INCLUDE","",IF(F418="date","yyyy-mm-dd",IF(F418="select_one","stored-choice-name",IF(F418="sha256","odk-lexical-utf8-sha256","odk-canonical-scalar"))))</f>
        <v/>
      </c>
      <c r="H418">
        <f>IF(E418&lt;&gt;"INCLUDE","","{"&amp;CHAR(34)&amp;"path"&amp;CHAR(34)&amp;":"&amp;CHAR(34)&amp;B418&amp;CHAR(34)&amp;","&amp;CHAR(34)&amp;"type"&amp;CHAR(34)&amp;":"&amp;CHAR(34)&amp;F418&amp;CHAR(34)&amp;","&amp;CHAR(34)&amp;"xlsform_type"&amp;CHAR(34)&amp;":"&amp;CHAR(34)&amp;C418&amp;CHAR(34)&amp;","&amp;CHAR(34)&amp;"commitment"&amp;CHAR(34)&amp;":"&amp;CHAR(34)&amp;IF(F418="sha256","text-utf8-sha256","value")&amp;CHAR(34)&amp;","&amp;CHAR(34)&amp;"transform"&amp;CHAR(34)&amp;":"&amp;CHAR(34)&amp;G418&amp;CHAR(34)&amp;"}")</f>
        <v/>
      </c>
      <c r="I418">
        <f>IF(E418&lt;&gt;"INCLUDE","","'|"&amp;B418&amp;"=', "&amp;IF(F418="date","if(string-length(string(${"&amp;B418&amp;"})) &gt; 0, format-date(${"&amp;B418&amp;"}, '%Y-%m-%d'), '')",IF(F418="sha256","digest(string(${"&amp;B418&amp;"}), 'SHA-256', 'hex')","string(${"&amp;B418&amp;"})")))</f>
        <v/>
      </c>
      <c r="J418">
        <f>IF(E418="INCLUDE","Included by explicit yes","Not included")</f>
        <v/>
      </c>
      <c r="K418">
        <f>K417&amp;IF(H418="","",","&amp;H418)</f>
        <v/>
      </c>
      <c r="L418">
        <f>L417&amp;IF(I418="","",","&amp;I418)</f>
        <v/>
      </c>
    </row>
    <row r="419">
      <c r="A419" t="n">
        <v>436</v>
      </c>
      <c r="B419">
        <f>survey!B436</f>
        <v/>
      </c>
      <c r="C419">
        <f>survey!A436</f>
        <v/>
      </c>
      <c r="D419" t="inlineStr"/>
      <c r="E419">
        <f>IF(OR(B419="",C419=""),"",IF(LOWER(D419)="yes","INCLUDE","EXCLUDE"))</f>
        <v/>
      </c>
      <c r="F419">
        <f>IF(E419&lt;&gt;"INCLUDE","",IF(LEFT(LOWER(C419),10)="select_one ","select_one",IF(LOWER(C419)="date","date",IF(OR(LOWER(C419)="integer",LOWER(C419)="decimal",LOWER(C419)="range"),LOWER(C419),"sha256"))))</f>
        <v/>
      </c>
      <c r="G419">
        <f>IF(E419&lt;&gt;"INCLUDE","",IF(F419="date","yyyy-mm-dd",IF(F419="select_one","stored-choice-name",IF(F419="sha256","odk-lexical-utf8-sha256","odk-canonical-scalar"))))</f>
        <v/>
      </c>
      <c r="H419">
        <f>IF(E419&lt;&gt;"INCLUDE","","{"&amp;CHAR(34)&amp;"path"&amp;CHAR(34)&amp;":"&amp;CHAR(34)&amp;B419&amp;CHAR(34)&amp;","&amp;CHAR(34)&amp;"type"&amp;CHAR(34)&amp;":"&amp;CHAR(34)&amp;F419&amp;CHAR(34)&amp;","&amp;CHAR(34)&amp;"xlsform_type"&amp;CHAR(34)&amp;":"&amp;CHAR(34)&amp;C419&amp;CHAR(34)&amp;","&amp;CHAR(34)&amp;"commitment"&amp;CHAR(34)&amp;":"&amp;CHAR(34)&amp;IF(F419="sha256","text-utf8-sha256","value")&amp;CHAR(34)&amp;","&amp;CHAR(34)&amp;"transform"&amp;CHAR(34)&amp;":"&amp;CHAR(34)&amp;G419&amp;CHAR(34)&amp;"}")</f>
        <v/>
      </c>
      <c r="I419">
        <f>IF(E419&lt;&gt;"INCLUDE","","'|"&amp;B419&amp;"=', "&amp;IF(F419="date","if(string-length(string(${"&amp;B419&amp;"})) &gt; 0, format-date(${"&amp;B419&amp;"}, '%Y-%m-%d'), '')",IF(F419="sha256","digest(string(${"&amp;B419&amp;"}), 'SHA-256', 'hex')","string(${"&amp;B419&amp;"})")))</f>
        <v/>
      </c>
      <c r="J419">
        <f>IF(E419="INCLUDE","Included by explicit yes","Not included")</f>
        <v/>
      </c>
      <c r="K419">
        <f>K418&amp;IF(H419="","",","&amp;H419)</f>
        <v/>
      </c>
      <c r="L419">
        <f>L418&amp;IF(I419="","",","&amp;I419)</f>
        <v/>
      </c>
    </row>
    <row r="420">
      <c r="A420" t="n">
        <v>437</v>
      </c>
      <c r="B420">
        <f>survey!B437</f>
        <v/>
      </c>
      <c r="C420">
        <f>survey!A437</f>
        <v/>
      </c>
      <c r="D420" t="inlineStr"/>
      <c r="E420">
        <f>IF(OR(B420="",C420=""),"",IF(LOWER(D420)="yes","INCLUDE","EXCLUDE"))</f>
        <v/>
      </c>
      <c r="F420">
        <f>IF(E420&lt;&gt;"INCLUDE","",IF(LEFT(LOWER(C420),10)="select_one ","select_one",IF(LOWER(C420)="date","date",IF(OR(LOWER(C420)="integer",LOWER(C420)="decimal",LOWER(C420)="range"),LOWER(C420),"sha256"))))</f>
        <v/>
      </c>
      <c r="G420">
        <f>IF(E420&lt;&gt;"INCLUDE","",IF(F420="date","yyyy-mm-dd",IF(F420="select_one","stored-choice-name",IF(F420="sha256","odk-lexical-utf8-sha256","odk-canonical-scalar"))))</f>
        <v/>
      </c>
      <c r="H420">
        <f>IF(E420&lt;&gt;"INCLUDE","","{"&amp;CHAR(34)&amp;"path"&amp;CHAR(34)&amp;":"&amp;CHAR(34)&amp;B420&amp;CHAR(34)&amp;","&amp;CHAR(34)&amp;"type"&amp;CHAR(34)&amp;":"&amp;CHAR(34)&amp;F420&amp;CHAR(34)&amp;","&amp;CHAR(34)&amp;"xlsform_type"&amp;CHAR(34)&amp;":"&amp;CHAR(34)&amp;C420&amp;CHAR(34)&amp;","&amp;CHAR(34)&amp;"commitment"&amp;CHAR(34)&amp;":"&amp;CHAR(34)&amp;IF(F420="sha256","text-utf8-sha256","value")&amp;CHAR(34)&amp;","&amp;CHAR(34)&amp;"transform"&amp;CHAR(34)&amp;":"&amp;CHAR(34)&amp;G420&amp;CHAR(34)&amp;"}")</f>
        <v/>
      </c>
      <c r="I420">
        <f>IF(E420&lt;&gt;"INCLUDE","","'|"&amp;B420&amp;"=', "&amp;IF(F420="date","if(string-length(string(${"&amp;B420&amp;"})) &gt; 0, format-date(${"&amp;B420&amp;"}, '%Y-%m-%d'), '')",IF(F420="sha256","digest(string(${"&amp;B420&amp;"}), 'SHA-256', 'hex')","string(${"&amp;B420&amp;"})")))</f>
        <v/>
      </c>
      <c r="J420">
        <f>IF(E420="INCLUDE","Included by explicit yes","Not included")</f>
        <v/>
      </c>
      <c r="K420">
        <f>K419&amp;IF(H420="","",","&amp;H420)</f>
        <v/>
      </c>
      <c r="L420">
        <f>L419&amp;IF(I420="","",","&amp;I420)</f>
        <v/>
      </c>
    </row>
    <row r="421">
      <c r="A421" t="n">
        <v>438</v>
      </c>
      <c r="B421">
        <f>survey!B438</f>
        <v/>
      </c>
      <c r="C421">
        <f>survey!A438</f>
        <v/>
      </c>
      <c r="D421" t="inlineStr"/>
      <c r="E421">
        <f>IF(OR(B421="",C421=""),"",IF(LOWER(D421)="yes","INCLUDE","EXCLUDE"))</f>
        <v/>
      </c>
      <c r="F421">
        <f>IF(E421&lt;&gt;"INCLUDE","",IF(LEFT(LOWER(C421),10)="select_one ","select_one",IF(LOWER(C421)="date","date",IF(OR(LOWER(C421)="integer",LOWER(C421)="decimal",LOWER(C421)="range"),LOWER(C421),"sha256"))))</f>
        <v/>
      </c>
      <c r="G421">
        <f>IF(E421&lt;&gt;"INCLUDE","",IF(F421="date","yyyy-mm-dd",IF(F421="select_one","stored-choice-name",IF(F421="sha256","odk-lexical-utf8-sha256","odk-canonical-scalar"))))</f>
        <v/>
      </c>
      <c r="H421">
        <f>IF(E421&lt;&gt;"INCLUDE","","{"&amp;CHAR(34)&amp;"path"&amp;CHAR(34)&amp;":"&amp;CHAR(34)&amp;B421&amp;CHAR(34)&amp;","&amp;CHAR(34)&amp;"type"&amp;CHAR(34)&amp;":"&amp;CHAR(34)&amp;F421&amp;CHAR(34)&amp;","&amp;CHAR(34)&amp;"xlsform_type"&amp;CHAR(34)&amp;":"&amp;CHAR(34)&amp;C421&amp;CHAR(34)&amp;","&amp;CHAR(34)&amp;"commitment"&amp;CHAR(34)&amp;":"&amp;CHAR(34)&amp;IF(F421="sha256","text-utf8-sha256","value")&amp;CHAR(34)&amp;","&amp;CHAR(34)&amp;"transform"&amp;CHAR(34)&amp;":"&amp;CHAR(34)&amp;G421&amp;CHAR(34)&amp;"}")</f>
        <v/>
      </c>
      <c r="I421">
        <f>IF(E421&lt;&gt;"INCLUDE","","'|"&amp;B421&amp;"=', "&amp;IF(F421="date","if(string-length(string(${"&amp;B421&amp;"})) &gt; 0, format-date(${"&amp;B421&amp;"}, '%Y-%m-%d'), '')",IF(F421="sha256","digest(string(${"&amp;B421&amp;"}), 'SHA-256', 'hex')","string(${"&amp;B421&amp;"})")))</f>
        <v/>
      </c>
      <c r="J421">
        <f>IF(E421="INCLUDE","Included by explicit yes","Not included")</f>
        <v/>
      </c>
      <c r="K421">
        <f>K420&amp;IF(H421="","",","&amp;H421)</f>
        <v/>
      </c>
      <c r="L421">
        <f>L420&amp;IF(I421="","",","&amp;I421)</f>
        <v/>
      </c>
    </row>
    <row r="422">
      <c r="A422" t="n">
        <v>439</v>
      </c>
      <c r="B422">
        <f>survey!B439</f>
        <v/>
      </c>
      <c r="C422">
        <f>survey!A439</f>
        <v/>
      </c>
      <c r="D422" t="inlineStr"/>
      <c r="E422">
        <f>IF(OR(B422="",C422=""),"",IF(LOWER(D422)="yes","INCLUDE","EXCLUDE"))</f>
        <v/>
      </c>
      <c r="F422">
        <f>IF(E422&lt;&gt;"INCLUDE","",IF(LEFT(LOWER(C422),10)="select_one ","select_one",IF(LOWER(C422)="date","date",IF(OR(LOWER(C422)="integer",LOWER(C422)="decimal",LOWER(C422)="range"),LOWER(C422),"sha256"))))</f>
        <v/>
      </c>
      <c r="G422">
        <f>IF(E422&lt;&gt;"INCLUDE","",IF(F422="date","yyyy-mm-dd",IF(F422="select_one","stored-choice-name",IF(F422="sha256","odk-lexical-utf8-sha256","odk-canonical-scalar"))))</f>
        <v/>
      </c>
      <c r="H422">
        <f>IF(E422&lt;&gt;"INCLUDE","","{"&amp;CHAR(34)&amp;"path"&amp;CHAR(34)&amp;":"&amp;CHAR(34)&amp;B422&amp;CHAR(34)&amp;","&amp;CHAR(34)&amp;"type"&amp;CHAR(34)&amp;":"&amp;CHAR(34)&amp;F422&amp;CHAR(34)&amp;","&amp;CHAR(34)&amp;"xlsform_type"&amp;CHAR(34)&amp;":"&amp;CHAR(34)&amp;C422&amp;CHAR(34)&amp;","&amp;CHAR(34)&amp;"commitment"&amp;CHAR(34)&amp;":"&amp;CHAR(34)&amp;IF(F422="sha256","text-utf8-sha256","value")&amp;CHAR(34)&amp;","&amp;CHAR(34)&amp;"transform"&amp;CHAR(34)&amp;":"&amp;CHAR(34)&amp;G422&amp;CHAR(34)&amp;"}")</f>
        <v/>
      </c>
      <c r="I422">
        <f>IF(E422&lt;&gt;"INCLUDE","","'|"&amp;B422&amp;"=', "&amp;IF(F422="date","if(string-length(string(${"&amp;B422&amp;"})) &gt; 0, format-date(${"&amp;B422&amp;"}, '%Y-%m-%d'), '')",IF(F422="sha256","digest(string(${"&amp;B422&amp;"}), 'SHA-256', 'hex')","string(${"&amp;B422&amp;"})")))</f>
        <v/>
      </c>
      <c r="J422">
        <f>IF(E422="INCLUDE","Included by explicit yes","Not included")</f>
        <v/>
      </c>
      <c r="K422">
        <f>K421&amp;IF(H422="","",","&amp;H422)</f>
        <v/>
      </c>
      <c r="L422">
        <f>L421&amp;IF(I422="","",","&amp;I422)</f>
        <v/>
      </c>
    </row>
    <row r="423">
      <c r="A423" t="n">
        <v>440</v>
      </c>
      <c r="B423">
        <f>survey!B440</f>
        <v/>
      </c>
      <c r="C423">
        <f>survey!A440</f>
        <v/>
      </c>
      <c r="D423" t="inlineStr"/>
      <c r="E423">
        <f>IF(OR(B423="",C423=""),"",IF(LOWER(D423)="yes","INCLUDE","EXCLUDE"))</f>
        <v/>
      </c>
      <c r="F423">
        <f>IF(E423&lt;&gt;"INCLUDE","",IF(LEFT(LOWER(C423),10)="select_one ","select_one",IF(LOWER(C423)="date","date",IF(OR(LOWER(C423)="integer",LOWER(C423)="decimal",LOWER(C423)="range"),LOWER(C423),"sha256"))))</f>
        <v/>
      </c>
      <c r="G423">
        <f>IF(E423&lt;&gt;"INCLUDE","",IF(F423="date","yyyy-mm-dd",IF(F423="select_one","stored-choice-name",IF(F423="sha256","odk-lexical-utf8-sha256","odk-canonical-scalar"))))</f>
        <v/>
      </c>
      <c r="H423">
        <f>IF(E423&lt;&gt;"INCLUDE","","{"&amp;CHAR(34)&amp;"path"&amp;CHAR(34)&amp;":"&amp;CHAR(34)&amp;B423&amp;CHAR(34)&amp;","&amp;CHAR(34)&amp;"type"&amp;CHAR(34)&amp;":"&amp;CHAR(34)&amp;F423&amp;CHAR(34)&amp;","&amp;CHAR(34)&amp;"xlsform_type"&amp;CHAR(34)&amp;":"&amp;CHAR(34)&amp;C423&amp;CHAR(34)&amp;","&amp;CHAR(34)&amp;"commitment"&amp;CHAR(34)&amp;":"&amp;CHAR(34)&amp;IF(F423="sha256","text-utf8-sha256","value")&amp;CHAR(34)&amp;","&amp;CHAR(34)&amp;"transform"&amp;CHAR(34)&amp;":"&amp;CHAR(34)&amp;G423&amp;CHAR(34)&amp;"}")</f>
        <v/>
      </c>
      <c r="I423">
        <f>IF(E423&lt;&gt;"INCLUDE","","'|"&amp;B423&amp;"=', "&amp;IF(F423="date","if(string-length(string(${"&amp;B423&amp;"})) &gt; 0, format-date(${"&amp;B423&amp;"}, '%Y-%m-%d'), '')",IF(F423="sha256","digest(string(${"&amp;B423&amp;"}), 'SHA-256', 'hex')","string(${"&amp;B423&amp;"})")))</f>
        <v/>
      </c>
      <c r="J423">
        <f>IF(E423="INCLUDE","Included by explicit yes","Not included")</f>
        <v/>
      </c>
      <c r="K423">
        <f>K422&amp;IF(H423="","",","&amp;H423)</f>
        <v/>
      </c>
      <c r="L423">
        <f>L422&amp;IF(I423="","",","&amp;I423)</f>
        <v/>
      </c>
    </row>
    <row r="424">
      <c r="A424" t="n">
        <v>441</v>
      </c>
      <c r="B424">
        <f>survey!B441</f>
        <v/>
      </c>
      <c r="C424">
        <f>survey!A441</f>
        <v/>
      </c>
      <c r="D424" t="inlineStr"/>
      <c r="E424">
        <f>IF(OR(B424="",C424=""),"",IF(LOWER(D424)="yes","INCLUDE","EXCLUDE"))</f>
        <v/>
      </c>
      <c r="F424">
        <f>IF(E424&lt;&gt;"INCLUDE","",IF(LEFT(LOWER(C424),10)="select_one ","select_one",IF(LOWER(C424)="date","date",IF(OR(LOWER(C424)="integer",LOWER(C424)="decimal",LOWER(C424)="range"),LOWER(C424),"sha256"))))</f>
        <v/>
      </c>
      <c r="G424">
        <f>IF(E424&lt;&gt;"INCLUDE","",IF(F424="date","yyyy-mm-dd",IF(F424="select_one","stored-choice-name",IF(F424="sha256","odk-lexical-utf8-sha256","odk-canonical-scalar"))))</f>
        <v/>
      </c>
      <c r="H424">
        <f>IF(E424&lt;&gt;"INCLUDE","","{"&amp;CHAR(34)&amp;"path"&amp;CHAR(34)&amp;":"&amp;CHAR(34)&amp;B424&amp;CHAR(34)&amp;","&amp;CHAR(34)&amp;"type"&amp;CHAR(34)&amp;":"&amp;CHAR(34)&amp;F424&amp;CHAR(34)&amp;","&amp;CHAR(34)&amp;"xlsform_type"&amp;CHAR(34)&amp;":"&amp;CHAR(34)&amp;C424&amp;CHAR(34)&amp;","&amp;CHAR(34)&amp;"commitment"&amp;CHAR(34)&amp;":"&amp;CHAR(34)&amp;IF(F424="sha256","text-utf8-sha256","value")&amp;CHAR(34)&amp;","&amp;CHAR(34)&amp;"transform"&amp;CHAR(34)&amp;":"&amp;CHAR(34)&amp;G424&amp;CHAR(34)&amp;"}")</f>
        <v/>
      </c>
      <c r="I424">
        <f>IF(E424&lt;&gt;"INCLUDE","","'|"&amp;B424&amp;"=', "&amp;IF(F424="date","if(string-length(string(${"&amp;B424&amp;"})) &gt; 0, format-date(${"&amp;B424&amp;"}, '%Y-%m-%d'), '')",IF(F424="sha256","digest(string(${"&amp;B424&amp;"}), 'SHA-256', 'hex')","string(${"&amp;B424&amp;"})")))</f>
        <v/>
      </c>
      <c r="J424">
        <f>IF(E424="INCLUDE","Included by explicit yes","Not included")</f>
        <v/>
      </c>
      <c r="K424">
        <f>K423&amp;IF(H424="","",","&amp;H424)</f>
        <v/>
      </c>
      <c r="L424">
        <f>L423&amp;IF(I424="","",","&amp;I424)</f>
        <v/>
      </c>
    </row>
    <row r="425">
      <c r="A425" t="n">
        <v>442</v>
      </c>
      <c r="B425">
        <f>survey!B442</f>
        <v/>
      </c>
      <c r="C425">
        <f>survey!A442</f>
        <v/>
      </c>
      <c r="D425" t="inlineStr"/>
      <c r="E425">
        <f>IF(OR(B425="",C425=""),"",IF(LOWER(D425)="yes","INCLUDE","EXCLUDE"))</f>
        <v/>
      </c>
      <c r="F425">
        <f>IF(E425&lt;&gt;"INCLUDE","",IF(LEFT(LOWER(C425),10)="select_one ","select_one",IF(LOWER(C425)="date","date",IF(OR(LOWER(C425)="integer",LOWER(C425)="decimal",LOWER(C425)="range"),LOWER(C425),"sha256"))))</f>
        <v/>
      </c>
      <c r="G425">
        <f>IF(E425&lt;&gt;"INCLUDE","",IF(F425="date","yyyy-mm-dd",IF(F425="select_one","stored-choice-name",IF(F425="sha256","odk-lexical-utf8-sha256","odk-canonical-scalar"))))</f>
        <v/>
      </c>
      <c r="H425">
        <f>IF(E425&lt;&gt;"INCLUDE","","{"&amp;CHAR(34)&amp;"path"&amp;CHAR(34)&amp;":"&amp;CHAR(34)&amp;B425&amp;CHAR(34)&amp;","&amp;CHAR(34)&amp;"type"&amp;CHAR(34)&amp;":"&amp;CHAR(34)&amp;F425&amp;CHAR(34)&amp;","&amp;CHAR(34)&amp;"xlsform_type"&amp;CHAR(34)&amp;":"&amp;CHAR(34)&amp;C425&amp;CHAR(34)&amp;","&amp;CHAR(34)&amp;"commitment"&amp;CHAR(34)&amp;":"&amp;CHAR(34)&amp;IF(F425="sha256","text-utf8-sha256","value")&amp;CHAR(34)&amp;","&amp;CHAR(34)&amp;"transform"&amp;CHAR(34)&amp;":"&amp;CHAR(34)&amp;G425&amp;CHAR(34)&amp;"}")</f>
        <v/>
      </c>
      <c r="I425">
        <f>IF(E425&lt;&gt;"INCLUDE","","'|"&amp;B425&amp;"=', "&amp;IF(F425="date","if(string-length(string(${"&amp;B425&amp;"})) &gt; 0, format-date(${"&amp;B425&amp;"}, '%Y-%m-%d'), '')",IF(F425="sha256","digest(string(${"&amp;B425&amp;"}), 'SHA-256', 'hex')","string(${"&amp;B425&amp;"})")))</f>
        <v/>
      </c>
      <c r="J425">
        <f>IF(E425="INCLUDE","Included by explicit yes","Not included")</f>
        <v/>
      </c>
      <c r="K425">
        <f>K424&amp;IF(H425="","",","&amp;H425)</f>
        <v/>
      </c>
      <c r="L425">
        <f>L424&amp;IF(I425="","",","&amp;I425)</f>
        <v/>
      </c>
    </row>
    <row r="426">
      <c r="A426" t="n">
        <v>443</v>
      </c>
      <c r="B426">
        <f>survey!B443</f>
        <v/>
      </c>
      <c r="C426">
        <f>survey!A443</f>
        <v/>
      </c>
      <c r="D426" t="inlineStr"/>
      <c r="E426">
        <f>IF(OR(B426="",C426=""),"",IF(LOWER(D426)="yes","INCLUDE","EXCLUDE"))</f>
        <v/>
      </c>
      <c r="F426">
        <f>IF(E426&lt;&gt;"INCLUDE","",IF(LEFT(LOWER(C426),10)="select_one ","select_one",IF(LOWER(C426)="date","date",IF(OR(LOWER(C426)="integer",LOWER(C426)="decimal",LOWER(C426)="range"),LOWER(C426),"sha256"))))</f>
        <v/>
      </c>
      <c r="G426">
        <f>IF(E426&lt;&gt;"INCLUDE","",IF(F426="date","yyyy-mm-dd",IF(F426="select_one","stored-choice-name",IF(F426="sha256","odk-lexical-utf8-sha256","odk-canonical-scalar"))))</f>
        <v/>
      </c>
      <c r="H426">
        <f>IF(E426&lt;&gt;"INCLUDE","","{"&amp;CHAR(34)&amp;"path"&amp;CHAR(34)&amp;":"&amp;CHAR(34)&amp;B426&amp;CHAR(34)&amp;","&amp;CHAR(34)&amp;"type"&amp;CHAR(34)&amp;":"&amp;CHAR(34)&amp;F426&amp;CHAR(34)&amp;","&amp;CHAR(34)&amp;"xlsform_type"&amp;CHAR(34)&amp;":"&amp;CHAR(34)&amp;C426&amp;CHAR(34)&amp;","&amp;CHAR(34)&amp;"commitment"&amp;CHAR(34)&amp;":"&amp;CHAR(34)&amp;IF(F426="sha256","text-utf8-sha256","value")&amp;CHAR(34)&amp;","&amp;CHAR(34)&amp;"transform"&amp;CHAR(34)&amp;":"&amp;CHAR(34)&amp;G426&amp;CHAR(34)&amp;"}")</f>
        <v/>
      </c>
      <c r="I426">
        <f>IF(E426&lt;&gt;"INCLUDE","","'|"&amp;B426&amp;"=', "&amp;IF(F426="date","if(string-length(string(${"&amp;B426&amp;"})) &gt; 0, format-date(${"&amp;B426&amp;"}, '%Y-%m-%d'), '')",IF(F426="sha256","digest(string(${"&amp;B426&amp;"}), 'SHA-256', 'hex')","string(${"&amp;B426&amp;"})")))</f>
        <v/>
      </c>
      <c r="J426">
        <f>IF(E426="INCLUDE","Included by explicit yes","Not included")</f>
        <v/>
      </c>
      <c r="K426">
        <f>K425&amp;IF(H426="","",","&amp;H426)</f>
        <v/>
      </c>
      <c r="L426">
        <f>L425&amp;IF(I426="","",","&amp;I426)</f>
        <v/>
      </c>
    </row>
    <row r="427">
      <c r="A427" t="n">
        <v>444</v>
      </c>
      <c r="B427">
        <f>survey!B444</f>
        <v/>
      </c>
      <c r="C427">
        <f>survey!A444</f>
        <v/>
      </c>
      <c r="D427" t="inlineStr"/>
      <c r="E427">
        <f>IF(OR(B427="",C427=""),"",IF(LOWER(D427)="yes","INCLUDE","EXCLUDE"))</f>
        <v/>
      </c>
      <c r="F427">
        <f>IF(E427&lt;&gt;"INCLUDE","",IF(LEFT(LOWER(C427),10)="select_one ","select_one",IF(LOWER(C427)="date","date",IF(OR(LOWER(C427)="integer",LOWER(C427)="decimal",LOWER(C427)="range"),LOWER(C427),"sha256"))))</f>
        <v/>
      </c>
      <c r="G427">
        <f>IF(E427&lt;&gt;"INCLUDE","",IF(F427="date","yyyy-mm-dd",IF(F427="select_one","stored-choice-name",IF(F427="sha256","odk-lexical-utf8-sha256","odk-canonical-scalar"))))</f>
        <v/>
      </c>
      <c r="H427">
        <f>IF(E427&lt;&gt;"INCLUDE","","{"&amp;CHAR(34)&amp;"path"&amp;CHAR(34)&amp;":"&amp;CHAR(34)&amp;B427&amp;CHAR(34)&amp;","&amp;CHAR(34)&amp;"type"&amp;CHAR(34)&amp;":"&amp;CHAR(34)&amp;F427&amp;CHAR(34)&amp;","&amp;CHAR(34)&amp;"xlsform_type"&amp;CHAR(34)&amp;":"&amp;CHAR(34)&amp;C427&amp;CHAR(34)&amp;","&amp;CHAR(34)&amp;"commitment"&amp;CHAR(34)&amp;":"&amp;CHAR(34)&amp;IF(F427="sha256","text-utf8-sha256","value")&amp;CHAR(34)&amp;","&amp;CHAR(34)&amp;"transform"&amp;CHAR(34)&amp;":"&amp;CHAR(34)&amp;G427&amp;CHAR(34)&amp;"}")</f>
        <v/>
      </c>
      <c r="I427">
        <f>IF(E427&lt;&gt;"INCLUDE","","'|"&amp;B427&amp;"=', "&amp;IF(F427="date","if(string-length(string(${"&amp;B427&amp;"})) &gt; 0, format-date(${"&amp;B427&amp;"}, '%Y-%m-%d'), '')",IF(F427="sha256","digest(string(${"&amp;B427&amp;"}), 'SHA-256', 'hex')","string(${"&amp;B427&amp;"})")))</f>
        <v/>
      </c>
      <c r="J427">
        <f>IF(E427="INCLUDE","Included by explicit yes","Not included")</f>
        <v/>
      </c>
      <c r="K427">
        <f>K426&amp;IF(H427="","",","&amp;H427)</f>
        <v/>
      </c>
      <c r="L427">
        <f>L426&amp;IF(I427="","",","&amp;I427)</f>
        <v/>
      </c>
    </row>
    <row r="428">
      <c r="A428" t="n">
        <v>445</v>
      </c>
      <c r="B428">
        <f>survey!B445</f>
        <v/>
      </c>
      <c r="C428">
        <f>survey!A445</f>
        <v/>
      </c>
      <c r="D428" t="inlineStr"/>
      <c r="E428">
        <f>IF(OR(B428="",C428=""),"",IF(LOWER(D428)="yes","INCLUDE","EXCLUDE"))</f>
        <v/>
      </c>
      <c r="F428">
        <f>IF(E428&lt;&gt;"INCLUDE","",IF(LEFT(LOWER(C428),10)="select_one ","select_one",IF(LOWER(C428)="date","date",IF(OR(LOWER(C428)="integer",LOWER(C428)="decimal",LOWER(C428)="range"),LOWER(C428),"sha256"))))</f>
        <v/>
      </c>
      <c r="G428">
        <f>IF(E428&lt;&gt;"INCLUDE","",IF(F428="date","yyyy-mm-dd",IF(F428="select_one","stored-choice-name",IF(F428="sha256","odk-lexical-utf8-sha256","odk-canonical-scalar"))))</f>
        <v/>
      </c>
      <c r="H428">
        <f>IF(E428&lt;&gt;"INCLUDE","","{"&amp;CHAR(34)&amp;"path"&amp;CHAR(34)&amp;":"&amp;CHAR(34)&amp;B428&amp;CHAR(34)&amp;","&amp;CHAR(34)&amp;"type"&amp;CHAR(34)&amp;":"&amp;CHAR(34)&amp;F428&amp;CHAR(34)&amp;","&amp;CHAR(34)&amp;"xlsform_type"&amp;CHAR(34)&amp;":"&amp;CHAR(34)&amp;C428&amp;CHAR(34)&amp;","&amp;CHAR(34)&amp;"commitment"&amp;CHAR(34)&amp;":"&amp;CHAR(34)&amp;IF(F428="sha256","text-utf8-sha256","value")&amp;CHAR(34)&amp;","&amp;CHAR(34)&amp;"transform"&amp;CHAR(34)&amp;":"&amp;CHAR(34)&amp;G428&amp;CHAR(34)&amp;"}")</f>
        <v/>
      </c>
      <c r="I428">
        <f>IF(E428&lt;&gt;"INCLUDE","","'|"&amp;B428&amp;"=', "&amp;IF(F428="date","if(string-length(string(${"&amp;B428&amp;"})) &gt; 0, format-date(${"&amp;B428&amp;"}, '%Y-%m-%d'), '')",IF(F428="sha256","digest(string(${"&amp;B428&amp;"}), 'SHA-256', 'hex')","string(${"&amp;B428&amp;"})")))</f>
        <v/>
      </c>
      <c r="J428">
        <f>IF(E428="INCLUDE","Included by explicit yes","Not included")</f>
        <v/>
      </c>
      <c r="K428">
        <f>K427&amp;IF(H428="","",","&amp;H428)</f>
        <v/>
      </c>
      <c r="L428">
        <f>L427&amp;IF(I428="","",","&amp;I428)</f>
        <v/>
      </c>
    </row>
    <row r="429">
      <c r="A429" t="n">
        <v>446</v>
      </c>
      <c r="B429">
        <f>survey!B446</f>
        <v/>
      </c>
      <c r="C429">
        <f>survey!A446</f>
        <v/>
      </c>
      <c r="D429" t="inlineStr"/>
      <c r="E429">
        <f>IF(OR(B429="",C429=""),"",IF(LOWER(D429)="yes","INCLUDE","EXCLUDE"))</f>
        <v/>
      </c>
      <c r="F429">
        <f>IF(E429&lt;&gt;"INCLUDE","",IF(LEFT(LOWER(C429),10)="select_one ","select_one",IF(LOWER(C429)="date","date",IF(OR(LOWER(C429)="integer",LOWER(C429)="decimal",LOWER(C429)="range"),LOWER(C429),"sha256"))))</f>
        <v/>
      </c>
      <c r="G429">
        <f>IF(E429&lt;&gt;"INCLUDE","",IF(F429="date","yyyy-mm-dd",IF(F429="select_one","stored-choice-name",IF(F429="sha256","odk-lexical-utf8-sha256","odk-canonical-scalar"))))</f>
        <v/>
      </c>
      <c r="H429">
        <f>IF(E429&lt;&gt;"INCLUDE","","{"&amp;CHAR(34)&amp;"path"&amp;CHAR(34)&amp;":"&amp;CHAR(34)&amp;B429&amp;CHAR(34)&amp;","&amp;CHAR(34)&amp;"type"&amp;CHAR(34)&amp;":"&amp;CHAR(34)&amp;F429&amp;CHAR(34)&amp;","&amp;CHAR(34)&amp;"xlsform_type"&amp;CHAR(34)&amp;":"&amp;CHAR(34)&amp;C429&amp;CHAR(34)&amp;","&amp;CHAR(34)&amp;"commitment"&amp;CHAR(34)&amp;":"&amp;CHAR(34)&amp;IF(F429="sha256","text-utf8-sha256","value")&amp;CHAR(34)&amp;","&amp;CHAR(34)&amp;"transform"&amp;CHAR(34)&amp;":"&amp;CHAR(34)&amp;G429&amp;CHAR(34)&amp;"}")</f>
        <v/>
      </c>
      <c r="I429">
        <f>IF(E429&lt;&gt;"INCLUDE","","'|"&amp;B429&amp;"=', "&amp;IF(F429="date","if(string-length(string(${"&amp;B429&amp;"})) &gt; 0, format-date(${"&amp;B429&amp;"}, '%Y-%m-%d'), '')",IF(F429="sha256","digest(string(${"&amp;B429&amp;"}), 'SHA-256', 'hex')","string(${"&amp;B429&amp;"})")))</f>
        <v/>
      </c>
      <c r="J429">
        <f>IF(E429="INCLUDE","Included by explicit yes","Not included")</f>
        <v/>
      </c>
      <c r="K429">
        <f>K428&amp;IF(H429="","",","&amp;H429)</f>
        <v/>
      </c>
      <c r="L429">
        <f>L428&amp;IF(I429="","",","&amp;I429)</f>
        <v/>
      </c>
    </row>
    <row r="430">
      <c r="A430" t="n">
        <v>447</v>
      </c>
      <c r="B430">
        <f>survey!B447</f>
        <v/>
      </c>
      <c r="C430">
        <f>survey!A447</f>
        <v/>
      </c>
      <c r="D430" t="inlineStr"/>
      <c r="E430">
        <f>IF(OR(B430="",C430=""),"",IF(LOWER(D430)="yes","INCLUDE","EXCLUDE"))</f>
        <v/>
      </c>
      <c r="F430">
        <f>IF(E430&lt;&gt;"INCLUDE","",IF(LEFT(LOWER(C430),10)="select_one ","select_one",IF(LOWER(C430)="date","date",IF(OR(LOWER(C430)="integer",LOWER(C430)="decimal",LOWER(C430)="range"),LOWER(C430),"sha256"))))</f>
        <v/>
      </c>
      <c r="G430">
        <f>IF(E430&lt;&gt;"INCLUDE","",IF(F430="date","yyyy-mm-dd",IF(F430="select_one","stored-choice-name",IF(F430="sha256","odk-lexical-utf8-sha256","odk-canonical-scalar"))))</f>
        <v/>
      </c>
      <c r="H430">
        <f>IF(E430&lt;&gt;"INCLUDE","","{"&amp;CHAR(34)&amp;"path"&amp;CHAR(34)&amp;":"&amp;CHAR(34)&amp;B430&amp;CHAR(34)&amp;","&amp;CHAR(34)&amp;"type"&amp;CHAR(34)&amp;":"&amp;CHAR(34)&amp;F430&amp;CHAR(34)&amp;","&amp;CHAR(34)&amp;"xlsform_type"&amp;CHAR(34)&amp;":"&amp;CHAR(34)&amp;C430&amp;CHAR(34)&amp;","&amp;CHAR(34)&amp;"commitment"&amp;CHAR(34)&amp;":"&amp;CHAR(34)&amp;IF(F430="sha256","text-utf8-sha256","value")&amp;CHAR(34)&amp;","&amp;CHAR(34)&amp;"transform"&amp;CHAR(34)&amp;":"&amp;CHAR(34)&amp;G430&amp;CHAR(34)&amp;"}")</f>
        <v/>
      </c>
      <c r="I430">
        <f>IF(E430&lt;&gt;"INCLUDE","","'|"&amp;B430&amp;"=', "&amp;IF(F430="date","if(string-length(string(${"&amp;B430&amp;"})) &gt; 0, format-date(${"&amp;B430&amp;"}, '%Y-%m-%d'), '')",IF(F430="sha256","digest(string(${"&amp;B430&amp;"}), 'SHA-256', 'hex')","string(${"&amp;B430&amp;"})")))</f>
        <v/>
      </c>
      <c r="J430">
        <f>IF(E430="INCLUDE","Included by explicit yes","Not included")</f>
        <v/>
      </c>
      <c r="K430">
        <f>K429&amp;IF(H430="","",","&amp;H430)</f>
        <v/>
      </c>
      <c r="L430">
        <f>L429&amp;IF(I430="","",","&amp;I430)</f>
        <v/>
      </c>
    </row>
    <row r="431">
      <c r="A431" t="n">
        <v>448</v>
      </c>
      <c r="B431">
        <f>survey!B448</f>
        <v/>
      </c>
      <c r="C431">
        <f>survey!A448</f>
        <v/>
      </c>
      <c r="D431" t="inlineStr"/>
      <c r="E431">
        <f>IF(OR(B431="",C431=""),"",IF(LOWER(D431)="yes","INCLUDE","EXCLUDE"))</f>
        <v/>
      </c>
      <c r="F431">
        <f>IF(E431&lt;&gt;"INCLUDE","",IF(LEFT(LOWER(C431),10)="select_one ","select_one",IF(LOWER(C431)="date","date",IF(OR(LOWER(C431)="integer",LOWER(C431)="decimal",LOWER(C431)="range"),LOWER(C431),"sha256"))))</f>
        <v/>
      </c>
      <c r="G431">
        <f>IF(E431&lt;&gt;"INCLUDE","",IF(F431="date","yyyy-mm-dd",IF(F431="select_one","stored-choice-name",IF(F431="sha256","odk-lexical-utf8-sha256","odk-canonical-scalar"))))</f>
        <v/>
      </c>
      <c r="H431">
        <f>IF(E431&lt;&gt;"INCLUDE","","{"&amp;CHAR(34)&amp;"path"&amp;CHAR(34)&amp;":"&amp;CHAR(34)&amp;B431&amp;CHAR(34)&amp;","&amp;CHAR(34)&amp;"type"&amp;CHAR(34)&amp;":"&amp;CHAR(34)&amp;F431&amp;CHAR(34)&amp;","&amp;CHAR(34)&amp;"xlsform_type"&amp;CHAR(34)&amp;":"&amp;CHAR(34)&amp;C431&amp;CHAR(34)&amp;","&amp;CHAR(34)&amp;"commitment"&amp;CHAR(34)&amp;":"&amp;CHAR(34)&amp;IF(F431="sha256","text-utf8-sha256","value")&amp;CHAR(34)&amp;","&amp;CHAR(34)&amp;"transform"&amp;CHAR(34)&amp;":"&amp;CHAR(34)&amp;G431&amp;CHAR(34)&amp;"}")</f>
        <v/>
      </c>
      <c r="I431">
        <f>IF(E431&lt;&gt;"INCLUDE","","'|"&amp;B431&amp;"=', "&amp;IF(F431="date","if(string-length(string(${"&amp;B431&amp;"})) &gt; 0, format-date(${"&amp;B431&amp;"}, '%Y-%m-%d'), '')",IF(F431="sha256","digest(string(${"&amp;B431&amp;"}), 'SHA-256', 'hex')","string(${"&amp;B431&amp;"})")))</f>
        <v/>
      </c>
      <c r="J431">
        <f>IF(E431="INCLUDE","Included by explicit yes","Not included")</f>
        <v/>
      </c>
      <c r="K431">
        <f>K430&amp;IF(H431="","",","&amp;H431)</f>
        <v/>
      </c>
      <c r="L431">
        <f>L430&amp;IF(I431="","",","&amp;I431)</f>
        <v/>
      </c>
    </row>
    <row r="432">
      <c r="A432" t="n">
        <v>449</v>
      </c>
      <c r="B432">
        <f>survey!B449</f>
        <v/>
      </c>
      <c r="C432">
        <f>survey!A449</f>
        <v/>
      </c>
      <c r="D432" t="inlineStr"/>
      <c r="E432">
        <f>IF(OR(B432="",C432=""),"",IF(LOWER(D432)="yes","INCLUDE","EXCLUDE"))</f>
        <v/>
      </c>
      <c r="F432">
        <f>IF(E432&lt;&gt;"INCLUDE","",IF(LEFT(LOWER(C432),10)="select_one ","select_one",IF(LOWER(C432)="date","date",IF(OR(LOWER(C432)="integer",LOWER(C432)="decimal",LOWER(C432)="range"),LOWER(C432),"sha256"))))</f>
        <v/>
      </c>
      <c r="G432">
        <f>IF(E432&lt;&gt;"INCLUDE","",IF(F432="date","yyyy-mm-dd",IF(F432="select_one","stored-choice-name",IF(F432="sha256","odk-lexical-utf8-sha256","odk-canonical-scalar"))))</f>
        <v/>
      </c>
      <c r="H432">
        <f>IF(E432&lt;&gt;"INCLUDE","","{"&amp;CHAR(34)&amp;"path"&amp;CHAR(34)&amp;":"&amp;CHAR(34)&amp;B432&amp;CHAR(34)&amp;","&amp;CHAR(34)&amp;"type"&amp;CHAR(34)&amp;":"&amp;CHAR(34)&amp;F432&amp;CHAR(34)&amp;","&amp;CHAR(34)&amp;"xlsform_type"&amp;CHAR(34)&amp;":"&amp;CHAR(34)&amp;C432&amp;CHAR(34)&amp;","&amp;CHAR(34)&amp;"commitment"&amp;CHAR(34)&amp;":"&amp;CHAR(34)&amp;IF(F432="sha256","text-utf8-sha256","value")&amp;CHAR(34)&amp;","&amp;CHAR(34)&amp;"transform"&amp;CHAR(34)&amp;":"&amp;CHAR(34)&amp;G432&amp;CHAR(34)&amp;"}")</f>
        <v/>
      </c>
      <c r="I432">
        <f>IF(E432&lt;&gt;"INCLUDE","","'|"&amp;B432&amp;"=', "&amp;IF(F432="date","if(string-length(string(${"&amp;B432&amp;"})) &gt; 0, format-date(${"&amp;B432&amp;"}, '%Y-%m-%d'), '')",IF(F432="sha256","digest(string(${"&amp;B432&amp;"}), 'SHA-256', 'hex')","string(${"&amp;B432&amp;"})")))</f>
        <v/>
      </c>
      <c r="J432">
        <f>IF(E432="INCLUDE","Included by explicit yes","Not included")</f>
        <v/>
      </c>
      <c r="K432">
        <f>K431&amp;IF(H432="","",","&amp;H432)</f>
        <v/>
      </c>
      <c r="L432">
        <f>L431&amp;IF(I432="","",","&amp;I432)</f>
        <v/>
      </c>
    </row>
    <row r="433">
      <c r="A433" t="n">
        <v>450</v>
      </c>
      <c r="B433">
        <f>survey!B450</f>
        <v/>
      </c>
      <c r="C433">
        <f>survey!A450</f>
        <v/>
      </c>
      <c r="D433" t="inlineStr"/>
      <c r="E433">
        <f>IF(OR(B433="",C433=""),"",IF(LOWER(D433)="yes","INCLUDE","EXCLUDE"))</f>
        <v/>
      </c>
      <c r="F433">
        <f>IF(E433&lt;&gt;"INCLUDE","",IF(LEFT(LOWER(C433),10)="select_one ","select_one",IF(LOWER(C433)="date","date",IF(OR(LOWER(C433)="integer",LOWER(C433)="decimal",LOWER(C433)="range"),LOWER(C433),"sha256"))))</f>
        <v/>
      </c>
      <c r="G433">
        <f>IF(E433&lt;&gt;"INCLUDE","",IF(F433="date","yyyy-mm-dd",IF(F433="select_one","stored-choice-name",IF(F433="sha256","odk-lexical-utf8-sha256","odk-canonical-scalar"))))</f>
        <v/>
      </c>
      <c r="H433">
        <f>IF(E433&lt;&gt;"INCLUDE","","{"&amp;CHAR(34)&amp;"path"&amp;CHAR(34)&amp;":"&amp;CHAR(34)&amp;B433&amp;CHAR(34)&amp;","&amp;CHAR(34)&amp;"type"&amp;CHAR(34)&amp;":"&amp;CHAR(34)&amp;F433&amp;CHAR(34)&amp;","&amp;CHAR(34)&amp;"xlsform_type"&amp;CHAR(34)&amp;":"&amp;CHAR(34)&amp;C433&amp;CHAR(34)&amp;","&amp;CHAR(34)&amp;"commitment"&amp;CHAR(34)&amp;":"&amp;CHAR(34)&amp;IF(F433="sha256","text-utf8-sha256","value")&amp;CHAR(34)&amp;","&amp;CHAR(34)&amp;"transform"&amp;CHAR(34)&amp;":"&amp;CHAR(34)&amp;G433&amp;CHAR(34)&amp;"}")</f>
        <v/>
      </c>
      <c r="I433">
        <f>IF(E433&lt;&gt;"INCLUDE","","'|"&amp;B433&amp;"=', "&amp;IF(F433="date","if(string-length(string(${"&amp;B433&amp;"})) &gt; 0, format-date(${"&amp;B433&amp;"}, '%Y-%m-%d'), '')",IF(F433="sha256","digest(string(${"&amp;B433&amp;"}), 'SHA-256', 'hex')","string(${"&amp;B433&amp;"})")))</f>
        <v/>
      </c>
      <c r="J433">
        <f>IF(E433="INCLUDE","Included by explicit yes","Not included")</f>
        <v/>
      </c>
      <c r="K433">
        <f>K432&amp;IF(H433="","",","&amp;H433)</f>
        <v/>
      </c>
      <c r="L433">
        <f>L432&amp;IF(I433="","",","&amp;I433)</f>
        <v/>
      </c>
    </row>
    <row r="434">
      <c r="A434" t="n">
        <v>451</v>
      </c>
      <c r="B434">
        <f>survey!B451</f>
        <v/>
      </c>
      <c r="C434">
        <f>survey!A451</f>
        <v/>
      </c>
      <c r="D434" t="inlineStr"/>
      <c r="E434">
        <f>IF(OR(B434="",C434=""),"",IF(LOWER(D434)="yes","INCLUDE","EXCLUDE"))</f>
        <v/>
      </c>
      <c r="F434">
        <f>IF(E434&lt;&gt;"INCLUDE","",IF(LEFT(LOWER(C434),10)="select_one ","select_one",IF(LOWER(C434)="date","date",IF(OR(LOWER(C434)="integer",LOWER(C434)="decimal",LOWER(C434)="range"),LOWER(C434),"sha256"))))</f>
        <v/>
      </c>
      <c r="G434">
        <f>IF(E434&lt;&gt;"INCLUDE","",IF(F434="date","yyyy-mm-dd",IF(F434="select_one","stored-choice-name",IF(F434="sha256","odk-lexical-utf8-sha256","odk-canonical-scalar"))))</f>
        <v/>
      </c>
      <c r="H434">
        <f>IF(E434&lt;&gt;"INCLUDE","","{"&amp;CHAR(34)&amp;"path"&amp;CHAR(34)&amp;":"&amp;CHAR(34)&amp;B434&amp;CHAR(34)&amp;","&amp;CHAR(34)&amp;"type"&amp;CHAR(34)&amp;":"&amp;CHAR(34)&amp;F434&amp;CHAR(34)&amp;","&amp;CHAR(34)&amp;"xlsform_type"&amp;CHAR(34)&amp;":"&amp;CHAR(34)&amp;C434&amp;CHAR(34)&amp;","&amp;CHAR(34)&amp;"commitment"&amp;CHAR(34)&amp;":"&amp;CHAR(34)&amp;IF(F434="sha256","text-utf8-sha256","value")&amp;CHAR(34)&amp;","&amp;CHAR(34)&amp;"transform"&amp;CHAR(34)&amp;":"&amp;CHAR(34)&amp;G434&amp;CHAR(34)&amp;"}")</f>
        <v/>
      </c>
      <c r="I434">
        <f>IF(E434&lt;&gt;"INCLUDE","","'|"&amp;B434&amp;"=', "&amp;IF(F434="date","if(string-length(string(${"&amp;B434&amp;"})) &gt; 0, format-date(${"&amp;B434&amp;"}, '%Y-%m-%d'), '')",IF(F434="sha256","digest(string(${"&amp;B434&amp;"}), 'SHA-256', 'hex')","string(${"&amp;B434&amp;"})")))</f>
        <v/>
      </c>
      <c r="J434">
        <f>IF(E434="INCLUDE","Included by explicit yes","Not included")</f>
        <v/>
      </c>
      <c r="K434">
        <f>K433&amp;IF(H434="","",","&amp;H434)</f>
        <v/>
      </c>
      <c r="L434">
        <f>L433&amp;IF(I434="","",","&amp;I434)</f>
        <v/>
      </c>
    </row>
    <row r="435">
      <c r="A435" t="n">
        <v>452</v>
      </c>
      <c r="B435">
        <f>survey!B452</f>
        <v/>
      </c>
      <c r="C435">
        <f>survey!A452</f>
        <v/>
      </c>
      <c r="D435" t="inlineStr"/>
      <c r="E435">
        <f>IF(OR(B435="",C435=""),"",IF(LOWER(D435)="yes","INCLUDE","EXCLUDE"))</f>
        <v/>
      </c>
      <c r="F435">
        <f>IF(E435&lt;&gt;"INCLUDE","",IF(LEFT(LOWER(C435),10)="select_one ","select_one",IF(LOWER(C435)="date","date",IF(OR(LOWER(C435)="integer",LOWER(C435)="decimal",LOWER(C435)="range"),LOWER(C435),"sha256"))))</f>
        <v/>
      </c>
      <c r="G435">
        <f>IF(E435&lt;&gt;"INCLUDE","",IF(F435="date","yyyy-mm-dd",IF(F435="select_one","stored-choice-name",IF(F435="sha256","odk-lexical-utf8-sha256","odk-canonical-scalar"))))</f>
        <v/>
      </c>
      <c r="H435">
        <f>IF(E435&lt;&gt;"INCLUDE","","{"&amp;CHAR(34)&amp;"path"&amp;CHAR(34)&amp;":"&amp;CHAR(34)&amp;B435&amp;CHAR(34)&amp;","&amp;CHAR(34)&amp;"type"&amp;CHAR(34)&amp;":"&amp;CHAR(34)&amp;F435&amp;CHAR(34)&amp;","&amp;CHAR(34)&amp;"xlsform_type"&amp;CHAR(34)&amp;":"&amp;CHAR(34)&amp;C435&amp;CHAR(34)&amp;","&amp;CHAR(34)&amp;"commitment"&amp;CHAR(34)&amp;":"&amp;CHAR(34)&amp;IF(F435="sha256","text-utf8-sha256","value")&amp;CHAR(34)&amp;","&amp;CHAR(34)&amp;"transform"&amp;CHAR(34)&amp;":"&amp;CHAR(34)&amp;G435&amp;CHAR(34)&amp;"}")</f>
        <v/>
      </c>
      <c r="I435">
        <f>IF(E435&lt;&gt;"INCLUDE","","'|"&amp;B435&amp;"=', "&amp;IF(F435="date","if(string-length(string(${"&amp;B435&amp;"})) &gt; 0, format-date(${"&amp;B435&amp;"}, '%Y-%m-%d'), '')",IF(F435="sha256","digest(string(${"&amp;B435&amp;"}), 'SHA-256', 'hex')","string(${"&amp;B435&amp;"})")))</f>
        <v/>
      </c>
      <c r="J435">
        <f>IF(E435="INCLUDE","Included by explicit yes","Not included")</f>
        <v/>
      </c>
      <c r="K435">
        <f>K434&amp;IF(H435="","",","&amp;H435)</f>
        <v/>
      </c>
      <c r="L435">
        <f>L434&amp;IF(I435="","",","&amp;I435)</f>
        <v/>
      </c>
    </row>
    <row r="436">
      <c r="A436" t="n">
        <v>453</v>
      </c>
      <c r="B436">
        <f>survey!B453</f>
        <v/>
      </c>
      <c r="C436">
        <f>survey!A453</f>
        <v/>
      </c>
      <c r="D436" t="inlineStr"/>
      <c r="E436">
        <f>IF(OR(B436="",C436=""),"",IF(LOWER(D436)="yes","INCLUDE","EXCLUDE"))</f>
        <v/>
      </c>
      <c r="F436">
        <f>IF(E436&lt;&gt;"INCLUDE","",IF(LEFT(LOWER(C436),10)="select_one ","select_one",IF(LOWER(C436)="date","date",IF(OR(LOWER(C436)="integer",LOWER(C436)="decimal",LOWER(C436)="range"),LOWER(C436),"sha256"))))</f>
        <v/>
      </c>
      <c r="G436">
        <f>IF(E436&lt;&gt;"INCLUDE","",IF(F436="date","yyyy-mm-dd",IF(F436="select_one","stored-choice-name",IF(F436="sha256","odk-lexical-utf8-sha256","odk-canonical-scalar"))))</f>
        <v/>
      </c>
      <c r="H436">
        <f>IF(E436&lt;&gt;"INCLUDE","","{"&amp;CHAR(34)&amp;"path"&amp;CHAR(34)&amp;":"&amp;CHAR(34)&amp;B436&amp;CHAR(34)&amp;","&amp;CHAR(34)&amp;"type"&amp;CHAR(34)&amp;":"&amp;CHAR(34)&amp;F436&amp;CHAR(34)&amp;","&amp;CHAR(34)&amp;"xlsform_type"&amp;CHAR(34)&amp;":"&amp;CHAR(34)&amp;C436&amp;CHAR(34)&amp;","&amp;CHAR(34)&amp;"commitment"&amp;CHAR(34)&amp;":"&amp;CHAR(34)&amp;IF(F436="sha256","text-utf8-sha256","value")&amp;CHAR(34)&amp;","&amp;CHAR(34)&amp;"transform"&amp;CHAR(34)&amp;":"&amp;CHAR(34)&amp;G436&amp;CHAR(34)&amp;"}")</f>
        <v/>
      </c>
      <c r="I436">
        <f>IF(E436&lt;&gt;"INCLUDE","","'|"&amp;B436&amp;"=', "&amp;IF(F436="date","if(string-length(string(${"&amp;B436&amp;"})) &gt; 0, format-date(${"&amp;B436&amp;"}, '%Y-%m-%d'), '')",IF(F436="sha256","digest(string(${"&amp;B436&amp;"}), 'SHA-256', 'hex')","string(${"&amp;B436&amp;"})")))</f>
        <v/>
      </c>
      <c r="J436">
        <f>IF(E436="INCLUDE","Included by explicit yes","Not included")</f>
        <v/>
      </c>
      <c r="K436">
        <f>K435&amp;IF(H436="","",","&amp;H436)</f>
        <v/>
      </c>
      <c r="L436">
        <f>L435&amp;IF(I436="","",","&amp;I436)</f>
        <v/>
      </c>
    </row>
    <row r="437">
      <c r="A437" t="n">
        <v>454</v>
      </c>
      <c r="B437">
        <f>survey!B454</f>
        <v/>
      </c>
      <c r="C437">
        <f>survey!A454</f>
        <v/>
      </c>
      <c r="D437" t="inlineStr"/>
      <c r="E437">
        <f>IF(OR(B437="",C437=""),"",IF(LOWER(D437)="yes","INCLUDE","EXCLUDE"))</f>
        <v/>
      </c>
      <c r="F437">
        <f>IF(E437&lt;&gt;"INCLUDE","",IF(LEFT(LOWER(C437),10)="select_one ","select_one",IF(LOWER(C437)="date","date",IF(OR(LOWER(C437)="integer",LOWER(C437)="decimal",LOWER(C437)="range"),LOWER(C437),"sha256"))))</f>
        <v/>
      </c>
      <c r="G437">
        <f>IF(E437&lt;&gt;"INCLUDE","",IF(F437="date","yyyy-mm-dd",IF(F437="select_one","stored-choice-name",IF(F437="sha256","odk-lexical-utf8-sha256","odk-canonical-scalar"))))</f>
        <v/>
      </c>
      <c r="H437">
        <f>IF(E437&lt;&gt;"INCLUDE","","{"&amp;CHAR(34)&amp;"path"&amp;CHAR(34)&amp;":"&amp;CHAR(34)&amp;B437&amp;CHAR(34)&amp;","&amp;CHAR(34)&amp;"type"&amp;CHAR(34)&amp;":"&amp;CHAR(34)&amp;F437&amp;CHAR(34)&amp;","&amp;CHAR(34)&amp;"xlsform_type"&amp;CHAR(34)&amp;":"&amp;CHAR(34)&amp;C437&amp;CHAR(34)&amp;","&amp;CHAR(34)&amp;"commitment"&amp;CHAR(34)&amp;":"&amp;CHAR(34)&amp;IF(F437="sha256","text-utf8-sha256","value")&amp;CHAR(34)&amp;","&amp;CHAR(34)&amp;"transform"&amp;CHAR(34)&amp;":"&amp;CHAR(34)&amp;G437&amp;CHAR(34)&amp;"}")</f>
        <v/>
      </c>
      <c r="I437">
        <f>IF(E437&lt;&gt;"INCLUDE","","'|"&amp;B437&amp;"=', "&amp;IF(F437="date","if(string-length(string(${"&amp;B437&amp;"})) &gt; 0, format-date(${"&amp;B437&amp;"}, '%Y-%m-%d'), '')",IF(F437="sha256","digest(string(${"&amp;B437&amp;"}), 'SHA-256', 'hex')","string(${"&amp;B437&amp;"})")))</f>
        <v/>
      </c>
      <c r="J437">
        <f>IF(E437="INCLUDE","Included by explicit yes","Not included")</f>
        <v/>
      </c>
      <c r="K437">
        <f>K436&amp;IF(H437="","",","&amp;H437)</f>
        <v/>
      </c>
      <c r="L437">
        <f>L436&amp;IF(I437="","",","&amp;I437)</f>
        <v/>
      </c>
    </row>
    <row r="438">
      <c r="A438" t="n">
        <v>455</v>
      </c>
      <c r="B438">
        <f>survey!B455</f>
        <v/>
      </c>
      <c r="C438">
        <f>survey!A455</f>
        <v/>
      </c>
      <c r="D438" t="inlineStr"/>
      <c r="E438">
        <f>IF(OR(B438="",C438=""),"",IF(LOWER(D438)="yes","INCLUDE","EXCLUDE"))</f>
        <v/>
      </c>
      <c r="F438">
        <f>IF(E438&lt;&gt;"INCLUDE","",IF(LEFT(LOWER(C438),10)="select_one ","select_one",IF(LOWER(C438)="date","date",IF(OR(LOWER(C438)="integer",LOWER(C438)="decimal",LOWER(C438)="range"),LOWER(C438),"sha256"))))</f>
        <v/>
      </c>
      <c r="G438">
        <f>IF(E438&lt;&gt;"INCLUDE","",IF(F438="date","yyyy-mm-dd",IF(F438="select_one","stored-choice-name",IF(F438="sha256","odk-lexical-utf8-sha256","odk-canonical-scalar"))))</f>
        <v/>
      </c>
      <c r="H438">
        <f>IF(E438&lt;&gt;"INCLUDE","","{"&amp;CHAR(34)&amp;"path"&amp;CHAR(34)&amp;":"&amp;CHAR(34)&amp;B438&amp;CHAR(34)&amp;","&amp;CHAR(34)&amp;"type"&amp;CHAR(34)&amp;":"&amp;CHAR(34)&amp;F438&amp;CHAR(34)&amp;","&amp;CHAR(34)&amp;"xlsform_type"&amp;CHAR(34)&amp;":"&amp;CHAR(34)&amp;C438&amp;CHAR(34)&amp;","&amp;CHAR(34)&amp;"commitment"&amp;CHAR(34)&amp;":"&amp;CHAR(34)&amp;IF(F438="sha256","text-utf8-sha256","value")&amp;CHAR(34)&amp;","&amp;CHAR(34)&amp;"transform"&amp;CHAR(34)&amp;":"&amp;CHAR(34)&amp;G438&amp;CHAR(34)&amp;"}")</f>
        <v/>
      </c>
      <c r="I438">
        <f>IF(E438&lt;&gt;"INCLUDE","","'|"&amp;B438&amp;"=', "&amp;IF(F438="date","if(string-length(string(${"&amp;B438&amp;"})) &gt; 0, format-date(${"&amp;B438&amp;"}, '%Y-%m-%d'), '')",IF(F438="sha256","digest(string(${"&amp;B438&amp;"}), 'SHA-256', 'hex')","string(${"&amp;B438&amp;"})")))</f>
        <v/>
      </c>
      <c r="J438">
        <f>IF(E438="INCLUDE","Included by explicit yes","Not included")</f>
        <v/>
      </c>
      <c r="K438">
        <f>K437&amp;IF(H438="","",","&amp;H438)</f>
        <v/>
      </c>
      <c r="L438">
        <f>L437&amp;IF(I438="","",","&amp;I438)</f>
        <v/>
      </c>
    </row>
    <row r="439">
      <c r="A439" t="n">
        <v>456</v>
      </c>
      <c r="B439">
        <f>survey!B456</f>
        <v/>
      </c>
      <c r="C439">
        <f>survey!A456</f>
        <v/>
      </c>
      <c r="D439" t="inlineStr"/>
      <c r="E439">
        <f>IF(OR(B439="",C439=""),"",IF(LOWER(D439)="yes","INCLUDE","EXCLUDE"))</f>
        <v/>
      </c>
      <c r="F439">
        <f>IF(E439&lt;&gt;"INCLUDE","",IF(LEFT(LOWER(C439),10)="select_one ","select_one",IF(LOWER(C439)="date","date",IF(OR(LOWER(C439)="integer",LOWER(C439)="decimal",LOWER(C439)="range"),LOWER(C439),"sha256"))))</f>
        <v/>
      </c>
      <c r="G439">
        <f>IF(E439&lt;&gt;"INCLUDE","",IF(F439="date","yyyy-mm-dd",IF(F439="select_one","stored-choice-name",IF(F439="sha256","odk-lexical-utf8-sha256","odk-canonical-scalar"))))</f>
        <v/>
      </c>
      <c r="H439">
        <f>IF(E439&lt;&gt;"INCLUDE","","{"&amp;CHAR(34)&amp;"path"&amp;CHAR(34)&amp;":"&amp;CHAR(34)&amp;B439&amp;CHAR(34)&amp;","&amp;CHAR(34)&amp;"type"&amp;CHAR(34)&amp;":"&amp;CHAR(34)&amp;F439&amp;CHAR(34)&amp;","&amp;CHAR(34)&amp;"xlsform_type"&amp;CHAR(34)&amp;":"&amp;CHAR(34)&amp;C439&amp;CHAR(34)&amp;","&amp;CHAR(34)&amp;"commitment"&amp;CHAR(34)&amp;":"&amp;CHAR(34)&amp;IF(F439="sha256","text-utf8-sha256","value")&amp;CHAR(34)&amp;","&amp;CHAR(34)&amp;"transform"&amp;CHAR(34)&amp;":"&amp;CHAR(34)&amp;G439&amp;CHAR(34)&amp;"}")</f>
        <v/>
      </c>
      <c r="I439">
        <f>IF(E439&lt;&gt;"INCLUDE","","'|"&amp;B439&amp;"=', "&amp;IF(F439="date","if(string-length(string(${"&amp;B439&amp;"})) &gt; 0, format-date(${"&amp;B439&amp;"}, '%Y-%m-%d'), '')",IF(F439="sha256","digest(string(${"&amp;B439&amp;"}), 'SHA-256', 'hex')","string(${"&amp;B439&amp;"})")))</f>
        <v/>
      </c>
      <c r="J439">
        <f>IF(E439="INCLUDE","Included by explicit yes","Not included")</f>
        <v/>
      </c>
      <c r="K439">
        <f>K438&amp;IF(H439="","",","&amp;H439)</f>
        <v/>
      </c>
      <c r="L439">
        <f>L438&amp;IF(I439="","",","&amp;I439)</f>
        <v/>
      </c>
    </row>
    <row r="440">
      <c r="A440" t="n">
        <v>457</v>
      </c>
      <c r="B440">
        <f>survey!B457</f>
        <v/>
      </c>
      <c r="C440">
        <f>survey!A457</f>
        <v/>
      </c>
      <c r="D440" t="inlineStr"/>
      <c r="E440">
        <f>IF(OR(B440="",C440=""),"",IF(LOWER(D440)="yes","INCLUDE","EXCLUDE"))</f>
        <v/>
      </c>
      <c r="F440">
        <f>IF(E440&lt;&gt;"INCLUDE","",IF(LEFT(LOWER(C440),10)="select_one ","select_one",IF(LOWER(C440)="date","date",IF(OR(LOWER(C440)="integer",LOWER(C440)="decimal",LOWER(C440)="range"),LOWER(C440),"sha256"))))</f>
        <v/>
      </c>
      <c r="G440">
        <f>IF(E440&lt;&gt;"INCLUDE","",IF(F440="date","yyyy-mm-dd",IF(F440="select_one","stored-choice-name",IF(F440="sha256","odk-lexical-utf8-sha256","odk-canonical-scalar"))))</f>
        <v/>
      </c>
      <c r="H440">
        <f>IF(E440&lt;&gt;"INCLUDE","","{"&amp;CHAR(34)&amp;"path"&amp;CHAR(34)&amp;":"&amp;CHAR(34)&amp;B440&amp;CHAR(34)&amp;","&amp;CHAR(34)&amp;"type"&amp;CHAR(34)&amp;":"&amp;CHAR(34)&amp;F440&amp;CHAR(34)&amp;","&amp;CHAR(34)&amp;"xlsform_type"&amp;CHAR(34)&amp;":"&amp;CHAR(34)&amp;C440&amp;CHAR(34)&amp;","&amp;CHAR(34)&amp;"commitment"&amp;CHAR(34)&amp;":"&amp;CHAR(34)&amp;IF(F440="sha256","text-utf8-sha256","value")&amp;CHAR(34)&amp;","&amp;CHAR(34)&amp;"transform"&amp;CHAR(34)&amp;":"&amp;CHAR(34)&amp;G440&amp;CHAR(34)&amp;"}")</f>
        <v/>
      </c>
      <c r="I440">
        <f>IF(E440&lt;&gt;"INCLUDE","","'|"&amp;B440&amp;"=', "&amp;IF(F440="date","if(string-length(string(${"&amp;B440&amp;"})) &gt; 0, format-date(${"&amp;B440&amp;"}, '%Y-%m-%d'), '')",IF(F440="sha256","digest(string(${"&amp;B440&amp;"}), 'SHA-256', 'hex')","string(${"&amp;B440&amp;"})")))</f>
        <v/>
      </c>
      <c r="J440">
        <f>IF(E440="INCLUDE","Included by explicit yes","Not included")</f>
        <v/>
      </c>
      <c r="K440">
        <f>K439&amp;IF(H440="","",","&amp;H440)</f>
        <v/>
      </c>
      <c r="L440">
        <f>L439&amp;IF(I440="","",","&amp;I440)</f>
        <v/>
      </c>
    </row>
    <row r="441">
      <c r="A441" t="n">
        <v>458</v>
      </c>
      <c r="B441">
        <f>survey!B458</f>
        <v/>
      </c>
      <c r="C441">
        <f>survey!A458</f>
        <v/>
      </c>
      <c r="D441" t="inlineStr"/>
      <c r="E441">
        <f>IF(OR(B441="",C441=""),"",IF(LOWER(D441)="yes","INCLUDE","EXCLUDE"))</f>
        <v/>
      </c>
      <c r="F441">
        <f>IF(E441&lt;&gt;"INCLUDE","",IF(LEFT(LOWER(C441),10)="select_one ","select_one",IF(LOWER(C441)="date","date",IF(OR(LOWER(C441)="integer",LOWER(C441)="decimal",LOWER(C441)="range"),LOWER(C441),"sha256"))))</f>
        <v/>
      </c>
      <c r="G441">
        <f>IF(E441&lt;&gt;"INCLUDE","",IF(F441="date","yyyy-mm-dd",IF(F441="select_one","stored-choice-name",IF(F441="sha256","odk-lexical-utf8-sha256","odk-canonical-scalar"))))</f>
        <v/>
      </c>
      <c r="H441">
        <f>IF(E441&lt;&gt;"INCLUDE","","{"&amp;CHAR(34)&amp;"path"&amp;CHAR(34)&amp;":"&amp;CHAR(34)&amp;B441&amp;CHAR(34)&amp;","&amp;CHAR(34)&amp;"type"&amp;CHAR(34)&amp;":"&amp;CHAR(34)&amp;F441&amp;CHAR(34)&amp;","&amp;CHAR(34)&amp;"xlsform_type"&amp;CHAR(34)&amp;":"&amp;CHAR(34)&amp;C441&amp;CHAR(34)&amp;","&amp;CHAR(34)&amp;"commitment"&amp;CHAR(34)&amp;":"&amp;CHAR(34)&amp;IF(F441="sha256","text-utf8-sha256","value")&amp;CHAR(34)&amp;","&amp;CHAR(34)&amp;"transform"&amp;CHAR(34)&amp;":"&amp;CHAR(34)&amp;G441&amp;CHAR(34)&amp;"}")</f>
        <v/>
      </c>
      <c r="I441">
        <f>IF(E441&lt;&gt;"INCLUDE","","'|"&amp;B441&amp;"=', "&amp;IF(F441="date","if(string-length(string(${"&amp;B441&amp;"})) &gt; 0, format-date(${"&amp;B441&amp;"}, '%Y-%m-%d'), '')",IF(F441="sha256","digest(string(${"&amp;B441&amp;"}), 'SHA-256', 'hex')","string(${"&amp;B441&amp;"})")))</f>
        <v/>
      </c>
      <c r="J441">
        <f>IF(E441="INCLUDE","Included by explicit yes","Not included")</f>
        <v/>
      </c>
      <c r="K441">
        <f>K440&amp;IF(H441="","",","&amp;H441)</f>
        <v/>
      </c>
      <c r="L441">
        <f>L440&amp;IF(I441="","",","&amp;I441)</f>
        <v/>
      </c>
    </row>
    <row r="442">
      <c r="A442" t="n">
        <v>459</v>
      </c>
      <c r="B442">
        <f>survey!B459</f>
        <v/>
      </c>
      <c r="C442">
        <f>survey!A459</f>
        <v/>
      </c>
      <c r="D442" t="inlineStr"/>
      <c r="E442">
        <f>IF(OR(B442="",C442=""),"",IF(LOWER(D442)="yes","INCLUDE","EXCLUDE"))</f>
        <v/>
      </c>
      <c r="F442">
        <f>IF(E442&lt;&gt;"INCLUDE","",IF(LEFT(LOWER(C442),10)="select_one ","select_one",IF(LOWER(C442)="date","date",IF(OR(LOWER(C442)="integer",LOWER(C442)="decimal",LOWER(C442)="range"),LOWER(C442),"sha256"))))</f>
        <v/>
      </c>
      <c r="G442">
        <f>IF(E442&lt;&gt;"INCLUDE","",IF(F442="date","yyyy-mm-dd",IF(F442="select_one","stored-choice-name",IF(F442="sha256","odk-lexical-utf8-sha256","odk-canonical-scalar"))))</f>
        <v/>
      </c>
      <c r="H442">
        <f>IF(E442&lt;&gt;"INCLUDE","","{"&amp;CHAR(34)&amp;"path"&amp;CHAR(34)&amp;":"&amp;CHAR(34)&amp;B442&amp;CHAR(34)&amp;","&amp;CHAR(34)&amp;"type"&amp;CHAR(34)&amp;":"&amp;CHAR(34)&amp;F442&amp;CHAR(34)&amp;","&amp;CHAR(34)&amp;"xlsform_type"&amp;CHAR(34)&amp;":"&amp;CHAR(34)&amp;C442&amp;CHAR(34)&amp;","&amp;CHAR(34)&amp;"commitment"&amp;CHAR(34)&amp;":"&amp;CHAR(34)&amp;IF(F442="sha256","text-utf8-sha256","value")&amp;CHAR(34)&amp;","&amp;CHAR(34)&amp;"transform"&amp;CHAR(34)&amp;":"&amp;CHAR(34)&amp;G442&amp;CHAR(34)&amp;"}")</f>
        <v/>
      </c>
      <c r="I442">
        <f>IF(E442&lt;&gt;"INCLUDE","","'|"&amp;B442&amp;"=', "&amp;IF(F442="date","if(string-length(string(${"&amp;B442&amp;"})) &gt; 0, format-date(${"&amp;B442&amp;"}, '%Y-%m-%d'), '')",IF(F442="sha256","digest(string(${"&amp;B442&amp;"}), 'SHA-256', 'hex')","string(${"&amp;B442&amp;"})")))</f>
        <v/>
      </c>
      <c r="J442">
        <f>IF(E442="INCLUDE","Included by explicit yes","Not included")</f>
        <v/>
      </c>
      <c r="K442">
        <f>K441&amp;IF(H442="","",","&amp;H442)</f>
        <v/>
      </c>
      <c r="L442">
        <f>L441&amp;IF(I442="","",","&amp;I442)</f>
        <v/>
      </c>
    </row>
    <row r="443">
      <c r="A443" t="n">
        <v>460</v>
      </c>
      <c r="B443">
        <f>survey!B460</f>
        <v/>
      </c>
      <c r="C443">
        <f>survey!A460</f>
        <v/>
      </c>
      <c r="D443" t="inlineStr"/>
      <c r="E443">
        <f>IF(OR(B443="",C443=""),"",IF(LOWER(D443)="yes","INCLUDE","EXCLUDE"))</f>
        <v/>
      </c>
      <c r="F443">
        <f>IF(E443&lt;&gt;"INCLUDE","",IF(LEFT(LOWER(C443),10)="select_one ","select_one",IF(LOWER(C443)="date","date",IF(OR(LOWER(C443)="integer",LOWER(C443)="decimal",LOWER(C443)="range"),LOWER(C443),"sha256"))))</f>
        <v/>
      </c>
      <c r="G443">
        <f>IF(E443&lt;&gt;"INCLUDE","",IF(F443="date","yyyy-mm-dd",IF(F443="select_one","stored-choice-name",IF(F443="sha256","odk-lexical-utf8-sha256","odk-canonical-scalar"))))</f>
        <v/>
      </c>
      <c r="H443">
        <f>IF(E443&lt;&gt;"INCLUDE","","{"&amp;CHAR(34)&amp;"path"&amp;CHAR(34)&amp;":"&amp;CHAR(34)&amp;B443&amp;CHAR(34)&amp;","&amp;CHAR(34)&amp;"type"&amp;CHAR(34)&amp;":"&amp;CHAR(34)&amp;F443&amp;CHAR(34)&amp;","&amp;CHAR(34)&amp;"xlsform_type"&amp;CHAR(34)&amp;":"&amp;CHAR(34)&amp;C443&amp;CHAR(34)&amp;","&amp;CHAR(34)&amp;"commitment"&amp;CHAR(34)&amp;":"&amp;CHAR(34)&amp;IF(F443="sha256","text-utf8-sha256","value")&amp;CHAR(34)&amp;","&amp;CHAR(34)&amp;"transform"&amp;CHAR(34)&amp;":"&amp;CHAR(34)&amp;G443&amp;CHAR(34)&amp;"}")</f>
        <v/>
      </c>
      <c r="I443">
        <f>IF(E443&lt;&gt;"INCLUDE","","'|"&amp;B443&amp;"=', "&amp;IF(F443="date","if(string-length(string(${"&amp;B443&amp;"})) &gt; 0, format-date(${"&amp;B443&amp;"}, '%Y-%m-%d'), '')",IF(F443="sha256","digest(string(${"&amp;B443&amp;"}), 'SHA-256', 'hex')","string(${"&amp;B443&amp;"})")))</f>
        <v/>
      </c>
      <c r="J443">
        <f>IF(E443="INCLUDE","Included by explicit yes","Not included")</f>
        <v/>
      </c>
      <c r="K443">
        <f>K442&amp;IF(H443="","",","&amp;H443)</f>
        <v/>
      </c>
      <c r="L443">
        <f>L442&amp;IF(I443="","",","&amp;I443)</f>
        <v/>
      </c>
    </row>
    <row r="444">
      <c r="A444" t="n">
        <v>461</v>
      </c>
      <c r="B444">
        <f>survey!B461</f>
        <v/>
      </c>
      <c r="C444">
        <f>survey!A461</f>
        <v/>
      </c>
      <c r="D444" t="inlineStr"/>
      <c r="E444">
        <f>IF(OR(B444="",C444=""),"",IF(LOWER(D444)="yes","INCLUDE","EXCLUDE"))</f>
        <v/>
      </c>
      <c r="F444">
        <f>IF(E444&lt;&gt;"INCLUDE","",IF(LEFT(LOWER(C444),10)="select_one ","select_one",IF(LOWER(C444)="date","date",IF(OR(LOWER(C444)="integer",LOWER(C444)="decimal",LOWER(C444)="range"),LOWER(C444),"sha256"))))</f>
        <v/>
      </c>
      <c r="G444">
        <f>IF(E444&lt;&gt;"INCLUDE","",IF(F444="date","yyyy-mm-dd",IF(F444="select_one","stored-choice-name",IF(F444="sha256","odk-lexical-utf8-sha256","odk-canonical-scalar"))))</f>
        <v/>
      </c>
      <c r="H444">
        <f>IF(E444&lt;&gt;"INCLUDE","","{"&amp;CHAR(34)&amp;"path"&amp;CHAR(34)&amp;":"&amp;CHAR(34)&amp;B444&amp;CHAR(34)&amp;","&amp;CHAR(34)&amp;"type"&amp;CHAR(34)&amp;":"&amp;CHAR(34)&amp;F444&amp;CHAR(34)&amp;","&amp;CHAR(34)&amp;"xlsform_type"&amp;CHAR(34)&amp;":"&amp;CHAR(34)&amp;C444&amp;CHAR(34)&amp;","&amp;CHAR(34)&amp;"commitment"&amp;CHAR(34)&amp;":"&amp;CHAR(34)&amp;IF(F444="sha256","text-utf8-sha256","value")&amp;CHAR(34)&amp;","&amp;CHAR(34)&amp;"transform"&amp;CHAR(34)&amp;":"&amp;CHAR(34)&amp;G444&amp;CHAR(34)&amp;"}")</f>
        <v/>
      </c>
      <c r="I444">
        <f>IF(E444&lt;&gt;"INCLUDE","","'|"&amp;B444&amp;"=', "&amp;IF(F444="date","if(string-length(string(${"&amp;B444&amp;"})) &gt; 0, format-date(${"&amp;B444&amp;"}, '%Y-%m-%d'), '')",IF(F444="sha256","digest(string(${"&amp;B444&amp;"}), 'SHA-256', 'hex')","string(${"&amp;B444&amp;"})")))</f>
        <v/>
      </c>
      <c r="J444">
        <f>IF(E444="INCLUDE","Included by explicit yes","Not included")</f>
        <v/>
      </c>
      <c r="K444">
        <f>K443&amp;IF(H444="","",","&amp;H444)</f>
        <v/>
      </c>
      <c r="L444">
        <f>L443&amp;IF(I444="","",","&amp;I444)</f>
        <v/>
      </c>
    </row>
    <row r="445">
      <c r="A445" t="n">
        <v>462</v>
      </c>
      <c r="B445">
        <f>survey!B462</f>
        <v/>
      </c>
      <c r="C445">
        <f>survey!A462</f>
        <v/>
      </c>
      <c r="D445" t="inlineStr"/>
      <c r="E445">
        <f>IF(OR(B445="",C445=""),"",IF(LOWER(D445)="yes","INCLUDE","EXCLUDE"))</f>
        <v/>
      </c>
      <c r="F445">
        <f>IF(E445&lt;&gt;"INCLUDE","",IF(LEFT(LOWER(C445),10)="select_one ","select_one",IF(LOWER(C445)="date","date",IF(OR(LOWER(C445)="integer",LOWER(C445)="decimal",LOWER(C445)="range"),LOWER(C445),"sha256"))))</f>
        <v/>
      </c>
      <c r="G445">
        <f>IF(E445&lt;&gt;"INCLUDE","",IF(F445="date","yyyy-mm-dd",IF(F445="select_one","stored-choice-name",IF(F445="sha256","odk-lexical-utf8-sha256","odk-canonical-scalar"))))</f>
        <v/>
      </c>
      <c r="H445">
        <f>IF(E445&lt;&gt;"INCLUDE","","{"&amp;CHAR(34)&amp;"path"&amp;CHAR(34)&amp;":"&amp;CHAR(34)&amp;B445&amp;CHAR(34)&amp;","&amp;CHAR(34)&amp;"type"&amp;CHAR(34)&amp;":"&amp;CHAR(34)&amp;F445&amp;CHAR(34)&amp;","&amp;CHAR(34)&amp;"xlsform_type"&amp;CHAR(34)&amp;":"&amp;CHAR(34)&amp;C445&amp;CHAR(34)&amp;","&amp;CHAR(34)&amp;"commitment"&amp;CHAR(34)&amp;":"&amp;CHAR(34)&amp;IF(F445="sha256","text-utf8-sha256","value")&amp;CHAR(34)&amp;","&amp;CHAR(34)&amp;"transform"&amp;CHAR(34)&amp;":"&amp;CHAR(34)&amp;G445&amp;CHAR(34)&amp;"}")</f>
        <v/>
      </c>
      <c r="I445">
        <f>IF(E445&lt;&gt;"INCLUDE","","'|"&amp;B445&amp;"=', "&amp;IF(F445="date","if(string-length(string(${"&amp;B445&amp;"})) &gt; 0, format-date(${"&amp;B445&amp;"}, '%Y-%m-%d'), '')",IF(F445="sha256","digest(string(${"&amp;B445&amp;"}), 'SHA-256', 'hex')","string(${"&amp;B445&amp;"})")))</f>
        <v/>
      </c>
      <c r="J445">
        <f>IF(E445="INCLUDE","Included by explicit yes","Not included")</f>
        <v/>
      </c>
      <c r="K445">
        <f>K444&amp;IF(H445="","",","&amp;H445)</f>
        <v/>
      </c>
      <c r="L445">
        <f>L444&amp;IF(I445="","",","&amp;I445)</f>
        <v/>
      </c>
    </row>
    <row r="446">
      <c r="A446" t="n">
        <v>463</v>
      </c>
      <c r="B446">
        <f>survey!B463</f>
        <v/>
      </c>
      <c r="C446">
        <f>survey!A463</f>
        <v/>
      </c>
      <c r="D446" t="inlineStr"/>
      <c r="E446">
        <f>IF(OR(B446="",C446=""),"",IF(LOWER(D446)="yes","INCLUDE","EXCLUDE"))</f>
        <v/>
      </c>
      <c r="F446">
        <f>IF(E446&lt;&gt;"INCLUDE","",IF(LEFT(LOWER(C446),10)="select_one ","select_one",IF(LOWER(C446)="date","date",IF(OR(LOWER(C446)="integer",LOWER(C446)="decimal",LOWER(C446)="range"),LOWER(C446),"sha256"))))</f>
        <v/>
      </c>
      <c r="G446">
        <f>IF(E446&lt;&gt;"INCLUDE","",IF(F446="date","yyyy-mm-dd",IF(F446="select_one","stored-choice-name",IF(F446="sha256","odk-lexical-utf8-sha256","odk-canonical-scalar"))))</f>
        <v/>
      </c>
      <c r="H446">
        <f>IF(E446&lt;&gt;"INCLUDE","","{"&amp;CHAR(34)&amp;"path"&amp;CHAR(34)&amp;":"&amp;CHAR(34)&amp;B446&amp;CHAR(34)&amp;","&amp;CHAR(34)&amp;"type"&amp;CHAR(34)&amp;":"&amp;CHAR(34)&amp;F446&amp;CHAR(34)&amp;","&amp;CHAR(34)&amp;"xlsform_type"&amp;CHAR(34)&amp;":"&amp;CHAR(34)&amp;C446&amp;CHAR(34)&amp;","&amp;CHAR(34)&amp;"commitment"&amp;CHAR(34)&amp;":"&amp;CHAR(34)&amp;IF(F446="sha256","text-utf8-sha256","value")&amp;CHAR(34)&amp;","&amp;CHAR(34)&amp;"transform"&amp;CHAR(34)&amp;":"&amp;CHAR(34)&amp;G446&amp;CHAR(34)&amp;"}")</f>
        <v/>
      </c>
      <c r="I446">
        <f>IF(E446&lt;&gt;"INCLUDE","","'|"&amp;B446&amp;"=', "&amp;IF(F446="date","if(string-length(string(${"&amp;B446&amp;"})) &gt; 0, format-date(${"&amp;B446&amp;"}, '%Y-%m-%d'), '')",IF(F446="sha256","digest(string(${"&amp;B446&amp;"}), 'SHA-256', 'hex')","string(${"&amp;B446&amp;"})")))</f>
        <v/>
      </c>
      <c r="J446">
        <f>IF(E446="INCLUDE","Included by explicit yes","Not included")</f>
        <v/>
      </c>
      <c r="K446">
        <f>K445&amp;IF(H446="","",","&amp;H446)</f>
        <v/>
      </c>
      <c r="L446">
        <f>L445&amp;IF(I446="","",","&amp;I446)</f>
        <v/>
      </c>
    </row>
    <row r="447">
      <c r="A447" t="n">
        <v>464</v>
      </c>
      <c r="B447">
        <f>survey!B464</f>
        <v/>
      </c>
      <c r="C447">
        <f>survey!A464</f>
        <v/>
      </c>
      <c r="D447" t="inlineStr"/>
      <c r="E447">
        <f>IF(OR(B447="",C447=""),"",IF(LOWER(D447)="yes","INCLUDE","EXCLUDE"))</f>
        <v/>
      </c>
      <c r="F447">
        <f>IF(E447&lt;&gt;"INCLUDE","",IF(LEFT(LOWER(C447),10)="select_one ","select_one",IF(LOWER(C447)="date","date",IF(OR(LOWER(C447)="integer",LOWER(C447)="decimal",LOWER(C447)="range"),LOWER(C447),"sha256"))))</f>
        <v/>
      </c>
      <c r="G447">
        <f>IF(E447&lt;&gt;"INCLUDE","",IF(F447="date","yyyy-mm-dd",IF(F447="select_one","stored-choice-name",IF(F447="sha256","odk-lexical-utf8-sha256","odk-canonical-scalar"))))</f>
        <v/>
      </c>
      <c r="H447">
        <f>IF(E447&lt;&gt;"INCLUDE","","{"&amp;CHAR(34)&amp;"path"&amp;CHAR(34)&amp;":"&amp;CHAR(34)&amp;B447&amp;CHAR(34)&amp;","&amp;CHAR(34)&amp;"type"&amp;CHAR(34)&amp;":"&amp;CHAR(34)&amp;F447&amp;CHAR(34)&amp;","&amp;CHAR(34)&amp;"xlsform_type"&amp;CHAR(34)&amp;":"&amp;CHAR(34)&amp;C447&amp;CHAR(34)&amp;","&amp;CHAR(34)&amp;"commitment"&amp;CHAR(34)&amp;":"&amp;CHAR(34)&amp;IF(F447="sha256","text-utf8-sha256","value")&amp;CHAR(34)&amp;","&amp;CHAR(34)&amp;"transform"&amp;CHAR(34)&amp;":"&amp;CHAR(34)&amp;G447&amp;CHAR(34)&amp;"}")</f>
        <v/>
      </c>
      <c r="I447">
        <f>IF(E447&lt;&gt;"INCLUDE","","'|"&amp;B447&amp;"=', "&amp;IF(F447="date","if(string-length(string(${"&amp;B447&amp;"})) &gt; 0, format-date(${"&amp;B447&amp;"}, '%Y-%m-%d'), '')",IF(F447="sha256","digest(string(${"&amp;B447&amp;"}), 'SHA-256', 'hex')","string(${"&amp;B447&amp;"})")))</f>
        <v/>
      </c>
      <c r="J447">
        <f>IF(E447="INCLUDE","Included by explicit yes","Not included")</f>
        <v/>
      </c>
      <c r="K447">
        <f>K446&amp;IF(H447="","",","&amp;H447)</f>
        <v/>
      </c>
      <c r="L447">
        <f>L446&amp;IF(I447="","",","&amp;I447)</f>
        <v/>
      </c>
    </row>
    <row r="448">
      <c r="A448" t="n">
        <v>465</v>
      </c>
      <c r="B448">
        <f>survey!B465</f>
        <v/>
      </c>
      <c r="C448">
        <f>survey!A465</f>
        <v/>
      </c>
      <c r="D448" t="inlineStr"/>
      <c r="E448">
        <f>IF(OR(B448="",C448=""),"",IF(LOWER(D448)="yes","INCLUDE","EXCLUDE"))</f>
        <v/>
      </c>
      <c r="F448">
        <f>IF(E448&lt;&gt;"INCLUDE","",IF(LEFT(LOWER(C448),10)="select_one ","select_one",IF(LOWER(C448)="date","date",IF(OR(LOWER(C448)="integer",LOWER(C448)="decimal",LOWER(C448)="range"),LOWER(C448),"sha256"))))</f>
        <v/>
      </c>
      <c r="G448">
        <f>IF(E448&lt;&gt;"INCLUDE","",IF(F448="date","yyyy-mm-dd",IF(F448="select_one","stored-choice-name",IF(F448="sha256","odk-lexical-utf8-sha256","odk-canonical-scalar"))))</f>
        <v/>
      </c>
      <c r="H448">
        <f>IF(E448&lt;&gt;"INCLUDE","","{"&amp;CHAR(34)&amp;"path"&amp;CHAR(34)&amp;":"&amp;CHAR(34)&amp;B448&amp;CHAR(34)&amp;","&amp;CHAR(34)&amp;"type"&amp;CHAR(34)&amp;":"&amp;CHAR(34)&amp;F448&amp;CHAR(34)&amp;","&amp;CHAR(34)&amp;"xlsform_type"&amp;CHAR(34)&amp;":"&amp;CHAR(34)&amp;C448&amp;CHAR(34)&amp;","&amp;CHAR(34)&amp;"commitment"&amp;CHAR(34)&amp;":"&amp;CHAR(34)&amp;IF(F448="sha256","text-utf8-sha256","value")&amp;CHAR(34)&amp;","&amp;CHAR(34)&amp;"transform"&amp;CHAR(34)&amp;":"&amp;CHAR(34)&amp;G448&amp;CHAR(34)&amp;"}")</f>
        <v/>
      </c>
      <c r="I448">
        <f>IF(E448&lt;&gt;"INCLUDE","","'|"&amp;B448&amp;"=', "&amp;IF(F448="date","if(string-length(string(${"&amp;B448&amp;"})) &gt; 0, format-date(${"&amp;B448&amp;"}, '%Y-%m-%d'), '')",IF(F448="sha256","digest(string(${"&amp;B448&amp;"}), 'SHA-256', 'hex')","string(${"&amp;B448&amp;"})")))</f>
        <v/>
      </c>
      <c r="J448">
        <f>IF(E448="INCLUDE","Included by explicit yes","Not included")</f>
        <v/>
      </c>
      <c r="K448">
        <f>K447&amp;IF(H448="","",","&amp;H448)</f>
        <v/>
      </c>
      <c r="L448">
        <f>L447&amp;IF(I448="","",","&amp;I448)</f>
        <v/>
      </c>
    </row>
    <row r="449">
      <c r="A449" t="n">
        <v>466</v>
      </c>
      <c r="B449">
        <f>survey!B466</f>
        <v/>
      </c>
      <c r="C449">
        <f>survey!A466</f>
        <v/>
      </c>
      <c r="D449" t="inlineStr"/>
      <c r="E449">
        <f>IF(OR(B449="",C449=""),"",IF(LOWER(D449)="yes","INCLUDE","EXCLUDE"))</f>
        <v/>
      </c>
      <c r="F449">
        <f>IF(E449&lt;&gt;"INCLUDE","",IF(LEFT(LOWER(C449),10)="select_one ","select_one",IF(LOWER(C449)="date","date",IF(OR(LOWER(C449)="integer",LOWER(C449)="decimal",LOWER(C449)="range"),LOWER(C449),"sha256"))))</f>
        <v/>
      </c>
      <c r="G449">
        <f>IF(E449&lt;&gt;"INCLUDE","",IF(F449="date","yyyy-mm-dd",IF(F449="select_one","stored-choice-name",IF(F449="sha256","odk-lexical-utf8-sha256","odk-canonical-scalar"))))</f>
        <v/>
      </c>
      <c r="H449">
        <f>IF(E449&lt;&gt;"INCLUDE","","{"&amp;CHAR(34)&amp;"path"&amp;CHAR(34)&amp;":"&amp;CHAR(34)&amp;B449&amp;CHAR(34)&amp;","&amp;CHAR(34)&amp;"type"&amp;CHAR(34)&amp;":"&amp;CHAR(34)&amp;F449&amp;CHAR(34)&amp;","&amp;CHAR(34)&amp;"xlsform_type"&amp;CHAR(34)&amp;":"&amp;CHAR(34)&amp;C449&amp;CHAR(34)&amp;","&amp;CHAR(34)&amp;"commitment"&amp;CHAR(34)&amp;":"&amp;CHAR(34)&amp;IF(F449="sha256","text-utf8-sha256","value")&amp;CHAR(34)&amp;","&amp;CHAR(34)&amp;"transform"&amp;CHAR(34)&amp;":"&amp;CHAR(34)&amp;G449&amp;CHAR(34)&amp;"}")</f>
        <v/>
      </c>
      <c r="I449">
        <f>IF(E449&lt;&gt;"INCLUDE","","'|"&amp;B449&amp;"=', "&amp;IF(F449="date","if(string-length(string(${"&amp;B449&amp;"})) &gt; 0, format-date(${"&amp;B449&amp;"}, '%Y-%m-%d'), '')",IF(F449="sha256","digest(string(${"&amp;B449&amp;"}), 'SHA-256', 'hex')","string(${"&amp;B449&amp;"})")))</f>
        <v/>
      </c>
      <c r="J449">
        <f>IF(E449="INCLUDE","Included by explicit yes","Not included")</f>
        <v/>
      </c>
      <c r="K449">
        <f>K448&amp;IF(H449="","",","&amp;H449)</f>
        <v/>
      </c>
      <c r="L449">
        <f>L448&amp;IF(I449="","",","&amp;I449)</f>
        <v/>
      </c>
    </row>
    <row r="450">
      <c r="A450" t="n">
        <v>467</v>
      </c>
      <c r="B450">
        <f>survey!B467</f>
        <v/>
      </c>
      <c r="C450">
        <f>survey!A467</f>
        <v/>
      </c>
      <c r="D450" t="inlineStr"/>
      <c r="E450">
        <f>IF(OR(B450="",C450=""),"",IF(LOWER(D450)="yes","INCLUDE","EXCLUDE"))</f>
        <v/>
      </c>
      <c r="F450">
        <f>IF(E450&lt;&gt;"INCLUDE","",IF(LEFT(LOWER(C450),10)="select_one ","select_one",IF(LOWER(C450)="date","date",IF(OR(LOWER(C450)="integer",LOWER(C450)="decimal",LOWER(C450)="range"),LOWER(C450),"sha256"))))</f>
        <v/>
      </c>
      <c r="G450">
        <f>IF(E450&lt;&gt;"INCLUDE","",IF(F450="date","yyyy-mm-dd",IF(F450="select_one","stored-choice-name",IF(F450="sha256","odk-lexical-utf8-sha256","odk-canonical-scalar"))))</f>
        <v/>
      </c>
      <c r="H450">
        <f>IF(E450&lt;&gt;"INCLUDE","","{"&amp;CHAR(34)&amp;"path"&amp;CHAR(34)&amp;":"&amp;CHAR(34)&amp;B450&amp;CHAR(34)&amp;","&amp;CHAR(34)&amp;"type"&amp;CHAR(34)&amp;":"&amp;CHAR(34)&amp;F450&amp;CHAR(34)&amp;","&amp;CHAR(34)&amp;"xlsform_type"&amp;CHAR(34)&amp;":"&amp;CHAR(34)&amp;C450&amp;CHAR(34)&amp;","&amp;CHAR(34)&amp;"commitment"&amp;CHAR(34)&amp;":"&amp;CHAR(34)&amp;IF(F450="sha256","text-utf8-sha256","value")&amp;CHAR(34)&amp;","&amp;CHAR(34)&amp;"transform"&amp;CHAR(34)&amp;":"&amp;CHAR(34)&amp;G450&amp;CHAR(34)&amp;"}")</f>
        <v/>
      </c>
      <c r="I450">
        <f>IF(E450&lt;&gt;"INCLUDE","","'|"&amp;B450&amp;"=', "&amp;IF(F450="date","if(string-length(string(${"&amp;B450&amp;"})) &gt; 0, format-date(${"&amp;B450&amp;"}, '%Y-%m-%d'), '')",IF(F450="sha256","digest(string(${"&amp;B450&amp;"}), 'SHA-256', 'hex')","string(${"&amp;B450&amp;"})")))</f>
        <v/>
      </c>
      <c r="J450">
        <f>IF(E450="INCLUDE","Included by explicit yes","Not included")</f>
        <v/>
      </c>
      <c r="K450">
        <f>K449&amp;IF(H450="","",","&amp;H450)</f>
        <v/>
      </c>
      <c r="L450">
        <f>L449&amp;IF(I450="","",","&amp;I450)</f>
        <v/>
      </c>
    </row>
    <row r="451">
      <c r="A451" t="n">
        <v>468</v>
      </c>
      <c r="B451">
        <f>survey!B468</f>
        <v/>
      </c>
      <c r="C451">
        <f>survey!A468</f>
        <v/>
      </c>
      <c r="D451" t="inlineStr"/>
      <c r="E451">
        <f>IF(OR(B451="",C451=""),"",IF(LOWER(D451)="yes","INCLUDE","EXCLUDE"))</f>
        <v/>
      </c>
      <c r="F451">
        <f>IF(E451&lt;&gt;"INCLUDE","",IF(LEFT(LOWER(C451),10)="select_one ","select_one",IF(LOWER(C451)="date","date",IF(OR(LOWER(C451)="integer",LOWER(C451)="decimal",LOWER(C451)="range"),LOWER(C451),"sha256"))))</f>
        <v/>
      </c>
      <c r="G451">
        <f>IF(E451&lt;&gt;"INCLUDE","",IF(F451="date","yyyy-mm-dd",IF(F451="select_one","stored-choice-name",IF(F451="sha256","odk-lexical-utf8-sha256","odk-canonical-scalar"))))</f>
        <v/>
      </c>
      <c r="H451">
        <f>IF(E451&lt;&gt;"INCLUDE","","{"&amp;CHAR(34)&amp;"path"&amp;CHAR(34)&amp;":"&amp;CHAR(34)&amp;B451&amp;CHAR(34)&amp;","&amp;CHAR(34)&amp;"type"&amp;CHAR(34)&amp;":"&amp;CHAR(34)&amp;F451&amp;CHAR(34)&amp;","&amp;CHAR(34)&amp;"xlsform_type"&amp;CHAR(34)&amp;":"&amp;CHAR(34)&amp;C451&amp;CHAR(34)&amp;","&amp;CHAR(34)&amp;"commitment"&amp;CHAR(34)&amp;":"&amp;CHAR(34)&amp;IF(F451="sha256","text-utf8-sha256","value")&amp;CHAR(34)&amp;","&amp;CHAR(34)&amp;"transform"&amp;CHAR(34)&amp;":"&amp;CHAR(34)&amp;G451&amp;CHAR(34)&amp;"}")</f>
        <v/>
      </c>
      <c r="I451">
        <f>IF(E451&lt;&gt;"INCLUDE","","'|"&amp;B451&amp;"=', "&amp;IF(F451="date","if(string-length(string(${"&amp;B451&amp;"})) &gt; 0, format-date(${"&amp;B451&amp;"}, '%Y-%m-%d'), '')",IF(F451="sha256","digest(string(${"&amp;B451&amp;"}), 'SHA-256', 'hex')","string(${"&amp;B451&amp;"})")))</f>
        <v/>
      </c>
      <c r="J451">
        <f>IF(E451="INCLUDE","Included by explicit yes","Not included")</f>
        <v/>
      </c>
      <c r="K451">
        <f>K450&amp;IF(H451="","",","&amp;H451)</f>
        <v/>
      </c>
      <c r="L451">
        <f>L450&amp;IF(I451="","",","&amp;I451)</f>
        <v/>
      </c>
    </row>
  </sheetData>
  <mergeCells count="1">
    <mergeCell ref="A1:J1"/>
  </mergeCells>
  <conditionalFormatting sqref="D13:D451">
    <cfRule type="expression" priority="1" dxfId="36">
      <formula>$D13="yes"</formula>
    </cfRule>
  </conditionalFormatting>
  <dataValidations count="1">
    <dataValidation sqref="D13:D451" showDropDown="0" showInputMessage="0" showErrorMessage="0" allowBlank="1" errorTitle="MethodMesh recipe inclusion" error="Enter yes to include this field in the recipe, or leave it blank to exclude it." type="list">
      <formula1>"yes"</formula1>
    </dataValidation>
  </dataValidations>
  <pageMargins left="0.75" right="0.75" top="1" bottom="1" header="0.5" footer="0.5"/>
</worksheet>
</file>

<file path=xl/worksheets/sheet2.xml><?xml version="1.0" encoding="utf-8"?>
<worksheet xmlns="http://schemas.openxmlformats.org/spreadsheetml/2006/main">
  <sheetPr>
    <tabColor rgb="FF009ECC"/>
    <outlinePr summaryBelow="0" summaryRight="0"/>
    <pageSetUpPr/>
  </sheetPr>
  <dimension ref="A1:X504"/>
  <sheetViews>
    <sheetView tabSelected="1" zoomScale="130" zoomScaleNormal="130" workbookViewId="0">
      <pane xSplit="3" ySplit="1" topLeftCell="D2" activePane="bottomRight" state="frozen"/>
      <selection pane="topRight" activeCell="D1" sqref="D1"/>
      <selection pane="bottomLeft" activeCell="A2" sqref="A2"/>
      <selection pane="bottomRight" activeCell="A2" sqref="A2"/>
    </sheetView>
  </sheetViews>
  <sheetFormatPr baseColWidth="10" defaultColWidth="12.6640625" defaultRowHeight="15.75" customHeight="1"/>
  <cols>
    <col width="19" customWidth="1" style="250" min="1" max="1"/>
    <col width="16" customWidth="1" style="250" min="2" max="2"/>
    <col width="19.6640625" customWidth="1" style="250" min="3" max="3"/>
    <col width="11.33203125" customWidth="1" style="250" min="5" max="5"/>
    <col width="13.6640625" customWidth="1" style="250" min="6" max="6"/>
    <col width="21.1640625" customWidth="1" style="250" min="10" max="10"/>
    <col width="15.5" customWidth="1" style="250" min="11" max="11"/>
    <col width="16" customWidth="1" style="250" min="13" max="13"/>
    <col width="13.6640625" customWidth="1" style="250" min="14" max="14"/>
    <col width="14.6640625" customWidth="1" style="250" min="15" max="15"/>
  </cols>
  <sheetData>
    <row r="1" ht="27" customHeight="1" s="250">
      <c r="A1" s="1" t="inlineStr">
        <is>
          <t>type</t>
        </is>
      </c>
      <c r="B1" s="1" t="inlineStr">
        <is>
          <t>name</t>
        </is>
      </c>
      <c r="C1" s="2" t="inlineStr">
        <is>
          <t>label</t>
        </is>
      </c>
      <c r="D1" s="2" t="inlineStr">
        <is>
          <t>hint</t>
        </is>
      </c>
      <c r="E1" s="1" t="inlineStr">
        <is>
          <t>required</t>
        </is>
      </c>
      <c r="F1" s="1" t="inlineStr">
        <is>
          <t>relevant</t>
        </is>
      </c>
      <c r="G1" s="1" t="inlineStr">
        <is>
          <t>appearance</t>
        </is>
      </c>
      <c r="H1" s="1" t="inlineStr">
        <is>
          <t>default</t>
        </is>
      </c>
      <c r="I1" s="1" t="inlineStr">
        <is>
          <t>constraint</t>
        </is>
      </c>
      <c r="J1" s="2" t="inlineStr">
        <is>
          <t>constraint_message</t>
        </is>
      </c>
      <c r="K1" s="1" t="inlineStr">
        <is>
          <t>calculation</t>
        </is>
      </c>
      <c r="L1" s="1" t="inlineStr">
        <is>
          <t>trigger</t>
        </is>
      </c>
      <c r="M1" s="1" t="inlineStr">
        <is>
          <t>choice_filter</t>
        </is>
      </c>
      <c r="N1" s="1" t="inlineStr">
        <is>
          <t>parameters</t>
        </is>
      </c>
      <c r="O1" s="1" t="inlineStr">
        <is>
          <t>repeat_count</t>
        </is>
      </c>
      <c r="P1" s="1" t="inlineStr">
        <is>
          <t>note</t>
        </is>
      </c>
      <c r="Q1" s="2" t="inlineStr">
        <is>
          <t>image</t>
        </is>
      </c>
      <c r="R1" s="2" t="inlineStr">
        <is>
          <t xml:space="preserve">audio </t>
        </is>
      </c>
      <c r="S1" s="2" t="inlineStr">
        <is>
          <t>video</t>
        </is>
      </c>
      <c r="T1" s="3" t="inlineStr">
        <is>
          <t>readonly</t>
        </is>
      </c>
      <c r="U1" s="3" t="inlineStr">
        <is>
          <t>body::intent</t>
        </is>
      </c>
      <c r="V1" s="3" t="n"/>
      <c r="W1" s="3" t="n"/>
      <c r="X1" s="3" t="n"/>
    </row>
    <row r="2" ht="14" customHeight="1" s="250">
      <c r="A2" s="4" t="inlineStr">
        <is>
          <t>calculate</t>
        </is>
      </c>
      <c r="B2" s="5" t="inlineStr">
        <is>
          <t>mm_workflow_instance_id</t>
        </is>
      </c>
      <c r="C2" s="4" t="inlineStr"/>
      <c r="D2" s="4" t="inlineStr"/>
      <c r="E2" s="4" t="inlineStr"/>
      <c r="F2" s="4" t="inlineStr"/>
      <c r="G2" s="4" t="inlineStr">
        <is>
          <t>hidden-answer</t>
        </is>
      </c>
      <c r="H2" s="4" t="n"/>
      <c r="I2" s="4" t="inlineStr"/>
      <c r="J2" s="4" t="inlineStr"/>
      <c r="K2" s="4" t="inlineStr">
        <is>
          <t>once(uuid())</t>
        </is>
      </c>
      <c r="L2" s="4" t="n"/>
      <c r="M2" s="4" t="n"/>
      <c r="N2" s="4" t="n"/>
      <c r="O2" s="4" t="n"/>
      <c r="P2" s="4" t="n"/>
      <c r="Q2" s="4" t="n"/>
      <c r="R2" s="4" t="n"/>
      <c r="S2" s="4" t="n"/>
      <c r="T2" s="6" t="inlineStr"/>
      <c r="U2" s="6" t="inlineStr"/>
      <c r="V2" s="6" t="n"/>
      <c r="W2" s="6" t="n"/>
      <c r="X2" s="6" t="n"/>
    </row>
    <row r="3" ht="14" customHeight="1" s="250">
      <c r="A3" s="4" t="inlineStr">
        <is>
          <t>calculate</t>
        </is>
      </c>
      <c r="B3" s="5" t="inlineStr">
        <is>
          <t>mm_study_id</t>
        </is>
      </c>
      <c r="C3" s="4" t="inlineStr"/>
      <c r="D3" s="4" t="inlineStr"/>
      <c r="E3" s="4" t="inlineStr"/>
      <c r="F3" s="4" t="inlineStr"/>
      <c r="G3" s="4" t="inlineStr">
        <is>
          <t>hidden-answer</t>
        </is>
      </c>
      <c r="H3" s="4" t="n"/>
      <c r="I3" s="4" t="inlineStr"/>
      <c r="J3" s="4" t="inlineStr"/>
      <c r="K3" s="4" t="inlineStr">
        <is>
          <t>''</t>
        </is>
      </c>
      <c r="L3" s="4" t="n"/>
      <c r="M3" s="4" t="n"/>
      <c r="N3" s="4" t="n"/>
      <c r="O3" s="4" t="n"/>
      <c r="P3" s="4" t="n"/>
      <c r="Q3" s="4" t="n"/>
      <c r="R3" s="4" t="n"/>
      <c r="S3" s="4" t="n"/>
      <c r="T3" s="6" t="inlineStr"/>
      <c r="U3" s="6" t="inlineStr"/>
      <c r="V3" s="6" t="n"/>
      <c r="W3" s="6" t="n"/>
      <c r="X3" s="6" t="n"/>
    </row>
    <row r="4" ht="14" customHeight="1" s="250">
      <c r="A4" s="4" t="inlineStr">
        <is>
          <t>calculate</t>
        </is>
      </c>
      <c r="B4" s="5" t="inlineStr">
        <is>
          <t>mm_form_id</t>
        </is>
      </c>
      <c r="C4" s="4" t="inlineStr"/>
      <c r="D4" s="4" t="inlineStr"/>
      <c r="E4" s="4" t="inlineStr"/>
      <c r="F4" s="4" t="inlineStr"/>
      <c r="G4" s="4" t="inlineStr">
        <is>
          <t>hidden-answer</t>
        </is>
      </c>
      <c r="H4" s="4" t="n"/>
      <c r="I4" s="4" t="inlineStr"/>
      <c r="J4" s="4" t="inlineStr"/>
      <c r="K4" s="4" t="inlineStr">
        <is>
          <t>''</t>
        </is>
      </c>
      <c r="L4" s="4" t="n"/>
      <c r="M4" s="4" t="n"/>
      <c r="N4" s="4" t="n"/>
      <c r="O4" s="4" t="n"/>
      <c r="P4" s="4" t="n"/>
      <c r="Q4" s="4" t="n"/>
      <c r="R4" s="4" t="n"/>
      <c r="S4" s="4" t="n"/>
      <c r="T4" s="6" t="inlineStr"/>
      <c r="U4" s="6" t="inlineStr"/>
      <c r="V4" s="6" t="n"/>
      <c r="W4" s="6" t="n"/>
      <c r="X4" s="6" t="n"/>
    </row>
    <row r="5" ht="14" customHeight="1" s="250">
      <c r="A5" s="4" t="inlineStr">
        <is>
          <t>calculate</t>
        </is>
      </c>
      <c r="B5" s="5" t="inlineStr">
        <is>
          <t>mm_form_version</t>
        </is>
      </c>
      <c r="C5" s="4" t="inlineStr"/>
      <c r="D5" s="4" t="inlineStr"/>
      <c r="E5" s="4" t="inlineStr"/>
      <c r="F5" s="4" t="inlineStr"/>
      <c r="G5" s="4" t="inlineStr">
        <is>
          <t>hidden-answer</t>
        </is>
      </c>
      <c r="H5" s="4" t="n"/>
      <c r="I5" s="4" t="inlineStr"/>
      <c r="J5" s="4" t="inlineStr"/>
      <c r="K5" s="4" t="inlineStr">
        <is>
          <t>''</t>
        </is>
      </c>
      <c r="L5" s="4" t="n"/>
      <c r="M5" s="4" t="n"/>
      <c r="N5" s="4" t="n"/>
      <c r="O5" s="4" t="n"/>
      <c r="P5" s="4" t="n"/>
      <c r="Q5" s="4" t="n"/>
      <c r="R5" s="4" t="n"/>
      <c r="S5" s="4" t="n"/>
      <c r="T5" s="6" t="inlineStr"/>
      <c r="U5" s="6" t="inlineStr"/>
      <c r="V5" s="6" t="n"/>
      <c r="W5" s="6" t="n"/>
      <c r="X5" s="6" t="n"/>
    </row>
    <row r="6" ht="14" customHeight="1" s="250">
      <c r="A6" s="4" t="inlineStr">
        <is>
          <t>calculate</t>
        </is>
      </c>
      <c r="B6" s="5" t="inlineStr">
        <is>
          <t>mm_timestamp_policy</t>
        </is>
      </c>
      <c r="C6" s="4" t="inlineStr"/>
      <c r="D6" s="4" t="inlineStr"/>
      <c r="E6" s="4" t="inlineStr"/>
      <c r="F6" s="4" t="inlineStr"/>
      <c r="G6" s="4" t="inlineStr">
        <is>
          <t>hidden-answer</t>
        </is>
      </c>
      <c r="H6" s="4" t="n"/>
      <c r="I6" s="4" t="inlineStr"/>
      <c r="J6" s="4" t="inlineStr"/>
      <c r="K6" s="4" t="inlineStr">
        <is>
          <t>'preferred'</t>
        </is>
      </c>
      <c r="L6" s="4" t="n"/>
      <c r="M6" s="4" t="n"/>
      <c r="N6" s="4" t="n"/>
      <c r="O6" s="4" t="n"/>
      <c r="P6" s="4" t="n"/>
      <c r="Q6" s="4" t="n"/>
      <c r="R6" s="4" t="n"/>
      <c r="S6" s="4" t="n"/>
      <c r="T6" s="6" t="inlineStr"/>
      <c r="U6" s="6" t="inlineStr"/>
      <c r="V6" s="6" t="n"/>
      <c r="W6" s="6" t="n"/>
      <c r="X6" s="6" t="n"/>
    </row>
    <row r="7" ht="14" customHeight="1" s="250">
      <c r="A7" s="4" t="inlineStr">
        <is>
          <t>begin group</t>
        </is>
      </c>
      <c r="B7" s="5" t="inlineStr">
        <is>
          <t>mm_authenticate_operator</t>
        </is>
      </c>
      <c r="C7" s="4" t="inlineStr">
        <is>
          <t>Authenticate operator</t>
        </is>
      </c>
      <c r="D7" s="4" t="inlineStr">
        <is>
          <t>Tap the NFC staff credential and enter its PIN.</t>
        </is>
      </c>
      <c r="E7" s="4" t="inlineStr"/>
      <c r="F7" s="4" t="inlineStr"/>
      <c r="G7" s="4" t="inlineStr">
        <is>
          <t>field-list</t>
        </is>
      </c>
      <c r="H7" s="4" t="n"/>
      <c r="I7" s="4" t="inlineStr"/>
      <c r="J7" s="4" t="inlineStr"/>
      <c r="K7" s="4" t="inlineStr"/>
      <c r="L7" s="4" t="n"/>
      <c r="M7" s="4" t="n"/>
      <c r="N7" s="4" t="n"/>
      <c r="O7" s="4" t="n"/>
      <c r="P7" s="4" t="n"/>
      <c r="Q7" s="4" t="n"/>
      <c r="R7" s="4" t="n"/>
      <c r="S7" s="4" t="n"/>
      <c r="T7" s="6" t="inlineStr"/>
      <c r="U7" s="6" t="inlineStr">
        <is>
          <t>com.example.methodmesh.EXECUTE_METHOD(method_id='nfc_credential_verification',caller='odk',input_payload_mode='FULL',return_mode='flat',methodmesh_return_namespace='mm_auth')</t>
        </is>
      </c>
      <c r="V7" s="6" t="n"/>
      <c r="W7" s="6" t="n"/>
      <c r="X7" s="6" t="n"/>
    </row>
    <row r="8" ht="14" customHeight="1" s="250">
      <c r="A8" s="4" t="inlineStr">
        <is>
          <t>text</t>
        </is>
      </c>
      <c r="B8" s="5" t="inlineStr">
        <is>
          <t>mm_auth_methodmesh_execution_id</t>
        </is>
      </c>
      <c r="C8" s="4" t="inlineStr">
        <is>
          <t>MethodMesh authentication return: methodmesh_execution_id</t>
        </is>
      </c>
      <c r="D8" s="4" t="inlineStr"/>
      <c r="E8" s="4" t="inlineStr"/>
      <c r="F8" s="4" t="inlineStr"/>
      <c r="G8" s="4" t="inlineStr">
        <is>
          <t>hidden-answer</t>
        </is>
      </c>
      <c r="H8" s="4" t="n"/>
      <c r="I8" s="4" t="inlineStr"/>
      <c r="J8" s="4" t="inlineStr"/>
      <c r="K8" s="4" t="inlineStr"/>
      <c r="L8" s="4" t="n"/>
      <c r="M8" s="4" t="n"/>
      <c r="N8" s="4" t="n"/>
      <c r="O8" s="4" t="n"/>
      <c r="P8" s="4" t="n"/>
      <c r="Q8" s="4" t="n"/>
      <c r="R8" s="4" t="n"/>
      <c r="S8" s="4" t="n"/>
      <c r="T8" s="6" t="inlineStr">
        <is>
          <t>yes</t>
        </is>
      </c>
      <c r="U8" s="6" t="inlineStr"/>
      <c r="V8" s="6" t="n"/>
      <c r="W8" s="6" t="n"/>
      <c r="X8" s="6" t="n"/>
    </row>
    <row r="9" ht="14" customHeight="1" s="250">
      <c r="A9" s="4" t="inlineStr">
        <is>
          <t>text</t>
        </is>
      </c>
      <c r="B9" s="5" t="inlineStr">
        <is>
          <t>mm_auth_methodmesh_method_id</t>
        </is>
      </c>
      <c r="C9" s="4" t="inlineStr">
        <is>
          <t>MethodMesh authentication return: methodmesh_method_id</t>
        </is>
      </c>
      <c r="D9" s="4" t="inlineStr"/>
      <c r="E9" s="4" t="inlineStr"/>
      <c r="F9" s="4" t="inlineStr"/>
      <c r="G9" s="4" t="inlineStr">
        <is>
          <t>hidden-answer</t>
        </is>
      </c>
      <c r="H9" s="4" t="n"/>
      <c r="I9" s="4" t="inlineStr"/>
      <c r="J9" s="4" t="inlineStr"/>
      <c r="K9" s="4" t="inlineStr"/>
      <c r="L9" s="4" t="n"/>
      <c r="M9" s="4" t="n"/>
      <c r="N9" s="4" t="n"/>
      <c r="O9" s="4" t="n"/>
      <c r="P9" s="4" t="n"/>
      <c r="Q9" s="4" t="n"/>
      <c r="R9" s="4" t="n"/>
      <c r="S9" s="4" t="n"/>
      <c r="T9" s="6" t="inlineStr">
        <is>
          <t>yes</t>
        </is>
      </c>
      <c r="U9" s="6" t="inlineStr"/>
      <c r="V9" s="6" t="n"/>
      <c r="W9" s="6" t="n"/>
      <c r="X9" s="6" t="n"/>
    </row>
    <row r="10" ht="14" customHeight="1" s="250">
      <c r="A10" s="4" t="inlineStr">
        <is>
          <t>text</t>
        </is>
      </c>
      <c r="B10" s="5" t="inlineStr">
        <is>
          <t>mm_auth_methodmesh_status</t>
        </is>
      </c>
      <c r="C10" s="4" t="inlineStr">
        <is>
          <t>MethodMesh authentication return: methodmesh_status</t>
        </is>
      </c>
      <c r="D10" s="4" t="inlineStr"/>
      <c r="E10" s="4" t="inlineStr"/>
      <c r="F10" s="4" t="inlineStr"/>
      <c r="G10" s="4" t="inlineStr">
        <is>
          <t>hidden-answer</t>
        </is>
      </c>
      <c r="H10" s="4" t="n"/>
      <c r="I10" s="4" t="inlineStr"/>
      <c r="J10" s="4" t="inlineStr"/>
      <c r="K10" s="4" t="inlineStr"/>
      <c r="L10" s="4" t="n"/>
      <c r="M10" s="4" t="n"/>
      <c r="N10" s="4" t="n"/>
      <c r="O10" s="4" t="n"/>
      <c r="P10" s="4" t="n"/>
      <c r="Q10" s="4" t="n"/>
      <c r="R10" s="4" t="n"/>
      <c r="S10" s="4" t="n"/>
      <c r="T10" s="6" t="inlineStr">
        <is>
          <t>yes</t>
        </is>
      </c>
      <c r="U10" s="6" t="inlineStr"/>
      <c r="V10" s="6" t="n"/>
      <c r="W10" s="6" t="n"/>
      <c r="X10" s="6" t="n"/>
    </row>
    <row r="11" ht="14" customHeight="1" s="250">
      <c r="A11" s="4" t="inlineStr">
        <is>
          <t>text</t>
        </is>
      </c>
      <c r="B11" s="5" t="inlineStr">
        <is>
          <t>mm_auth_credential_verified</t>
        </is>
      </c>
      <c r="C11" s="4" t="inlineStr">
        <is>
          <t>MethodMesh authentication return: credential_verified</t>
        </is>
      </c>
      <c r="D11" s="4" t="inlineStr"/>
      <c r="E11" s="4" t="inlineStr"/>
      <c r="F11" s="4" t="inlineStr"/>
      <c r="G11" s="4" t="inlineStr">
        <is>
          <t>hidden-answer</t>
        </is>
      </c>
      <c r="H11" s="4" t="n"/>
      <c r="I11" s="4" t="inlineStr"/>
      <c r="J11" s="4" t="inlineStr"/>
      <c r="K11" s="4" t="inlineStr"/>
      <c r="L11" s="4" t="n"/>
      <c r="M11" s="4" t="n"/>
      <c r="N11" s="4" t="n"/>
      <c r="O11" s="4" t="n"/>
      <c r="P11" s="4" t="n"/>
      <c r="Q11" s="4" t="n"/>
      <c r="R11" s="4" t="n"/>
      <c r="S11" s="4" t="n"/>
      <c r="T11" s="6" t="inlineStr">
        <is>
          <t>yes</t>
        </is>
      </c>
      <c r="U11" s="6" t="inlineStr"/>
      <c r="V11" s="6" t="n"/>
      <c r="W11" s="6" t="n"/>
      <c r="X11" s="6" t="n"/>
    </row>
    <row r="12" ht="14" customHeight="1" s="250">
      <c r="A12" s="4" t="inlineStr">
        <is>
          <t>text</t>
        </is>
      </c>
      <c r="B12" s="5" t="inlineStr">
        <is>
          <t>mm_auth_credential_verification_message</t>
        </is>
      </c>
      <c r="C12" s="4" t="inlineStr">
        <is>
          <t>MethodMesh authentication return: credential_verification_message</t>
        </is>
      </c>
      <c r="D12" s="4" t="inlineStr"/>
      <c r="E12" s="4" t="inlineStr"/>
      <c r="F12" s="4" t="inlineStr"/>
      <c r="G12" s="4" t="inlineStr">
        <is>
          <t>hidden-answer</t>
        </is>
      </c>
      <c r="H12" s="4" t="n"/>
      <c r="I12" s="4" t="inlineStr"/>
      <c r="J12" s="4" t="inlineStr"/>
      <c r="K12" s="4" t="inlineStr"/>
      <c r="L12" s="4" t="n"/>
      <c r="M12" s="4" t="n"/>
      <c r="N12" s="4" t="n"/>
      <c r="O12" s="4" t="n"/>
      <c r="P12" s="4" t="n"/>
      <c r="Q12" s="4" t="n"/>
      <c r="R12" s="4" t="n"/>
      <c r="S12" s="4" t="n"/>
      <c r="T12" s="6" t="inlineStr">
        <is>
          <t>yes</t>
        </is>
      </c>
      <c r="U12" s="6" t="inlineStr"/>
      <c r="V12" s="6" t="n"/>
      <c r="W12" s="6" t="n"/>
      <c r="X12" s="6" t="n"/>
    </row>
    <row r="13" ht="14" customHeight="1" s="250">
      <c r="A13" s="4" t="inlineStr">
        <is>
          <t>text</t>
        </is>
      </c>
      <c r="B13" s="5" t="inlineStr">
        <is>
          <t>mm_auth_credential_id</t>
        </is>
      </c>
      <c r="C13" s="4" t="inlineStr">
        <is>
          <t>MethodMesh authentication return: credential_id</t>
        </is>
      </c>
      <c r="D13" s="4" t="inlineStr"/>
      <c r="E13" s="4" t="inlineStr"/>
      <c r="F13" s="4" t="inlineStr"/>
      <c r="G13" s="4" t="inlineStr">
        <is>
          <t>hidden-answer</t>
        </is>
      </c>
      <c r="H13" s="4" t="n"/>
      <c r="I13" s="4" t="inlineStr"/>
      <c r="J13" s="4" t="inlineStr"/>
      <c r="K13" s="4" t="inlineStr"/>
      <c r="L13" s="4" t="n"/>
      <c r="M13" s="4" t="n"/>
      <c r="N13" s="4" t="n"/>
      <c r="O13" s="4" t="n"/>
      <c r="P13" s="4" t="n"/>
      <c r="Q13" s="4" t="n"/>
      <c r="R13" s="4" t="n"/>
      <c r="S13" s="4" t="n"/>
      <c r="T13" s="6" t="inlineStr">
        <is>
          <t>yes</t>
        </is>
      </c>
      <c r="U13" s="6" t="inlineStr"/>
      <c r="V13" s="6" t="n"/>
      <c r="W13" s="6" t="n"/>
      <c r="X13" s="6" t="n"/>
    </row>
    <row r="14" ht="14" customHeight="1" s="250">
      <c r="A14" s="4" t="inlineStr">
        <is>
          <t>text</t>
        </is>
      </c>
      <c r="B14" s="5" t="inlineStr">
        <is>
          <t>mm_auth_credential_subject_id</t>
        </is>
      </c>
      <c r="C14" s="4" t="inlineStr">
        <is>
          <t>MethodMesh authentication return: credential_subject_id</t>
        </is>
      </c>
      <c r="D14" s="4" t="inlineStr"/>
      <c r="E14" s="4" t="inlineStr"/>
      <c r="F14" s="4" t="inlineStr"/>
      <c r="G14" s="4" t="inlineStr">
        <is>
          <t>hidden-answer</t>
        </is>
      </c>
      <c r="H14" s="4" t="n"/>
      <c r="I14" s="4" t="inlineStr"/>
      <c r="J14" s="4" t="inlineStr"/>
      <c r="K14" s="4" t="inlineStr"/>
      <c r="L14" s="4" t="n"/>
      <c r="M14" s="4" t="n"/>
      <c r="N14" s="4" t="n"/>
      <c r="O14" s="4" t="n"/>
      <c r="P14" s="4" t="n"/>
      <c r="Q14" s="4" t="n"/>
      <c r="R14" s="4" t="n"/>
      <c r="S14" s="4" t="n"/>
      <c r="T14" s="6" t="inlineStr">
        <is>
          <t>yes</t>
        </is>
      </c>
      <c r="U14" s="6" t="inlineStr"/>
      <c r="V14" s="6" t="n"/>
      <c r="W14" s="6" t="n"/>
      <c r="X14" s="6" t="n"/>
    </row>
    <row r="15" ht="14" customHeight="1" s="250">
      <c r="A15" s="4" t="inlineStr">
        <is>
          <t>text</t>
        </is>
      </c>
      <c r="B15" s="5" t="inlineStr">
        <is>
          <t>mm_auth_valid_until_iso</t>
        </is>
      </c>
      <c r="C15" s="4" t="inlineStr">
        <is>
          <t>MethodMesh authentication return: valid_until_iso</t>
        </is>
      </c>
      <c r="D15" s="4" t="inlineStr"/>
      <c r="E15" s="4" t="inlineStr"/>
      <c r="F15" s="4" t="inlineStr"/>
      <c r="G15" s="4" t="inlineStr">
        <is>
          <t>hidden-answer</t>
        </is>
      </c>
      <c r="H15" s="4" t="n"/>
      <c r="I15" s="4" t="inlineStr"/>
      <c r="J15" s="4" t="inlineStr"/>
      <c r="K15" s="4" t="inlineStr"/>
      <c r="L15" s="4" t="n"/>
      <c r="M15" s="4" t="n"/>
      <c r="N15" s="4" t="n"/>
      <c r="O15" s="4" t="n"/>
      <c r="P15" s="4" t="n"/>
      <c r="Q15" s="4" t="n"/>
      <c r="R15" s="4" t="n"/>
      <c r="S15" s="4" t="n"/>
      <c r="T15" s="6" t="inlineStr">
        <is>
          <t>yes</t>
        </is>
      </c>
      <c r="U15" s="6" t="inlineStr"/>
      <c r="V15" s="6" t="n"/>
      <c r="W15" s="6" t="n"/>
      <c r="X15" s="6" t="n"/>
    </row>
    <row r="16" ht="14" customHeight="1" s="250">
      <c r="A16" s="4" t="inlineStr">
        <is>
          <t>text</t>
        </is>
      </c>
      <c r="B16" s="5" t="inlineStr">
        <is>
          <t>mm_auth_pin_verified</t>
        </is>
      </c>
      <c r="C16" s="4" t="inlineStr">
        <is>
          <t>MethodMesh authentication return: pin_verified</t>
        </is>
      </c>
      <c r="D16" s="4" t="inlineStr"/>
      <c r="E16" s="4" t="inlineStr"/>
      <c r="F16" s="4" t="inlineStr"/>
      <c r="G16" s="4" t="inlineStr">
        <is>
          <t>hidden-answer</t>
        </is>
      </c>
      <c r="H16" s="4" t="n"/>
      <c r="I16" s="4" t="inlineStr"/>
      <c r="J16" s="4" t="inlineStr"/>
      <c r="K16" s="4" t="inlineStr"/>
      <c r="L16" s="4" t="n"/>
      <c r="M16" s="4" t="n"/>
      <c r="N16" s="4" t="n"/>
      <c r="O16" s="4" t="n"/>
      <c r="P16" s="4" t="n"/>
      <c r="Q16" s="4" t="n"/>
      <c r="R16" s="4" t="n"/>
      <c r="S16" s="4" t="n"/>
      <c r="T16" s="6" t="inlineStr">
        <is>
          <t>yes</t>
        </is>
      </c>
      <c r="U16" s="6" t="inlineStr"/>
      <c r="V16" s="6" t="n"/>
      <c r="W16" s="6" t="n"/>
      <c r="X16" s="6" t="n"/>
    </row>
    <row r="17" ht="14" customHeight="1" s="250">
      <c r="A17" s="4" t="inlineStr">
        <is>
          <t>text</t>
        </is>
      </c>
      <c r="B17" s="5" t="inlineStr">
        <is>
          <t>mm_auth_issuer_signature_valid</t>
        </is>
      </c>
      <c r="C17" s="4" t="inlineStr">
        <is>
          <t>MethodMesh authentication return: issuer_signature_valid</t>
        </is>
      </c>
      <c r="D17" s="4" t="inlineStr"/>
      <c r="E17" s="4" t="inlineStr"/>
      <c r="F17" s="4" t="inlineStr"/>
      <c r="G17" s="4" t="inlineStr">
        <is>
          <t>hidden-answer</t>
        </is>
      </c>
      <c r="H17" s="4" t="n"/>
      <c r="I17" s="4" t="inlineStr"/>
      <c r="J17" s="4" t="inlineStr"/>
      <c r="K17" s="4" t="inlineStr"/>
      <c r="L17" s="4" t="n"/>
      <c r="M17" s="4" t="n"/>
      <c r="N17" s="4" t="n"/>
      <c r="O17" s="4" t="n"/>
      <c r="P17" s="4" t="n"/>
      <c r="Q17" s="4" t="n"/>
      <c r="R17" s="4" t="n"/>
      <c r="S17" s="4" t="n"/>
      <c r="T17" s="6" t="inlineStr">
        <is>
          <t>yes</t>
        </is>
      </c>
      <c r="U17" s="6" t="inlineStr"/>
      <c r="V17" s="6" t="n"/>
      <c r="W17" s="6" t="n"/>
      <c r="X17" s="6" t="n"/>
    </row>
    <row r="18" ht="14" customHeight="1" s="250">
      <c r="A18" s="4" t="inlineStr">
        <is>
          <t>text</t>
        </is>
      </c>
      <c r="B18" s="5" t="inlineStr">
        <is>
          <t>mm_auth_issuer_trust_status</t>
        </is>
      </c>
      <c r="C18" s="4" t="inlineStr">
        <is>
          <t>MethodMesh authentication return: issuer_trust_status</t>
        </is>
      </c>
      <c r="D18" s="4" t="inlineStr"/>
      <c r="E18" s="4" t="inlineStr"/>
      <c r="F18" s="4" t="inlineStr"/>
      <c r="G18" s="4" t="inlineStr">
        <is>
          <t>hidden-answer</t>
        </is>
      </c>
      <c r="H18" s="4" t="n"/>
      <c r="I18" s="4" t="inlineStr"/>
      <c r="J18" s="4" t="inlineStr"/>
      <c r="K18" s="4" t="inlineStr"/>
      <c r="L18" s="4" t="n"/>
      <c r="M18" s="4" t="n"/>
      <c r="N18" s="4" t="n"/>
      <c r="O18" s="4" t="n"/>
      <c r="P18" s="4" t="n"/>
      <c r="Q18" s="4" t="n"/>
      <c r="R18" s="4" t="n"/>
      <c r="S18" s="4" t="n"/>
      <c r="T18" s="6" t="inlineStr">
        <is>
          <t>yes</t>
        </is>
      </c>
      <c r="U18" s="6" t="inlineStr"/>
      <c r="V18" s="6" t="n"/>
      <c r="W18" s="6" t="n"/>
      <c r="X18" s="6" t="n"/>
    </row>
    <row r="19" ht="14" customHeight="1" s="250">
      <c r="A19" s="4" t="inlineStr">
        <is>
          <t>text</t>
        </is>
      </c>
      <c r="B19" s="5" t="inlineStr">
        <is>
          <t>mm_auth_issuer_key_id</t>
        </is>
      </c>
      <c r="C19" s="4" t="inlineStr">
        <is>
          <t>MethodMesh authentication return: issuer_key_id</t>
        </is>
      </c>
      <c r="D19" s="4" t="inlineStr"/>
      <c r="E19" s="4" t="inlineStr"/>
      <c r="F19" s="4" t="inlineStr"/>
      <c r="G19" s="4" t="inlineStr">
        <is>
          <t>hidden-answer</t>
        </is>
      </c>
      <c r="H19" s="4" t="n"/>
      <c r="I19" s="4" t="inlineStr"/>
      <c r="J19" s="4" t="inlineStr"/>
      <c r="K19" s="4" t="inlineStr"/>
      <c r="L19" s="4" t="n"/>
      <c r="M19" s="4" t="n"/>
      <c r="N19" s="4" t="n"/>
      <c r="O19" s="4" t="n"/>
      <c r="P19" s="4" t="n"/>
      <c r="Q19" s="4" t="n"/>
      <c r="R19" s="4" t="n"/>
      <c r="S19" s="4" t="n"/>
      <c r="T19" s="6" t="inlineStr">
        <is>
          <t>yes</t>
        </is>
      </c>
      <c r="U19" s="6" t="inlineStr"/>
      <c r="V19" s="6" t="n"/>
      <c r="W19" s="6" t="n"/>
      <c r="X19" s="6" t="n"/>
    </row>
    <row r="20" ht="14" customHeight="1" s="250">
      <c r="A20" s="4" t="inlineStr">
        <is>
          <t>text</t>
        </is>
      </c>
      <c r="B20" s="5" t="inlineStr">
        <is>
          <t>mm_auth_issuer_public_key_fingerprint_sha256</t>
        </is>
      </c>
      <c r="C20" s="4" t="inlineStr">
        <is>
          <t>MethodMesh authentication return: issuer_public_key_fingerprint_sha256</t>
        </is>
      </c>
      <c r="D20" s="4" t="inlineStr"/>
      <c r="E20" s="4" t="inlineStr"/>
      <c r="F20" s="4" t="inlineStr"/>
      <c r="G20" s="4" t="inlineStr">
        <is>
          <t>hidden-answer</t>
        </is>
      </c>
      <c r="H20" s="4" t="n"/>
      <c r="I20" s="4" t="inlineStr"/>
      <c r="J20" s="4" t="inlineStr"/>
      <c r="K20" s="4" t="inlineStr"/>
      <c r="L20" s="4" t="n"/>
      <c r="M20" s="4" t="n"/>
      <c r="N20" s="4" t="n"/>
      <c r="O20" s="4" t="n"/>
      <c r="P20" s="4" t="n"/>
      <c r="Q20" s="4" t="n"/>
      <c r="R20" s="4" t="n"/>
      <c r="S20" s="4" t="n"/>
      <c r="T20" s="6" t="inlineStr">
        <is>
          <t>yes</t>
        </is>
      </c>
      <c r="U20" s="6" t="inlineStr"/>
      <c r="V20" s="6" t="n"/>
      <c r="W20" s="6" t="n"/>
      <c r="X20" s="6" t="n"/>
    </row>
    <row r="21" ht="14" customHeight="1" s="250">
      <c r="A21" s="4" t="inlineStr">
        <is>
          <t>text</t>
        </is>
      </c>
      <c r="B21" s="5" t="inlineStr">
        <is>
          <t>mm_auth_tag_uid_hex</t>
        </is>
      </c>
      <c r="C21" s="4" t="inlineStr">
        <is>
          <t>MethodMesh authentication return: tag_uid_hex</t>
        </is>
      </c>
      <c r="D21" s="4" t="inlineStr"/>
      <c r="E21" s="4" t="inlineStr"/>
      <c r="F21" s="4" t="inlineStr"/>
      <c r="G21" s="4" t="inlineStr">
        <is>
          <t>hidden-answer</t>
        </is>
      </c>
      <c r="H21" s="4" t="n"/>
      <c r="I21" s="4" t="inlineStr"/>
      <c r="J21" s="4" t="inlineStr"/>
      <c r="K21" s="4" t="inlineStr"/>
      <c r="L21" s="4" t="n"/>
      <c r="M21" s="4" t="n"/>
      <c r="N21" s="4" t="n"/>
      <c r="O21" s="4" t="n"/>
      <c r="P21" s="4" t="n"/>
      <c r="Q21" s="4" t="n"/>
      <c r="R21" s="4" t="n"/>
      <c r="S21" s="4" t="n"/>
      <c r="T21" s="6" t="inlineStr">
        <is>
          <t>yes</t>
        </is>
      </c>
      <c r="U21" s="6" t="inlineStr"/>
      <c r="V21" s="6" t="n"/>
      <c r="W21" s="6" t="n"/>
      <c r="X21" s="6" t="n"/>
    </row>
    <row r="22" ht="14" customHeight="1" s="250">
      <c r="A22" s="4" t="inlineStr">
        <is>
          <t>text</t>
        </is>
      </c>
      <c r="B22" s="5" t="inlineStr">
        <is>
          <t>mm_auth_verification_evidence_hash</t>
        </is>
      </c>
      <c r="C22" s="4" t="inlineStr">
        <is>
          <t>MethodMesh authentication return: verification_evidence_hash</t>
        </is>
      </c>
      <c r="D22" s="4" t="inlineStr"/>
      <c r="E22" s="4" t="inlineStr"/>
      <c r="F22" s="4" t="inlineStr"/>
      <c r="G22" s="4" t="inlineStr">
        <is>
          <t>hidden-answer</t>
        </is>
      </c>
      <c r="H22" s="4" t="n"/>
      <c r="I22" s="4" t="inlineStr"/>
      <c r="J22" s="4" t="inlineStr"/>
      <c r="K22" s="4" t="inlineStr"/>
      <c r="L22" s="4" t="n"/>
      <c r="M22" s="4" t="n"/>
      <c r="N22" s="4" t="n"/>
      <c r="O22" s="4" t="n"/>
      <c r="P22" s="4" t="n"/>
      <c r="Q22" s="4" t="n"/>
      <c r="R22" s="4" t="n"/>
      <c r="S22" s="4" t="n"/>
      <c r="T22" s="6" t="inlineStr">
        <is>
          <t>yes</t>
        </is>
      </c>
      <c r="U22" s="6" t="inlineStr"/>
      <c r="V22" s="6" t="n"/>
      <c r="W22" s="6" t="n"/>
      <c r="X22" s="6" t="n"/>
    </row>
    <row r="23" ht="14" customHeight="1" s="250">
      <c r="A23" s="4" t="inlineStr">
        <is>
          <t>text</t>
        </is>
      </c>
      <c r="B23" s="5" t="inlineStr">
        <is>
          <t>mm_auth_credential_envelope_hash</t>
        </is>
      </c>
      <c r="C23" s="4" t="inlineStr">
        <is>
          <t>MethodMesh authentication return: credential_envelope_hash</t>
        </is>
      </c>
      <c r="D23" s="4" t="inlineStr"/>
      <c r="E23" s="4" t="inlineStr"/>
      <c r="F23" s="4" t="inlineStr"/>
      <c r="G23" s="4" t="inlineStr">
        <is>
          <t>hidden-answer</t>
        </is>
      </c>
      <c r="H23" s="4" t="n"/>
      <c r="I23" s="4" t="inlineStr"/>
      <c r="J23" s="4" t="inlineStr"/>
      <c r="K23" s="4" t="inlineStr"/>
      <c r="L23" s="4" t="n"/>
      <c r="M23" s="4" t="n"/>
      <c r="N23" s="4" t="n"/>
      <c r="O23" s="4" t="n"/>
      <c r="P23" s="4" t="n"/>
      <c r="Q23" s="4" t="n"/>
      <c r="R23" s="4" t="n"/>
      <c r="S23" s="4" t="n"/>
      <c r="T23" s="6" t="inlineStr">
        <is>
          <t>yes</t>
        </is>
      </c>
      <c r="U23" s="6" t="inlineStr"/>
      <c r="V23" s="6" t="n"/>
      <c r="W23" s="6" t="n"/>
      <c r="X23" s="6" t="n"/>
    </row>
    <row r="24" ht="14" customHeight="1" s="250">
      <c r="A24" s="4" t="inlineStr">
        <is>
          <t>text</t>
        </is>
      </c>
      <c r="B24" s="5" t="inlineStr">
        <is>
          <t>mm_auth_credential_verified_time_iso</t>
        </is>
      </c>
      <c r="C24" s="4" t="inlineStr">
        <is>
          <t>MethodMesh authentication return: credential_verified_time_iso</t>
        </is>
      </c>
      <c r="D24" s="4" t="inlineStr"/>
      <c r="E24" s="4" t="inlineStr"/>
      <c r="F24" s="4" t="inlineStr"/>
      <c r="G24" s="4" t="inlineStr">
        <is>
          <t>hidden-answer</t>
        </is>
      </c>
      <c r="H24" s="4" t="n"/>
      <c r="I24" s="4" t="inlineStr"/>
      <c r="J24" s="4" t="inlineStr"/>
      <c r="K24" s="4" t="inlineStr"/>
      <c r="L24" s="4" t="n"/>
      <c r="M24" s="4" t="n"/>
      <c r="N24" s="4" t="n"/>
      <c r="O24" s="4" t="n"/>
      <c r="P24" s="4" t="n"/>
      <c r="Q24" s="4" t="n"/>
      <c r="R24" s="4" t="n"/>
      <c r="S24" s="4" t="n"/>
      <c r="T24" s="6" t="inlineStr">
        <is>
          <t>yes</t>
        </is>
      </c>
      <c r="U24" s="6" t="inlineStr"/>
      <c r="V24" s="6" t="n"/>
      <c r="W24" s="6" t="n"/>
      <c r="X24" s="6" t="n"/>
    </row>
    <row r="25" ht="14" customHeight="1" s="250">
      <c r="A25" s="4" t="inlineStr">
        <is>
          <t>text</t>
        </is>
      </c>
      <c r="B25" s="5" t="inlineStr">
        <is>
          <t>mm_auth_methodmesh_full_json</t>
        </is>
      </c>
      <c r="C25" s="4" t="inlineStr">
        <is>
          <t>MethodMesh authentication return: methodmesh_full_json</t>
        </is>
      </c>
      <c r="D25" s="4" t="inlineStr"/>
      <c r="E25" s="4" t="inlineStr"/>
      <c r="F25" s="4" t="inlineStr"/>
      <c r="G25" s="4" t="inlineStr">
        <is>
          <t>hidden-answer</t>
        </is>
      </c>
      <c r="H25" s="4" t="n"/>
      <c r="I25" s="4" t="inlineStr"/>
      <c r="J25" s="4" t="inlineStr"/>
      <c r="K25" s="4" t="inlineStr"/>
      <c r="L25" s="4" t="n"/>
      <c r="M25" s="4" t="n"/>
      <c r="N25" s="4" t="n"/>
      <c r="O25" s="4" t="n"/>
      <c r="P25" s="4" t="n"/>
      <c r="Q25" s="4" t="n"/>
      <c r="R25" s="4" t="n"/>
      <c r="S25" s="4" t="n"/>
      <c r="T25" s="6" t="inlineStr">
        <is>
          <t>yes</t>
        </is>
      </c>
      <c r="U25" s="6" t="inlineStr"/>
      <c r="V25" s="6" t="n"/>
      <c r="W25" s="6" t="n"/>
      <c r="X25" s="6" t="n"/>
    </row>
    <row r="26" ht="14" customHeight="1" s="250">
      <c r="A26" s="4" t="inlineStr">
        <is>
          <t>end group</t>
        </is>
      </c>
      <c r="B26" s="5" t="inlineStr">
        <is>
          <t>mm_authenticate_operator_end</t>
        </is>
      </c>
      <c r="C26" s="4" t="inlineStr"/>
      <c r="D26" s="4" t="inlineStr"/>
      <c r="E26" s="4" t="inlineStr"/>
      <c r="F26" s="4" t="inlineStr"/>
      <c r="G26" s="4" t="inlineStr"/>
      <c r="H26" s="4" t="n"/>
      <c r="I26" s="4" t="inlineStr"/>
      <c r="J26" s="4" t="inlineStr"/>
      <c r="K26" s="4" t="inlineStr"/>
      <c r="L26" s="4" t="n"/>
      <c r="M26" s="4" t="n"/>
      <c r="N26" s="4" t="n"/>
      <c r="O26" s="4" t="n"/>
      <c r="P26" s="4" t="n"/>
      <c r="Q26" s="4" t="n"/>
      <c r="R26" s="4" t="n"/>
      <c r="S26" s="4" t="n"/>
      <c r="T26" s="6" t="inlineStr"/>
      <c r="U26" s="6" t="inlineStr"/>
      <c r="V26" s="6" t="n"/>
      <c r="W26" s="6" t="n"/>
      <c r="X26" s="6" t="n"/>
    </row>
    <row r="27" ht="14" customHeight="1" s="250">
      <c r="A27" s="4" t="inlineStr">
        <is>
          <t>calculate</t>
        </is>
      </c>
      <c r="B27" s="5" t="inlineStr">
        <is>
          <t>mm_auth_ok</t>
        </is>
      </c>
      <c r="C27" s="4" t="inlineStr"/>
      <c r="D27" s="4" t="inlineStr"/>
      <c r="E27" s="4" t="inlineStr"/>
      <c r="F27" s="4" t="inlineStr"/>
      <c r="G27" s="4" t="inlineStr">
        <is>
          <t>hidden-answer</t>
        </is>
      </c>
      <c r="H27" s="4" t="n"/>
      <c r="I27" s="4" t="inlineStr"/>
      <c r="J27" s="4" t="inlineStr"/>
      <c r="K27" s="4" t="inlineStr">
        <is>
          <t>if(${mm_auth_methodmesh_status} = 'Succeeded' and ${mm_auth_credential_verified} = 'true' and ${mm_auth_pin_verified} = 'true' and ${mm_auth_issuer_signature_valid} = 'true', 'true', 'false')</t>
        </is>
      </c>
      <c r="L27" s="4" t="n"/>
      <c r="M27" s="4" t="n"/>
      <c r="N27" s="4" t="n"/>
      <c r="O27" s="4" t="n"/>
      <c r="P27" s="4" t="n"/>
      <c r="Q27" s="4" t="n"/>
      <c r="R27" s="4" t="n"/>
      <c r="S27" s="4" t="n"/>
      <c r="T27" s="6" t="inlineStr"/>
      <c r="U27" s="6" t="inlineStr"/>
      <c r="V27" s="6" t="n"/>
      <c r="W27" s="6" t="n"/>
      <c r="X27" s="6" t="n"/>
    </row>
    <row r="28" ht="14" customHeight="1" s="250">
      <c r="A28" s="4" t="inlineStr">
        <is>
          <t>note</t>
        </is>
      </c>
      <c r="B28" s="5" t="inlineStr">
        <is>
          <t>mm_auth_status_ok</t>
        </is>
      </c>
      <c r="C28" s="4" t="inlineStr">
        <is>
          <t>Credential verified</t>
        </is>
      </c>
      <c r="D28" s="4" t="inlineStr"/>
      <c r="E28" s="4" t="inlineStr"/>
      <c r="F28" s="4" t="inlineStr">
        <is>
          <t>${mm_auth_ok} = 'true'</t>
        </is>
      </c>
      <c r="G28" s="4" t="inlineStr"/>
      <c r="H28" s="4" t="n"/>
      <c r="I28" s="4" t="inlineStr"/>
      <c r="J28" s="4" t="inlineStr"/>
      <c r="K28" s="4" t="inlineStr"/>
      <c r="L28" s="4" t="n"/>
      <c r="M28" s="4" t="n"/>
      <c r="N28" s="4" t="n"/>
      <c r="O28" s="4" t="n"/>
      <c r="P28" s="4" t="n"/>
      <c r="Q28" s="4" t="n"/>
      <c r="R28" s="4" t="n"/>
      <c r="S28" s="4" t="n"/>
      <c r="T28" s="6" t="inlineStr"/>
      <c r="U28" s="6" t="inlineStr"/>
      <c r="V28" s="6" t="n"/>
      <c r="W28" s="6" t="n"/>
      <c r="X28" s="6" t="n"/>
    </row>
    <row r="29" ht="14" customHeight="1" s="250">
      <c r="A29" s="4" t="inlineStr">
        <is>
          <t>begin group</t>
        </is>
      </c>
      <c r="B29" s="5" t="inlineStr">
        <is>
          <t>mm_study_data</t>
        </is>
      </c>
      <c r="C29" s="4" t="inlineStr">
        <is>
          <t>Study data</t>
        </is>
      </c>
      <c r="D29" s="4" t="inlineStr">
        <is>
          <t>Add ordinary study questions in rows 30–468. Mark inclusion on the MethodMesh recipe sheet.</t>
        </is>
      </c>
      <c r="E29" s="4" t="inlineStr"/>
      <c r="F29" s="4" t="inlineStr">
        <is>
          <t>${mm_auth_ok} = 'true'</t>
        </is>
      </c>
      <c r="G29" s="4" t="inlineStr"/>
      <c r="H29" s="4" t="n"/>
      <c r="I29" s="4" t="inlineStr"/>
      <c r="J29" s="4" t="inlineStr"/>
      <c r="K29" s="4" t="inlineStr"/>
      <c r="L29" s="4" t="n"/>
      <c r="M29" s="4" t="n"/>
      <c r="N29" s="4" t="n"/>
      <c r="O29" s="4" t="n"/>
      <c r="P29" s="4" t="n"/>
      <c r="Q29" s="4" t="n"/>
      <c r="R29" s="4" t="n"/>
      <c r="S29" s="4" t="n"/>
      <c r="T29" s="6" t="inlineStr"/>
      <c r="U29" s="6" t="inlineStr"/>
      <c r="V29" s="6" t="n"/>
      <c r="W29" s="6" t="n"/>
      <c r="X29" s="6" t="n"/>
    </row>
    <row r="30" ht="14" customHeight="1" s="250">
      <c r="A30" s="4" t="n"/>
      <c r="B30" s="5" t="n"/>
      <c r="C30" s="4" t="n"/>
      <c r="D30" s="4" t="n"/>
      <c r="E30" s="4" t="n"/>
      <c r="F30" s="4" t="n"/>
      <c r="G30" s="4" t="n"/>
      <c r="H30" s="4" t="n"/>
      <c r="I30" s="4" t="n"/>
      <c r="J30" s="4" t="n"/>
      <c r="K30" s="4" t="n"/>
      <c r="L30" s="4" t="n"/>
      <c r="M30" s="4" t="n"/>
      <c r="N30" s="4" t="n"/>
      <c r="O30" s="4" t="n"/>
      <c r="P30" s="4" t="n"/>
      <c r="Q30" s="4" t="n"/>
      <c r="R30" s="4" t="n"/>
      <c r="S30" s="4" t="n"/>
      <c r="T30" s="6" t="n"/>
      <c r="U30" s="6" t="n"/>
      <c r="V30" s="6" t="n"/>
      <c r="W30" s="6" t="n"/>
      <c r="X30" s="6" t="n"/>
    </row>
    <row r="31" ht="14" customHeight="1" s="250">
      <c r="A31" s="4" t="n"/>
      <c r="B31" s="5" t="n"/>
      <c r="C31" s="4" t="n"/>
      <c r="D31" s="4" t="n"/>
      <c r="E31" s="4" t="n"/>
      <c r="F31" s="4" t="n"/>
      <c r="G31" s="4" t="n"/>
      <c r="H31" s="4" t="n"/>
      <c r="I31" s="4" t="n"/>
      <c r="J31" s="4" t="n"/>
      <c r="K31" s="4" t="n"/>
      <c r="L31" s="4" t="n"/>
      <c r="M31" s="4" t="n"/>
      <c r="N31" s="4" t="n"/>
      <c r="O31" s="4" t="n"/>
      <c r="P31" s="4" t="n"/>
      <c r="Q31" s="4" t="n"/>
      <c r="R31" s="4" t="n"/>
      <c r="S31" s="4" t="n"/>
      <c r="T31" s="6" t="n"/>
      <c r="U31" s="6" t="n"/>
      <c r="V31" s="6" t="n"/>
      <c r="W31" s="6" t="n"/>
      <c r="X31" s="6" t="n"/>
    </row>
    <row r="32" ht="14" customHeight="1" s="250">
      <c r="A32" s="4" t="n"/>
      <c r="B32" s="5" t="n"/>
      <c r="C32" s="4" t="n"/>
      <c r="D32" s="4" t="n"/>
      <c r="E32" s="4" t="n"/>
      <c r="F32" s="4" t="n"/>
      <c r="G32" s="4" t="n"/>
      <c r="H32" s="4" t="n"/>
      <c r="I32" s="4" t="n"/>
      <c r="J32" s="4" t="n"/>
      <c r="K32" s="4" t="n"/>
      <c r="L32" s="4" t="n"/>
      <c r="M32" s="4" t="n"/>
      <c r="N32" s="4" t="n"/>
      <c r="O32" s="4" t="n"/>
      <c r="P32" s="4" t="n"/>
      <c r="Q32" s="4" t="n"/>
      <c r="R32" s="4" t="n"/>
      <c r="S32" s="4" t="n"/>
      <c r="T32" s="6" t="n"/>
      <c r="U32" s="6" t="n"/>
      <c r="V32" s="6" t="n"/>
      <c r="W32" s="6" t="n"/>
      <c r="X32" s="6" t="n"/>
    </row>
    <row r="33" ht="14" customHeight="1" s="250">
      <c r="A33" s="4" t="n"/>
      <c r="B33" s="5" t="n"/>
      <c r="C33" s="4" t="n"/>
      <c r="D33" s="4" t="n"/>
      <c r="E33" s="4" t="n"/>
      <c r="F33" s="4" t="n"/>
      <c r="G33" s="4" t="n"/>
      <c r="H33" s="4" t="n"/>
      <c r="I33" s="4" t="n"/>
      <c r="J33" s="4" t="n"/>
      <c r="K33" s="4" t="n"/>
      <c r="L33" s="4" t="n"/>
      <c r="M33" s="4" t="n"/>
      <c r="N33" s="4" t="n"/>
      <c r="O33" s="4" t="n"/>
      <c r="P33" s="4" t="n"/>
      <c r="Q33" s="4" t="n"/>
      <c r="R33" s="4" t="n"/>
      <c r="S33" s="4" t="n"/>
      <c r="T33" s="6" t="n"/>
      <c r="U33" s="6" t="n"/>
      <c r="V33" s="6" t="n"/>
      <c r="W33" s="6" t="n"/>
      <c r="X33" s="6" t="n"/>
    </row>
    <row r="34" ht="14" customHeight="1" s="250">
      <c r="A34" s="4" t="n"/>
      <c r="B34" s="5" t="n"/>
      <c r="C34" s="4" t="n"/>
      <c r="D34" s="4" t="n"/>
      <c r="E34" s="4" t="n"/>
      <c r="F34" s="4" t="n"/>
      <c r="G34" s="4" t="n"/>
      <c r="H34" s="4" t="n"/>
      <c r="I34" s="4" t="n"/>
      <c r="J34" s="4" t="n"/>
      <c r="K34" s="4" t="n"/>
      <c r="L34" s="4" t="n"/>
      <c r="M34" s="4" t="n"/>
      <c r="N34" s="4" t="n"/>
      <c r="O34" s="4" t="n"/>
      <c r="P34" s="4" t="n"/>
      <c r="Q34" s="4" t="n"/>
      <c r="R34" s="4" t="n"/>
      <c r="S34" s="4" t="n"/>
      <c r="T34" s="6" t="n"/>
      <c r="U34" s="6" t="n"/>
      <c r="V34" s="6" t="n"/>
      <c r="W34" s="6" t="n"/>
      <c r="X34" s="6" t="n"/>
    </row>
    <row r="35" ht="14" customHeight="1" s="250">
      <c r="A35" s="4" t="n"/>
      <c r="B35" s="5" t="n"/>
      <c r="C35" s="4" t="n"/>
      <c r="D35" s="4" t="n"/>
      <c r="E35" s="4" t="n"/>
      <c r="F35" s="4" t="n"/>
      <c r="G35" s="4" t="n"/>
      <c r="H35" s="4" t="n"/>
      <c r="I35" s="4" t="n"/>
      <c r="J35" s="4" t="n"/>
      <c r="K35" s="4" t="n"/>
      <c r="L35" s="4" t="n"/>
      <c r="M35" s="4" t="n"/>
      <c r="N35" s="4" t="n"/>
      <c r="O35" s="4" t="n"/>
      <c r="P35" s="4" t="n"/>
      <c r="Q35" s="4" t="n"/>
      <c r="R35" s="4" t="n"/>
      <c r="S35" s="4" t="n"/>
      <c r="T35" s="6" t="n"/>
      <c r="U35" s="6" t="n"/>
      <c r="V35" s="6" t="n"/>
      <c r="W35" s="6" t="n"/>
      <c r="X35" s="6" t="n"/>
    </row>
    <row r="36" ht="14" customHeight="1" s="250">
      <c r="A36" s="4" t="n"/>
      <c r="B36" s="5" t="n"/>
      <c r="C36" s="4" t="n"/>
      <c r="D36" s="4" t="n"/>
      <c r="E36" s="4" t="n"/>
      <c r="F36" s="4" t="n"/>
      <c r="G36" s="4" t="n"/>
      <c r="H36" s="4" t="n"/>
      <c r="I36" s="4" t="n"/>
      <c r="J36" s="4" t="n"/>
      <c r="K36" s="4" t="n"/>
      <c r="L36" s="4" t="n"/>
      <c r="M36" s="4" t="n"/>
      <c r="N36" s="4" t="n"/>
      <c r="O36" s="4" t="n"/>
      <c r="P36" s="4" t="n"/>
      <c r="Q36" s="4" t="n"/>
      <c r="R36" s="4" t="n"/>
      <c r="S36" s="4" t="n"/>
      <c r="T36" s="6" t="n"/>
      <c r="U36" s="6" t="n"/>
      <c r="V36" s="6" t="n"/>
      <c r="W36" s="6" t="n"/>
      <c r="X36" s="6" t="n"/>
    </row>
    <row r="37" ht="14" customHeight="1" s="250">
      <c r="A37" s="4" t="n"/>
      <c r="B37" s="5" t="n"/>
      <c r="C37" s="4" t="n"/>
      <c r="D37" s="4" t="n"/>
      <c r="E37" s="4" t="n"/>
      <c r="F37" s="4" t="n"/>
      <c r="G37" s="4" t="n"/>
      <c r="H37" s="4" t="n"/>
      <c r="I37" s="4" t="n"/>
      <c r="J37" s="4" t="n"/>
      <c r="K37" s="4" t="n"/>
      <c r="L37" s="4" t="n"/>
      <c r="M37" s="4" t="n"/>
      <c r="N37" s="4" t="n"/>
      <c r="O37" s="4" t="n"/>
      <c r="P37" s="4" t="n"/>
      <c r="Q37" s="4" t="n"/>
      <c r="R37" s="4" t="n"/>
      <c r="S37" s="4" t="n"/>
      <c r="T37" s="6" t="n"/>
      <c r="U37" s="6" t="n"/>
      <c r="V37" s="6" t="n"/>
      <c r="W37" s="6" t="n"/>
      <c r="X37" s="6" t="n"/>
    </row>
    <row r="38" ht="14" customHeight="1" s="250">
      <c r="A38" s="4" t="n"/>
      <c r="B38" s="5" t="n"/>
      <c r="C38" s="4" t="n"/>
      <c r="D38" s="4" t="n"/>
      <c r="E38" s="4" t="n"/>
      <c r="F38" s="4" t="n"/>
      <c r="G38" s="4" t="n"/>
      <c r="H38" s="4" t="n"/>
      <c r="I38" s="4" t="n"/>
      <c r="J38" s="4" t="n"/>
      <c r="K38" s="4" t="n"/>
      <c r="L38" s="4" t="n"/>
      <c r="M38" s="4" t="n"/>
      <c r="N38" s="4" t="n"/>
      <c r="O38" s="4" t="n"/>
      <c r="P38" s="4" t="n"/>
      <c r="Q38" s="4" t="n"/>
      <c r="R38" s="4" t="n"/>
      <c r="S38" s="4" t="n"/>
      <c r="T38" s="6" t="n"/>
      <c r="U38" s="6" t="n"/>
      <c r="V38" s="6" t="n"/>
      <c r="W38" s="6" t="n"/>
      <c r="X38" s="6" t="n"/>
    </row>
    <row r="39" ht="14" customHeight="1" s="250">
      <c r="A39" s="4" t="n"/>
      <c r="B39" s="5" t="n"/>
      <c r="C39" s="4" t="n"/>
      <c r="D39" s="4" t="n"/>
      <c r="E39" s="4" t="n"/>
      <c r="F39" s="4" t="n"/>
      <c r="G39" s="4" t="n"/>
      <c r="H39" s="4" t="n"/>
      <c r="I39" s="4" t="n"/>
      <c r="J39" s="4" t="n"/>
      <c r="K39" s="4" t="n"/>
      <c r="L39" s="4" t="n"/>
      <c r="M39" s="4" t="n"/>
      <c r="N39" s="4" t="n"/>
      <c r="O39" s="4" t="n"/>
      <c r="P39" s="4" t="n"/>
      <c r="Q39" s="4" t="n"/>
      <c r="R39" s="4" t="n"/>
      <c r="S39" s="4" t="n"/>
      <c r="T39" s="6" t="n"/>
      <c r="U39" s="6" t="n"/>
      <c r="V39" s="6" t="n"/>
      <c r="W39" s="6" t="n"/>
      <c r="X39" s="6" t="n"/>
    </row>
    <row r="40" ht="14" customHeight="1" s="250">
      <c r="A40" s="4" t="n"/>
      <c r="B40" s="5" t="n"/>
      <c r="C40" s="4" t="n"/>
      <c r="D40" s="4" t="n"/>
      <c r="E40" s="4" t="n"/>
      <c r="F40" s="4" t="n"/>
      <c r="G40" s="4" t="n"/>
      <c r="H40" s="4" t="n"/>
      <c r="I40" s="4" t="n"/>
      <c r="J40" s="4" t="n"/>
      <c r="K40" s="4" t="n"/>
      <c r="L40" s="4" t="n"/>
      <c r="M40" s="4" t="n"/>
      <c r="N40" s="4" t="n"/>
      <c r="O40" s="4" t="n"/>
      <c r="P40" s="4" t="n"/>
      <c r="Q40" s="4" t="n"/>
      <c r="R40" s="4" t="n"/>
      <c r="S40" s="4" t="n"/>
      <c r="T40" s="6" t="n"/>
      <c r="U40" s="6" t="n"/>
      <c r="V40" s="6" t="n"/>
      <c r="W40" s="6" t="n"/>
      <c r="X40" s="6" t="n"/>
    </row>
    <row r="41" ht="14" customHeight="1" s="250">
      <c r="A41" s="4" t="n"/>
      <c r="B41" s="5" t="n"/>
      <c r="C41" s="4" t="n"/>
      <c r="D41" s="4" t="n"/>
      <c r="E41" s="4" t="n"/>
      <c r="F41" s="4" t="n"/>
      <c r="G41" s="4" t="n"/>
      <c r="H41" s="4" t="n"/>
      <c r="I41" s="4" t="n"/>
      <c r="J41" s="4" t="n"/>
      <c r="K41" s="4" t="n"/>
      <c r="L41" s="4" t="n"/>
      <c r="M41" s="4" t="n"/>
      <c r="N41" s="4" t="n"/>
      <c r="O41" s="4" t="n"/>
      <c r="P41" s="4" t="n"/>
      <c r="Q41" s="4" t="n"/>
      <c r="R41" s="4" t="n"/>
      <c r="S41" s="4" t="n"/>
      <c r="T41" s="6" t="n"/>
      <c r="U41" s="6" t="n"/>
      <c r="V41" s="6" t="n"/>
      <c r="W41" s="6" t="n"/>
      <c r="X41" s="6" t="n"/>
    </row>
    <row r="42" ht="14" customHeight="1" s="250">
      <c r="A42" s="4" t="n"/>
      <c r="B42" s="5" t="n"/>
      <c r="C42" s="4" t="n"/>
      <c r="D42" s="4" t="n"/>
      <c r="E42" s="4" t="n"/>
      <c r="F42" s="4" t="n"/>
      <c r="G42" s="4" t="n"/>
      <c r="H42" s="4" t="n"/>
      <c r="I42" s="4" t="n"/>
      <c r="J42" s="4" t="n"/>
      <c r="K42" s="4" t="n"/>
      <c r="L42" s="4" t="n"/>
      <c r="M42" s="4" t="n"/>
      <c r="N42" s="4" t="n"/>
      <c r="O42" s="4" t="n"/>
      <c r="P42" s="4" t="n"/>
      <c r="Q42" s="4" t="n"/>
      <c r="R42" s="4" t="n"/>
      <c r="S42" s="4" t="n"/>
      <c r="T42" s="6" t="n"/>
      <c r="U42" s="6" t="n"/>
      <c r="V42" s="6" t="n"/>
      <c r="W42" s="6" t="n"/>
      <c r="X42" s="6" t="n"/>
    </row>
    <row r="43" ht="14" customHeight="1" s="250">
      <c r="A43" s="4" t="n"/>
      <c r="B43" s="5" t="n"/>
      <c r="C43" s="4" t="n"/>
      <c r="D43" s="4" t="n"/>
      <c r="E43" s="4" t="n"/>
      <c r="F43" s="4" t="n"/>
      <c r="G43" s="4" t="n"/>
      <c r="H43" s="4" t="n"/>
      <c r="I43" s="4" t="n"/>
      <c r="J43" s="4" t="n"/>
      <c r="K43" s="4" t="n"/>
      <c r="L43" s="4" t="n"/>
      <c r="M43" s="4" t="n"/>
      <c r="N43" s="4" t="n"/>
      <c r="O43" s="4" t="n"/>
      <c r="P43" s="4" t="n"/>
      <c r="Q43" s="4" t="n"/>
      <c r="R43" s="4" t="n"/>
      <c r="S43" s="4" t="n"/>
      <c r="T43" s="6" t="n"/>
      <c r="U43" s="6" t="n"/>
      <c r="V43" s="6" t="n"/>
      <c r="W43" s="6" t="n"/>
      <c r="X43" s="6" t="n"/>
    </row>
    <row r="44" ht="14" customHeight="1" s="250">
      <c r="A44" s="4" t="n"/>
      <c r="B44" s="5" t="n"/>
      <c r="C44" s="4" t="n"/>
      <c r="D44" s="4" t="n"/>
      <c r="E44" s="4" t="n"/>
      <c r="F44" s="4" t="n"/>
      <c r="G44" s="4" t="n"/>
      <c r="H44" s="4" t="n"/>
      <c r="I44" s="4" t="n"/>
      <c r="J44" s="4" t="n"/>
      <c r="K44" s="4" t="n"/>
      <c r="L44" s="4" t="n"/>
      <c r="M44" s="4" t="n"/>
      <c r="N44" s="4" t="n"/>
      <c r="O44" s="4" t="n"/>
      <c r="P44" s="4" t="n"/>
      <c r="Q44" s="4" t="n"/>
      <c r="R44" s="4" t="n"/>
      <c r="S44" s="4" t="n"/>
      <c r="T44" s="6" t="n"/>
      <c r="U44" s="6" t="n"/>
      <c r="V44" s="6" t="n"/>
      <c r="W44" s="6" t="n"/>
      <c r="X44" s="6" t="n"/>
    </row>
    <row r="45" ht="14" customHeight="1" s="250">
      <c r="A45" s="4" t="n"/>
      <c r="B45" s="5" t="n"/>
      <c r="C45" s="4" t="n"/>
      <c r="D45" s="4" t="n"/>
      <c r="E45" s="4" t="n"/>
      <c r="F45" s="4" t="n"/>
      <c r="G45" s="4" t="n"/>
      <c r="H45" s="4" t="n"/>
      <c r="I45" s="4" t="n"/>
      <c r="J45" s="4" t="n"/>
      <c r="K45" s="4" t="n"/>
      <c r="L45" s="4" t="n"/>
      <c r="M45" s="4" t="n"/>
      <c r="N45" s="4" t="n"/>
      <c r="O45" s="4" t="n"/>
      <c r="P45" s="4" t="n"/>
      <c r="Q45" s="4" t="n"/>
      <c r="R45" s="4" t="n"/>
      <c r="S45" s="4" t="n"/>
      <c r="T45" s="6" t="n"/>
      <c r="U45" s="6" t="n"/>
      <c r="V45" s="6" t="n"/>
      <c r="W45" s="6" t="n"/>
      <c r="X45" s="6" t="n"/>
    </row>
    <row r="46" ht="14" customHeight="1" s="250">
      <c r="A46" s="4" t="n"/>
      <c r="B46" s="5" t="n"/>
      <c r="C46" s="4" t="n"/>
      <c r="D46" s="4" t="n"/>
      <c r="E46" s="4" t="n"/>
      <c r="F46" s="4" t="n"/>
      <c r="G46" s="4" t="n"/>
      <c r="H46" s="4" t="n"/>
      <c r="I46" s="4" t="n"/>
      <c r="J46" s="4" t="n"/>
      <c r="K46" s="4" t="n"/>
      <c r="L46" s="4" t="n"/>
      <c r="M46" s="4" t="n"/>
      <c r="N46" s="4" t="n"/>
      <c r="O46" s="4" t="n"/>
      <c r="P46" s="4" t="n"/>
      <c r="Q46" s="4" t="n"/>
      <c r="R46" s="4" t="n"/>
      <c r="S46" s="4" t="n"/>
      <c r="T46" s="6" t="n"/>
      <c r="U46" s="6" t="n"/>
      <c r="V46" s="6" t="n"/>
      <c r="W46" s="6" t="n"/>
      <c r="X46" s="6" t="n"/>
    </row>
    <row r="47" ht="14" customHeight="1" s="250">
      <c r="A47" s="4" t="n"/>
      <c r="B47" s="5" t="n"/>
      <c r="C47" s="4" t="n"/>
      <c r="D47" s="4" t="n"/>
      <c r="E47" s="4" t="n"/>
      <c r="F47" s="4" t="n"/>
      <c r="G47" s="4" t="n"/>
      <c r="H47" s="4" t="n"/>
      <c r="I47" s="4" t="n"/>
      <c r="J47" s="4" t="n"/>
      <c r="K47" s="4" t="n"/>
      <c r="L47" s="4" t="n"/>
      <c r="M47" s="4" t="n"/>
      <c r="N47" s="4" t="n"/>
      <c r="O47" s="4" t="n"/>
      <c r="P47" s="4" t="n"/>
      <c r="Q47" s="4" t="n"/>
      <c r="R47" s="4" t="n"/>
      <c r="S47" s="4" t="n"/>
      <c r="T47" s="6" t="n"/>
      <c r="U47" s="6" t="n"/>
      <c r="V47" s="6" t="n"/>
      <c r="W47" s="6" t="n"/>
      <c r="X47" s="6" t="n"/>
    </row>
    <row r="48" ht="14" customHeight="1" s="250">
      <c r="A48" s="4" t="n"/>
      <c r="B48" s="5" t="n"/>
      <c r="C48" s="4" t="n"/>
      <c r="D48" s="4" t="n"/>
      <c r="E48" s="4" t="n"/>
      <c r="F48" s="4" t="n"/>
      <c r="G48" s="4" t="n"/>
      <c r="H48" s="4" t="n"/>
      <c r="I48" s="4" t="n"/>
      <c r="J48" s="4" t="n"/>
      <c r="K48" s="4" t="n"/>
      <c r="L48" s="4" t="n"/>
      <c r="M48" s="4" t="n"/>
      <c r="N48" s="4" t="n"/>
      <c r="O48" s="4" t="n"/>
      <c r="P48" s="4" t="n"/>
      <c r="Q48" s="4" t="n"/>
      <c r="R48" s="4" t="n"/>
      <c r="S48" s="4" t="n"/>
      <c r="T48" s="6" t="n"/>
      <c r="U48" s="6" t="n"/>
      <c r="V48" s="6" t="n"/>
      <c r="W48" s="6" t="n"/>
      <c r="X48" s="6" t="n"/>
    </row>
    <row r="49" ht="14" customHeight="1" s="250">
      <c r="A49" s="4" t="n"/>
      <c r="B49" s="5" t="n"/>
      <c r="C49" s="4" t="n"/>
      <c r="D49" s="4" t="n"/>
      <c r="E49" s="4" t="n"/>
      <c r="F49" s="4" t="n"/>
      <c r="G49" s="4" t="n"/>
      <c r="H49" s="4" t="n"/>
      <c r="I49" s="4" t="n"/>
      <c r="J49" s="4" t="n"/>
      <c r="K49" s="4" t="n"/>
      <c r="L49" s="4" t="n"/>
      <c r="M49" s="4" t="n"/>
      <c r="N49" s="4" t="n"/>
      <c r="O49" s="4" t="n"/>
      <c r="P49" s="4" t="n"/>
      <c r="Q49" s="4" t="n"/>
      <c r="R49" s="4" t="n"/>
      <c r="S49" s="4" t="n"/>
      <c r="T49" s="6" t="n"/>
      <c r="U49" s="6" t="n"/>
      <c r="V49" s="6" t="n"/>
      <c r="W49" s="6" t="n"/>
      <c r="X49" s="6" t="n"/>
    </row>
    <row r="50" ht="14" customHeight="1" s="250">
      <c r="A50" s="4" t="n"/>
      <c r="B50" s="5" t="n"/>
      <c r="C50" s="4" t="n"/>
      <c r="D50" s="4" t="n"/>
      <c r="E50" s="4" t="n"/>
      <c r="F50" s="4" t="n"/>
      <c r="G50" s="4" t="n"/>
      <c r="H50" s="4" t="n"/>
      <c r="I50" s="4" t="n"/>
      <c r="J50" s="4" t="n"/>
      <c r="K50" s="4" t="n"/>
      <c r="L50" s="4" t="n"/>
      <c r="M50" s="4" t="n"/>
      <c r="N50" s="4" t="n"/>
      <c r="O50" s="4" t="n"/>
      <c r="P50" s="4" t="n"/>
      <c r="Q50" s="4" t="n"/>
      <c r="R50" s="4" t="n"/>
      <c r="S50" s="4" t="n"/>
      <c r="T50" s="6" t="n"/>
      <c r="U50" s="6" t="n"/>
      <c r="V50" s="6" t="n"/>
      <c r="W50" s="6" t="n"/>
      <c r="X50" s="6" t="n"/>
    </row>
    <row r="51" ht="14" customHeight="1" s="250">
      <c r="A51" s="4" t="n"/>
      <c r="B51" s="5" t="n"/>
      <c r="C51" s="4" t="n"/>
      <c r="D51" s="4" t="n"/>
      <c r="E51" s="4" t="n"/>
      <c r="F51" s="4" t="n"/>
      <c r="G51" s="4" t="n"/>
      <c r="H51" s="4" t="n"/>
      <c r="I51" s="4" t="n"/>
      <c r="J51" s="4" t="n"/>
      <c r="K51" s="4" t="n"/>
      <c r="L51" s="4" t="n"/>
      <c r="M51" s="4" t="n"/>
      <c r="N51" s="4" t="n"/>
      <c r="O51" s="4" t="n"/>
      <c r="P51" s="4" t="n"/>
      <c r="Q51" s="4" t="n"/>
      <c r="R51" s="4" t="n"/>
      <c r="S51" s="4" t="n"/>
      <c r="T51" s="6" t="n"/>
      <c r="U51" s="6" t="n"/>
      <c r="V51" s="6" t="n"/>
      <c r="W51" s="6" t="n"/>
      <c r="X51" s="6" t="n"/>
    </row>
    <row r="52" ht="14" customHeight="1" s="250">
      <c r="A52" s="4" t="n"/>
      <c r="B52" s="5" t="n"/>
      <c r="C52" s="4" t="n"/>
      <c r="D52" s="4" t="n"/>
      <c r="E52" s="4" t="n"/>
      <c r="F52" s="4" t="n"/>
      <c r="G52" s="4" t="n"/>
      <c r="H52" s="4" t="n"/>
      <c r="I52" s="4" t="n"/>
      <c r="J52" s="4" t="n"/>
      <c r="K52" s="4" t="n"/>
      <c r="L52" s="4" t="n"/>
      <c r="M52" s="4" t="n"/>
      <c r="N52" s="4" t="n"/>
      <c r="O52" s="4" t="n"/>
      <c r="P52" s="4" t="n"/>
      <c r="Q52" s="4" t="n"/>
      <c r="R52" s="4" t="n"/>
      <c r="S52" s="4" t="n"/>
      <c r="T52" s="6" t="n"/>
      <c r="U52" s="6" t="n"/>
      <c r="V52" s="6" t="n"/>
      <c r="W52" s="6" t="n"/>
      <c r="X52" s="6" t="n"/>
    </row>
    <row r="53" ht="14" customHeight="1" s="250">
      <c r="A53" s="4" t="n"/>
      <c r="B53" s="5" t="n"/>
      <c r="C53" s="4" t="n"/>
      <c r="D53" s="4" t="n"/>
      <c r="E53" s="4" t="n"/>
      <c r="F53" s="4" t="n"/>
      <c r="G53" s="4" t="n"/>
      <c r="H53" s="4" t="n"/>
      <c r="I53" s="4" t="n"/>
      <c r="J53" s="4" t="n"/>
      <c r="K53" s="4" t="n"/>
      <c r="L53" s="4" t="n"/>
      <c r="M53" s="4" t="n"/>
      <c r="N53" s="4" t="n"/>
      <c r="O53" s="4" t="n"/>
      <c r="P53" s="4" t="n"/>
      <c r="Q53" s="4" t="n"/>
      <c r="R53" s="4" t="n"/>
      <c r="S53" s="4" t="n"/>
      <c r="T53" s="6" t="n"/>
      <c r="U53" s="6" t="n"/>
      <c r="V53" s="6" t="n"/>
      <c r="W53" s="6" t="n"/>
      <c r="X53" s="6" t="n"/>
    </row>
    <row r="54" ht="14" customHeight="1" s="250">
      <c r="A54" s="4" t="n"/>
      <c r="B54" s="5" t="n"/>
      <c r="C54" s="4" t="n"/>
      <c r="D54" s="4" t="n"/>
      <c r="E54" s="4" t="n"/>
      <c r="F54" s="4" t="n"/>
      <c r="G54" s="4" t="n"/>
      <c r="H54" s="4" t="n"/>
      <c r="I54" s="4" t="n"/>
      <c r="J54" s="4" t="n"/>
      <c r="K54" s="4" t="n"/>
      <c r="L54" s="4" t="n"/>
      <c r="M54" s="4" t="n"/>
      <c r="N54" s="4" t="n"/>
      <c r="O54" s="4" t="n"/>
      <c r="P54" s="4" t="n"/>
      <c r="Q54" s="4" t="n"/>
      <c r="R54" s="4" t="n"/>
      <c r="S54" s="4" t="n"/>
      <c r="T54" s="6" t="n"/>
      <c r="U54" s="6" t="n"/>
      <c r="V54" s="6" t="n"/>
      <c r="W54" s="6" t="n"/>
      <c r="X54" s="6" t="n"/>
    </row>
    <row r="55" ht="14" customHeight="1" s="250">
      <c r="A55" s="4" t="n"/>
      <c r="B55" s="5" t="n"/>
      <c r="C55" s="4" t="n"/>
      <c r="D55" s="4" t="n"/>
      <c r="E55" s="4" t="n"/>
      <c r="F55" s="4" t="n"/>
      <c r="G55" s="4" t="n"/>
      <c r="H55" s="4" t="n"/>
      <c r="I55" s="4" t="n"/>
      <c r="J55" s="4" t="n"/>
      <c r="K55" s="4" t="n"/>
      <c r="L55" s="4" t="n"/>
      <c r="M55" s="4" t="n"/>
      <c r="N55" s="4" t="n"/>
      <c r="O55" s="4" t="n"/>
      <c r="P55" s="4" t="n"/>
      <c r="Q55" s="4" t="n"/>
      <c r="R55" s="4" t="n"/>
      <c r="S55" s="4" t="n"/>
      <c r="T55" s="6" t="n"/>
      <c r="U55" s="6" t="n"/>
      <c r="V55" s="6" t="n"/>
      <c r="W55" s="6" t="n"/>
      <c r="X55" s="6" t="n"/>
    </row>
    <row r="56" ht="14" customHeight="1" s="250">
      <c r="A56" s="4" t="n"/>
      <c r="B56" s="5" t="n"/>
      <c r="C56" s="4" t="n"/>
      <c r="D56" s="4" t="n"/>
      <c r="E56" s="4" t="n"/>
      <c r="F56" s="4" t="n"/>
      <c r="G56" s="4" t="n"/>
      <c r="H56" s="4" t="n"/>
      <c r="I56" s="4" t="n"/>
      <c r="J56" s="4" t="n"/>
      <c r="K56" s="4" t="n"/>
      <c r="L56" s="4" t="n"/>
      <c r="M56" s="4" t="n"/>
      <c r="N56" s="4" t="n"/>
      <c r="O56" s="4" t="n"/>
      <c r="P56" s="4" t="n"/>
      <c r="Q56" s="4" t="n"/>
      <c r="R56" s="4" t="n"/>
      <c r="S56" s="4" t="n"/>
      <c r="T56" s="6" t="n"/>
      <c r="U56" s="6" t="n"/>
      <c r="V56" s="6" t="n"/>
      <c r="W56" s="6" t="n"/>
      <c r="X56" s="6" t="n"/>
    </row>
    <row r="57" ht="14" customHeight="1" s="250">
      <c r="A57" s="4" t="n"/>
      <c r="B57" s="5" t="n"/>
      <c r="C57" s="4" t="n"/>
      <c r="D57" s="4" t="n"/>
      <c r="E57" s="4" t="n"/>
      <c r="F57" s="4" t="n"/>
      <c r="G57" s="4" t="n"/>
      <c r="H57" s="4" t="n"/>
      <c r="I57" s="4" t="n"/>
      <c r="J57" s="4" t="n"/>
      <c r="K57" s="4" t="n"/>
      <c r="L57" s="4" t="n"/>
      <c r="M57" s="4" t="n"/>
      <c r="N57" s="4" t="n"/>
      <c r="O57" s="4" t="n"/>
      <c r="P57" s="4" t="n"/>
      <c r="Q57" s="4" t="n"/>
      <c r="R57" s="4" t="n"/>
      <c r="S57" s="4" t="n"/>
      <c r="T57" s="6" t="n"/>
      <c r="U57" s="6" t="n"/>
      <c r="V57" s="6" t="n"/>
      <c r="W57" s="6" t="n"/>
      <c r="X57" s="6" t="n"/>
    </row>
    <row r="58" ht="14" customHeight="1" s="250">
      <c r="A58" s="4" t="n"/>
      <c r="B58" s="5" t="n"/>
      <c r="C58" s="4" t="n"/>
      <c r="D58" s="4" t="n"/>
      <c r="E58" s="4" t="n"/>
      <c r="F58" s="4" t="n"/>
      <c r="G58" s="4" t="n"/>
      <c r="H58" s="4" t="n"/>
      <c r="I58" s="4" t="n"/>
      <c r="J58" s="4" t="n"/>
      <c r="K58" s="4" t="n"/>
      <c r="L58" s="4" t="n"/>
      <c r="M58" s="4" t="n"/>
      <c r="N58" s="4" t="n"/>
      <c r="O58" s="4" t="n"/>
      <c r="P58" s="4" t="n"/>
      <c r="Q58" s="4" t="n"/>
      <c r="R58" s="4" t="n"/>
      <c r="S58" s="4" t="n"/>
      <c r="T58" s="6" t="n"/>
      <c r="U58" s="6" t="n"/>
      <c r="V58" s="6" t="n"/>
      <c r="W58" s="6" t="n"/>
      <c r="X58" s="6" t="n"/>
    </row>
    <row r="59" ht="14" customHeight="1" s="250">
      <c r="A59" s="4" t="n"/>
      <c r="B59" s="5" t="n"/>
      <c r="C59" s="4" t="n"/>
      <c r="D59" s="4" t="n"/>
      <c r="E59" s="4" t="n"/>
      <c r="F59" s="4" t="n"/>
      <c r="G59" s="4" t="n"/>
      <c r="H59" s="4" t="n"/>
      <c r="I59" s="4" t="n"/>
      <c r="J59" s="4" t="n"/>
      <c r="K59" s="4" t="n"/>
      <c r="L59" s="4" t="n"/>
      <c r="M59" s="4" t="n"/>
      <c r="N59" s="4" t="n"/>
      <c r="O59" s="4" t="n"/>
      <c r="P59" s="4" t="n"/>
      <c r="Q59" s="4" t="n"/>
      <c r="R59" s="4" t="n"/>
      <c r="S59" s="4" t="n"/>
      <c r="T59" s="6" t="n"/>
      <c r="U59" s="6" t="n"/>
      <c r="V59" s="6" t="n"/>
      <c r="W59" s="6" t="n"/>
      <c r="X59" s="6" t="n"/>
    </row>
    <row r="60" ht="14" customHeight="1" s="250">
      <c r="A60" s="4" t="n"/>
      <c r="B60" s="5" t="n"/>
      <c r="C60" s="4" t="n"/>
      <c r="D60" s="4" t="n"/>
      <c r="E60" s="4" t="n"/>
      <c r="F60" s="4" t="n"/>
      <c r="G60" s="4" t="n"/>
      <c r="H60" s="4" t="n"/>
      <c r="I60" s="4" t="n"/>
      <c r="J60" s="4" t="n"/>
      <c r="K60" s="4" t="n"/>
      <c r="L60" s="4" t="n"/>
      <c r="M60" s="4" t="n"/>
      <c r="N60" s="4" t="n"/>
      <c r="O60" s="4" t="n"/>
      <c r="P60" s="4" t="n"/>
      <c r="Q60" s="4" t="n"/>
      <c r="R60" s="4" t="n"/>
      <c r="S60" s="4" t="n"/>
      <c r="T60" s="6" t="n"/>
      <c r="U60" s="6" t="n"/>
      <c r="V60" s="6" t="n"/>
      <c r="W60" s="6" t="n"/>
      <c r="X60" s="6" t="n"/>
    </row>
    <row r="61" ht="14" customHeight="1" s="250">
      <c r="A61" s="4" t="n"/>
      <c r="B61" s="5" t="n"/>
      <c r="C61" s="4" t="n"/>
      <c r="D61" s="4" t="n"/>
      <c r="E61" s="4" t="n"/>
      <c r="F61" s="4" t="n"/>
      <c r="G61" s="4" t="n"/>
      <c r="H61" s="4" t="n"/>
      <c r="I61" s="4" t="n"/>
      <c r="J61" s="4" t="n"/>
      <c r="K61" s="4" t="n"/>
      <c r="L61" s="4" t="n"/>
      <c r="M61" s="4" t="n"/>
      <c r="N61" s="4" t="n"/>
      <c r="O61" s="4" t="n"/>
      <c r="P61" s="4" t="n"/>
      <c r="Q61" s="4" t="n"/>
      <c r="R61" s="4" t="n"/>
      <c r="S61" s="4" t="n"/>
      <c r="T61" s="6" t="n"/>
      <c r="U61" s="6" t="n"/>
      <c r="V61" s="6" t="n"/>
      <c r="W61" s="6" t="n"/>
      <c r="X61" s="6" t="n"/>
    </row>
    <row r="62" ht="14" customHeight="1" s="250">
      <c r="A62" s="4" t="n"/>
      <c r="B62" s="5" t="n"/>
      <c r="C62" s="4" t="n"/>
      <c r="D62" s="4" t="n"/>
      <c r="E62" s="4" t="n"/>
      <c r="F62" s="4" t="n"/>
      <c r="G62" s="4" t="n"/>
      <c r="H62" s="4" t="n"/>
      <c r="I62" s="4" t="n"/>
      <c r="J62" s="4" t="n"/>
      <c r="K62" s="4" t="n"/>
      <c r="L62" s="4" t="n"/>
      <c r="M62" s="4" t="n"/>
      <c r="N62" s="4" t="n"/>
      <c r="O62" s="4" t="n"/>
      <c r="P62" s="4" t="n"/>
      <c r="Q62" s="4" t="n"/>
      <c r="R62" s="4" t="n"/>
      <c r="S62" s="4" t="n"/>
      <c r="T62" s="6" t="n"/>
      <c r="U62" s="6" t="n"/>
      <c r="V62" s="6" t="n"/>
      <c r="W62" s="6" t="n"/>
      <c r="X62" s="6" t="n"/>
    </row>
    <row r="63" ht="14" customHeight="1" s="250">
      <c r="A63" s="4" t="n"/>
      <c r="B63" s="5" t="n"/>
      <c r="C63" s="4" t="n"/>
      <c r="D63" s="4" t="n"/>
      <c r="E63" s="4" t="n"/>
      <c r="F63" s="4" t="n"/>
      <c r="G63" s="4" t="n"/>
      <c r="H63" s="4" t="n"/>
      <c r="I63" s="4" t="n"/>
      <c r="J63" s="4" t="n"/>
      <c r="K63" s="4" t="n"/>
      <c r="L63" s="4" t="n"/>
      <c r="M63" s="4" t="n"/>
      <c r="N63" s="4" t="n"/>
      <c r="O63" s="4" t="n"/>
      <c r="P63" s="4" t="n"/>
      <c r="Q63" s="4" t="n"/>
      <c r="R63" s="4" t="n"/>
      <c r="S63" s="4" t="n"/>
      <c r="T63" s="6" t="n"/>
      <c r="U63" s="6" t="n"/>
      <c r="V63" s="6" t="n"/>
      <c r="W63" s="6" t="n"/>
      <c r="X63" s="6" t="n"/>
    </row>
    <row r="64" ht="14" customHeight="1" s="250">
      <c r="A64" s="4" t="n"/>
      <c r="B64" s="5" t="n"/>
      <c r="C64" s="4" t="n"/>
      <c r="D64" s="4" t="n"/>
      <c r="E64" s="4" t="n"/>
      <c r="F64" s="4" t="n"/>
      <c r="G64" s="4" t="n"/>
      <c r="H64" s="4" t="n"/>
      <c r="I64" s="4" t="n"/>
      <c r="J64" s="4" t="n"/>
      <c r="K64" s="4" t="n"/>
      <c r="L64" s="4" t="n"/>
      <c r="M64" s="4" t="n"/>
      <c r="N64" s="4" t="n"/>
      <c r="O64" s="4" t="n"/>
      <c r="P64" s="4" t="n"/>
      <c r="Q64" s="4" t="n"/>
      <c r="R64" s="4" t="n"/>
      <c r="S64" s="4" t="n"/>
      <c r="T64" s="6" t="n"/>
      <c r="U64" s="6" t="n"/>
      <c r="V64" s="6" t="n"/>
      <c r="W64" s="6" t="n"/>
      <c r="X64" s="6" t="n"/>
    </row>
    <row r="65" ht="14" customHeight="1" s="250">
      <c r="A65" s="4" t="n"/>
      <c r="B65" s="5" t="n"/>
      <c r="C65" s="4" t="n"/>
      <c r="D65" s="4" t="n"/>
      <c r="E65" s="4" t="n"/>
      <c r="F65" s="4" t="n"/>
      <c r="G65" s="4" t="n"/>
      <c r="H65" s="4" t="n"/>
      <c r="I65" s="4" t="n"/>
      <c r="J65" s="4" t="n"/>
      <c r="K65" s="4" t="n"/>
      <c r="L65" s="4" t="n"/>
      <c r="M65" s="4" t="n"/>
      <c r="N65" s="4" t="n"/>
      <c r="O65" s="4" t="n"/>
      <c r="P65" s="4" t="n"/>
      <c r="Q65" s="4" t="n"/>
      <c r="R65" s="4" t="n"/>
      <c r="S65" s="4" t="n"/>
      <c r="T65" s="6" t="n"/>
      <c r="U65" s="6" t="n"/>
      <c r="V65" s="6" t="n"/>
      <c r="W65" s="6" t="n"/>
      <c r="X65" s="6" t="n"/>
    </row>
    <row r="66" ht="14" customHeight="1" s="250">
      <c r="A66" s="4" t="n"/>
      <c r="B66" s="5" t="n"/>
      <c r="C66" s="4" t="n"/>
      <c r="D66" s="4" t="n"/>
      <c r="E66" s="4" t="n"/>
      <c r="F66" s="4" t="n"/>
      <c r="G66" s="4" t="n"/>
      <c r="H66" s="4" t="n"/>
      <c r="I66" s="4" t="n"/>
      <c r="J66" s="4" t="n"/>
      <c r="K66" s="4" t="n"/>
      <c r="L66" s="4" t="n"/>
      <c r="M66" s="4" t="n"/>
      <c r="N66" s="4" t="n"/>
      <c r="O66" s="4" t="n"/>
      <c r="P66" s="4" t="n"/>
      <c r="Q66" s="4" t="n"/>
      <c r="R66" s="4" t="n"/>
      <c r="S66" s="4" t="n"/>
      <c r="T66" s="6" t="n"/>
      <c r="U66" s="6" t="n"/>
      <c r="V66" s="6" t="n"/>
      <c r="W66" s="6" t="n"/>
      <c r="X66" s="6" t="n"/>
    </row>
    <row r="67" ht="14" customHeight="1" s="250">
      <c r="A67" s="4" t="n"/>
      <c r="B67" s="5" t="n"/>
      <c r="C67" s="4" t="n"/>
      <c r="D67" s="4" t="n"/>
      <c r="E67" s="4" t="n"/>
      <c r="F67" s="4" t="n"/>
      <c r="G67" s="4" t="n"/>
      <c r="H67" s="4" t="n"/>
      <c r="I67" s="4" t="n"/>
      <c r="J67" s="4" t="n"/>
      <c r="K67" s="4" t="n"/>
      <c r="L67" s="4" t="n"/>
      <c r="M67" s="4" t="n"/>
      <c r="N67" s="4" t="n"/>
      <c r="O67" s="4" t="n"/>
      <c r="P67" s="4" t="n"/>
      <c r="Q67" s="4" t="n"/>
      <c r="R67" s="4" t="n"/>
      <c r="S67" s="4" t="n"/>
      <c r="T67" s="6" t="n"/>
      <c r="U67" s="6" t="n"/>
      <c r="V67" s="6" t="n"/>
      <c r="W67" s="6" t="n"/>
      <c r="X67" s="6" t="n"/>
    </row>
    <row r="68" ht="14" customHeight="1" s="250">
      <c r="A68" s="4" t="n"/>
      <c r="B68" s="5" t="n"/>
      <c r="C68" s="4" t="n"/>
      <c r="D68" s="4" t="n"/>
      <c r="E68" s="4" t="n"/>
      <c r="F68" s="4" t="n"/>
      <c r="G68" s="4" t="n"/>
      <c r="H68" s="4" t="n"/>
      <c r="I68" s="4" t="n"/>
      <c r="J68" s="4" t="n"/>
      <c r="K68" s="4" t="n"/>
      <c r="L68" s="4" t="n"/>
      <c r="M68" s="4" t="n"/>
      <c r="N68" s="4" t="n"/>
      <c r="O68" s="4" t="n"/>
      <c r="P68" s="4" t="n"/>
      <c r="Q68" s="4" t="n"/>
      <c r="R68" s="4" t="n"/>
      <c r="S68" s="4" t="n"/>
      <c r="T68" s="6" t="n"/>
      <c r="U68" s="6" t="n"/>
      <c r="V68" s="6" t="n"/>
      <c r="W68" s="6" t="n"/>
      <c r="X68" s="6" t="n"/>
    </row>
    <row r="69" ht="14" customHeight="1" s="250">
      <c r="A69" s="4" t="n"/>
      <c r="B69" s="5" t="n"/>
      <c r="C69" s="4" t="n"/>
      <c r="D69" s="4" t="n"/>
      <c r="E69" s="4" t="n"/>
      <c r="F69" s="4" t="n"/>
      <c r="G69" s="4" t="n"/>
      <c r="H69" s="4" t="n"/>
      <c r="I69" s="4" t="n"/>
      <c r="J69" s="4" t="n"/>
      <c r="K69" s="4" t="n"/>
      <c r="L69" s="4" t="n"/>
      <c r="M69" s="4" t="n"/>
      <c r="N69" s="4" t="n"/>
      <c r="O69" s="4" t="n"/>
      <c r="P69" s="4" t="n"/>
      <c r="Q69" s="4" t="n"/>
      <c r="R69" s="4" t="n"/>
      <c r="S69" s="4" t="n"/>
      <c r="T69" s="6" t="n"/>
      <c r="U69" s="6" t="n"/>
      <c r="V69" s="6" t="n"/>
      <c r="W69" s="6" t="n"/>
      <c r="X69" s="6" t="n"/>
    </row>
    <row r="70" ht="14" customHeight="1" s="250">
      <c r="A70" s="4" t="n"/>
      <c r="B70" s="5" t="n"/>
      <c r="C70" s="4" t="n"/>
      <c r="D70" s="4" t="n"/>
      <c r="E70" s="4" t="n"/>
      <c r="F70" s="4" t="n"/>
      <c r="G70" s="4" t="n"/>
      <c r="H70" s="4" t="n"/>
      <c r="I70" s="4" t="n"/>
      <c r="J70" s="4" t="n"/>
      <c r="K70" s="4" t="n"/>
      <c r="L70" s="4" t="n"/>
      <c r="M70" s="4" t="n"/>
      <c r="N70" s="4" t="n"/>
      <c r="O70" s="4" t="n"/>
      <c r="P70" s="4" t="n"/>
      <c r="Q70" s="4" t="n"/>
      <c r="R70" s="4" t="n"/>
      <c r="S70" s="4" t="n"/>
      <c r="T70" s="6" t="n"/>
      <c r="U70" s="6" t="n"/>
      <c r="V70" s="6" t="n"/>
      <c r="W70" s="6" t="n"/>
      <c r="X70" s="6" t="n"/>
    </row>
    <row r="71" ht="14" customHeight="1" s="250">
      <c r="A71" s="4" t="n"/>
      <c r="B71" s="5" t="n"/>
      <c r="C71" s="4" t="n"/>
      <c r="D71" s="4" t="n"/>
      <c r="E71" s="4" t="n"/>
      <c r="F71" s="4" t="n"/>
      <c r="G71" s="4" t="n"/>
      <c r="H71" s="4" t="n"/>
      <c r="I71" s="4" t="n"/>
      <c r="J71" s="4" t="n"/>
      <c r="K71" s="4" t="n"/>
      <c r="L71" s="4" t="n"/>
      <c r="M71" s="4" t="n"/>
      <c r="N71" s="4" t="n"/>
      <c r="O71" s="4" t="n"/>
      <c r="P71" s="4" t="n"/>
      <c r="Q71" s="4" t="n"/>
      <c r="R71" s="4" t="n"/>
      <c r="S71" s="4" t="n"/>
      <c r="T71" s="6" t="n"/>
      <c r="U71" s="6" t="n"/>
      <c r="V71" s="6" t="n"/>
      <c r="W71" s="6" t="n"/>
      <c r="X71" s="6" t="n"/>
    </row>
    <row r="72" ht="14" customHeight="1" s="250">
      <c r="A72" s="4" t="n"/>
      <c r="B72" s="5" t="n"/>
      <c r="C72" s="4" t="n"/>
      <c r="D72" s="4" t="n"/>
      <c r="E72" s="4" t="n"/>
      <c r="F72" s="4" t="n"/>
      <c r="G72" s="4" t="n"/>
      <c r="H72" s="4" t="n"/>
      <c r="I72" s="4" t="n"/>
      <c r="J72" s="4" t="n"/>
      <c r="K72" s="4" t="n"/>
      <c r="L72" s="4" t="n"/>
      <c r="M72" s="4" t="n"/>
      <c r="N72" s="4" t="n"/>
      <c r="O72" s="4" t="n"/>
      <c r="P72" s="4" t="n"/>
      <c r="Q72" s="4" t="n"/>
      <c r="R72" s="4" t="n"/>
      <c r="S72" s="4" t="n"/>
      <c r="T72" s="6" t="n"/>
      <c r="U72" s="6" t="n"/>
      <c r="V72" s="6" t="n"/>
      <c r="W72" s="6" t="n"/>
      <c r="X72" s="6" t="n"/>
    </row>
    <row r="73" ht="14" customHeight="1" s="250">
      <c r="A73" s="4" t="n"/>
      <c r="B73" s="5" t="n"/>
      <c r="C73" s="4" t="n"/>
      <c r="D73" s="4" t="n"/>
      <c r="E73" s="4" t="n"/>
      <c r="F73" s="4" t="n"/>
      <c r="G73" s="4" t="n"/>
      <c r="H73" s="4" t="n"/>
      <c r="I73" s="4" t="n"/>
      <c r="J73" s="4" t="n"/>
      <c r="K73" s="4" t="n"/>
      <c r="L73" s="4" t="n"/>
      <c r="M73" s="4" t="n"/>
      <c r="N73" s="4" t="n"/>
      <c r="O73" s="4" t="n"/>
      <c r="P73" s="4" t="n"/>
      <c r="Q73" s="4" t="n"/>
      <c r="R73" s="4" t="n"/>
      <c r="S73" s="4" t="n"/>
      <c r="T73" s="6" t="n"/>
      <c r="U73" s="6" t="n"/>
      <c r="V73" s="6" t="n"/>
      <c r="W73" s="6" t="n"/>
      <c r="X73" s="6" t="n"/>
    </row>
    <row r="74" ht="14" customHeight="1" s="250">
      <c r="A74" s="4" t="n"/>
      <c r="B74" s="5" t="n"/>
      <c r="C74" s="4" t="n"/>
      <c r="D74" s="4" t="n"/>
      <c r="E74" s="4" t="n"/>
      <c r="F74" s="4" t="n"/>
      <c r="G74" s="4" t="n"/>
      <c r="H74" s="4" t="n"/>
      <c r="I74" s="4" t="n"/>
      <c r="J74" s="4" t="n"/>
      <c r="K74" s="4" t="n"/>
      <c r="L74" s="4" t="n"/>
      <c r="M74" s="4" t="n"/>
      <c r="N74" s="4" t="n"/>
      <c r="O74" s="4" t="n"/>
      <c r="P74" s="4" t="n"/>
      <c r="Q74" s="4" t="n"/>
      <c r="R74" s="4" t="n"/>
      <c r="S74" s="4" t="n"/>
      <c r="T74" s="6" t="n"/>
      <c r="U74" s="6" t="n"/>
      <c r="V74" s="6" t="n"/>
      <c r="W74" s="6" t="n"/>
      <c r="X74" s="6" t="n"/>
    </row>
    <row r="75" ht="14" customHeight="1" s="250">
      <c r="A75" s="4" t="n"/>
      <c r="B75" s="5" t="n"/>
      <c r="C75" s="4" t="n"/>
      <c r="D75" s="4" t="n"/>
      <c r="E75" s="4" t="n"/>
      <c r="F75" s="4" t="n"/>
      <c r="G75" s="4" t="n"/>
      <c r="H75" s="4" t="n"/>
      <c r="I75" s="4" t="n"/>
      <c r="J75" s="4" t="n"/>
      <c r="K75" s="4" t="n"/>
      <c r="L75" s="4" t="n"/>
      <c r="M75" s="4" t="n"/>
      <c r="N75" s="4" t="n"/>
      <c r="O75" s="4" t="n"/>
      <c r="P75" s="4" t="n"/>
      <c r="Q75" s="4" t="n"/>
      <c r="R75" s="4" t="n"/>
      <c r="S75" s="4" t="n"/>
      <c r="T75" s="6" t="n"/>
      <c r="U75" s="6" t="n"/>
      <c r="V75" s="6" t="n"/>
      <c r="W75" s="6" t="n"/>
      <c r="X75" s="6" t="n"/>
    </row>
    <row r="76" ht="14" customHeight="1" s="250">
      <c r="A76" s="4" t="n"/>
      <c r="B76" s="5" t="n"/>
      <c r="C76" s="4" t="n"/>
      <c r="D76" s="4" t="n"/>
      <c r="E76" s="4" t="n"/>
      <c r="F76" s="4" t="n"/>
      <c r="G76" s="4" t="n"/>
      <c r="H76" s="4" t="n"/>
      <c r="I76" s="4" t="n"/>
      <c r="J76" s="4" t="n"/>
      <c r="K76" s="4" t="n"/>
      <c r="L76" s="4" t="n"/>
      <c r="M76" s="4" t="n"/>
      <c r="N76" s="4" t="n"/>
      <c r="O76" s="4" t="n"/>
      <c r="P76" s="4" t="n"/>
      <c r="Q76" s="4" t="n"/>
      <c r="R76" s="4" t="n"/>
      <c r="S76" s="4" t="n"/>
      <c r="T76" s="6" t="n"/>
      <c r="U76" s="6" t="n"/>
      <c r="V76" s="6" t="n"/>
      <c r="W76" s="6" t="n"/>
      <c r="X76" s="6" t="n"/>
    </row>
    <row r="77" ht="14" customHeight="1" s="250">
      <c r="A77" s="4" t="n"/>
      <c r="B77" s="5" t="n"/>
      <c r="C77" s="4" t="n"/>
      <c r="D77" s="4" t="n"/>
      <c r="E77" s="4" t="n"/>
      <c r="F77" s="4" t="n"/>
      <c r="G77" s="4" t="n"/>
      <c r="H77" s="4" t="n"/>
      <c r="I77" s="4" t="n"/>
      <c r="J77" s="4" t="n"/>
      <c r="K77" s="4" t="n"/>
      <c r="L77" s="4" t="n"/>
      <c r="M77" s="4" t="n"/>
      <c r="N77" s="4" t="n"/>
      <c r="O77" s="4" t="n"/>
      <c r="P77" s="4" t="n"/>
      <c r="Q77" s="4" t="n"/>
      <c r="R77" s="4" t="n"/>
      <c r="S77" s="4" t="n"/>
      <c r="T77" s="6" t="n"/>
      <c r="U77" s="6" t="n"/>
      <c r="V77" s="6" t="n"/>
      <c r="W77" s="6" t="n"/>
      <c r="X77" s="6" t="n"/>
    </row>
    <row r="78" ht="14" customHeight="1" s="250">
      <c r="A78" s="4" t="n"/>
      <c r="B78" s="5" t="n"/>
      <c r="C78" s="4" t="n"/>
      <c r="D78" s="4" t="n"/>
      <c r="E78" s="4" t="n"/>
      <c r="F78" s="4" t="n"/>
      <c r="G78" s="4" t="n"/>
      <c r="H78" s="4" t="n"/>
      <c r="I78" s="4" t="n"/>
      <c r="J78" s="4" t="n"/>
      <c r="K78" s="4" t="n"/>
      <c r="L78" s="4" t="n"/>
      <c r="M78" s="4" t="n"/>
      <c r="N78" s="4" t="n"/>
      <c r="O78" s="4" t="n"/>
      <c r="P78" s="4" t="n"/>
      <c r="Q78" s="4" t="n"/>
      <c r="R78" s="4" t="n"/>
      <c r="S78" s="4" t="n"/>
      <c r="T78" s="6" t="n"/>
      <c r="U78" s="6" t="n"/>
      <c r="V78" s="6" t="n"/>
      <c r="W78" s="6" t="n"/>
      <c r="X78" s="6" t="n"/>
    </row>
    <row r="79" ht="14" customHeight="1" s="250">
      <c r="A79" s="4" t="n"/>
      <c r="B79" s="5" t="n"/>
      <c r="C79" s="4" t="n"/>
      <c r="D79" s="4" t="n"/>
      <c r="E79" s="4" t="n"/>
      <c r="F79" s="4" t="n"/>
      <c r="G79" s="4" t="n"/>
      <c r="H79" s="4" t="n"/>
      <c r="I79" s="4" t="n"/>
      <c r="J79" s="4" t="n"/>
      <c r="K79" s="4" t="n"/>
      <c r="L79" s="4" t="n"/>
      <c r="M79" s="4" t="n"/>
      <c r="N79" s="4" t="n"/>
      <c r="O79" s="4" t="n"/>
      <c r="P79" s="4" t="n"/>
      <c r="Q79" s="4" t="n"/>
      <c r="R79" s="4" t="n"/>
      <c r="S79" s="4" t="n"/>
      <c r="T79" s="6" t="n"/>
      <c r="U79" s="6" t="n"/>
      <c r="V79" s="6" t="n"/>
      <c r="W79" s="6" t="n"/>
      <c r="X79" s="6" t="n"/>
    </row>
    <row r="80" ht="14" customHeight="1" s="250">
      <c r="A80" s="4" t="n"/>
      <c r="B80" s="5" t="n"/>
      <c r="C80" s="4" t="n"/>
      <c r="D80" s="4" t="n"/>
      <c r="E80" s="4" t="n"/>
      <c r="F80" s="4" t="n"/>
      <c r="G80" s="4" t="n"/>
      <c r="H80" s="4" t="n"/>
      <c r="I80" s="4" t="n"/>
      <c r="J80" s="4" t="n"/>
      <c r="K80" s="4" t="n"/>
      <c r="L80" s="4" t="n"/>
      <c r="M80" s="4" t="n"/>
      <c r="N80" s="4" t="n"/>
      <c r="O80" s="4" t="n"/>
      <c r="P80" s="4" t="n"/>
      <c r="Q80" s="4" t="n"/>
      <c r="R80" s="4" t="n"/>
      <c r="S80" s="4" t="n"/>
      <c r="T80" s="6" t="n"/>
      <c r="U80" s="6" t="n"/>
      <c r="V80" s="6" t="n"/>
      <c r="W80" s="6" t="n"/>
      <c r="X80" s="6" t="n"/>
    </row>
    <row r="81" ht="14" customHeight="1" s="250">
      <c r="A81" s="4" t="n"/>
      <c r="B81" s="5" t="n"/>
      <c r="C81" s="4" t="n"/>
      <c r="D81" s="4" t="n"/>
      <c r="E81" s="4" t="n"/>
      <c r="F81" s="4" t="n"/>
      <c r="G81" s="4" t="n"/>
      <c r="H81" s="4" t="n"/>
      <c r="I81" s="4" t="n"/>
      <c r="J81" s="4" t="n"/>
      <c r="K81" s="4" t="n"/>
      <c r="L81" s="4" t="n"/>
      <c r="M81" s="4" t="n"/>
      <c r="N81" s="4" t="n"/>
      <c r="O81" s="4" t="n"/>
      <c r="P81" s="4" t="n"/>
      <c r="Q81" s="4" t="n"/>
      <c r="R81" s="4" t="n"/>
      <c r="S81" s="4" t="n"/>
      <c r="T81" s="6" t="n"/>
      <c r="U81" s="6" t="n"/>
      <c r="V81" s="6" t="n"/>
      <c r="W81" s="6" t="n"/>
      <c r="X81" s="6" t="n"/>
    </row>
    <row r="82" ht="14" customHeight="1" s="250">
      <c r="A82" s="4" t="n"/>
      <c r="B82" s="5" t="n"/>
      <c r="C82" s="4" t="n"/>
      <c r="D82" s="4" t="n"/>
      <c r="E82" s="4" t="n"/>
      <c r="F82" s="4" t="n"/>
      <c r="G82" s="4" t="n"/>
      <c r="H82" s="4" t="n"/>
      <c r="I82" s="4" t="n"/>
      <c r="J82" s="4" t="n"/>
      <c r="K82" s="4" t="n"/>
      <c r="L82" s="4" t="n"/>
      <c r="M82" s="4" t="n"/>
      <c r="N82" s="4" t="n"/>
      <c r="O82" s="4" t="n"/>
      <c r="P82" s="4" t="n"/>
      <c r="Q82" s="4" t="n"/>
      <c r="R82" s="4" t="n"/>
      <c r="S82" s="4" t="n"/>
      <c r="T82" s="6" t="n"/>
      <c r="U82" s="6" t="n"/>
      <c r="V82" s="6" t="n"/>
      <c r="W82" s="6" t="n"/>
      <c r="X82" s="6" t="n"/>
    </row>
    <row r="83" ht="14" customHeight="1" s="250">
      <c r="A83" s="4" t="n"/>
      <c r="B83" s="5" t="n"/>
      <c r="C83" s="4" t="n"/>
      <c r="D83" s="4" t="n"/>
      <c r="E83" s="4" t="n"/>
      <c r="F83" s="4" t="n"/>
      <c r="G83" s="4" t="n"/>
      <c r="H83" s="4" t="n"/>
      <c r="I83" s="4" t="n"/>
      <c r="J83" s="4" t="n"/>
      <c r="K83" s="4" t="n"/>
      <c r="L83" s="4" t="n"/>
      <c r="M83" s="4" t="n"/>
      <c r="N83" s="4" t="n"/>
      <c r="O83" s="4" t="n"/>
      <c r="P83" s="4" t="n"/>
      <c r="Q83" s="4" t="n"/>
      <c r="R83" s="4" t="n"/>
      <c r="S83" s="4" t="n"/>
      <c r="T83" s="6" t="n"/>
      <c r="U83" s="6" t="n"/>
      <c r="V83" s="6" t="n"/>
      <c r="W83" s="6" t="n"/>
      <c r="X83" s="6" t="n"/>
    </row>
    <row r="84" ht="14" customHeight="1" s="250">
      <c r="A84" s="4" t="n"/>
      <c r="B84" s="5" t="n"/>
      <c r="C84" s="4" t="n"/>
      <c r="D84" s="4" t="n"/>
      <c r="E84" s="4" t="n"/>
      <c r="F84" s="4" t="n"/>
      <c r="G84" s="4" t="n"/>
      <c r="H84" s="4" t="n"/>
      <c r="I84" s="4" t="n"/>
      <c r="J84" s="4" t="n"/>
      <c r="K84" s="4" t="n"/>
      <c r="L84" s="4" t="n"/>
      <c r="M84" s="4" t="n"/>
      <c r="N84" s="4" t="n"/>
      <c r="O84" s="4" t="n"/>
      <c r="P84" s="4" t="n"/>
      <c r="Q84" s="4" t="n"/>
      <c r="R84" s="4" t="n"/>
      <c r="S84" s="4" t="n"/>
      <c r="T84" s="6" t="n"/>
      <c r="U84" s="6" t="n"/>
      <c r="V84" s="6" t="n"/>
      <c r="W84" s="6" t="n"/>
      <c r="X84" s="6" t="n"/>
    </row>
    <row r="85" ht="14" customHeight="1" s="250">
      <c r="A85" s="4" t="n"/>
      <c r="B85" s="5" t="n"/>
      <c r="C85" s="4" t="n"/>
      <c r="D85" s="4" t="n"/>
      <c r="E85" s="4" t="n"/>
      <c r="F85" s="4" t="n"/>
      <c r="G85" s="4" t="n"/>
      <c r="H85" s="4" t="n"/>
      <c r="I85" s="4" t="n"/>
      <c r="J85" s="4" t="n"/>
      <c r="K85" s="4" t="n"/>
      <c r="L85" s="4" t="n"/>
      <c r="M85" s="4" t="n"/>
      <c r="N85" s="4" t="n"/>
      <c r="O85" s="4" t="n"/>
      <c r="P85" s="4" t="n"/>
      <c r="Q85" s="4" t="n"/>
      <c r="R85" s="4" t="n"/>
      <c r="S85" s="4" t="n"/>
      <c r="T85" s="6" t="n"/>
      <c r="U85" s="6" t="n"/>
      <c r="V85" s="6" t="n"/>
      <c r="W85" s="6" t="n"/>
      <c r="X85" s="6" t="n"/>
    </row>
    <row r="86" ht="14" customHeight="1" s="250">
      <c r="A86" s="4" t="n"/>
      <c r="B86" s="5" t="n"/>
      <c r="C86" s="4" t="n"/>
      <c r="D86" s="4" t="n"/>
      <c r="E86" s="4" t="n"/>
      <c r="F86" s="4" t="n"/>
      <c r="G86" s="4" t="n"/>
      <c r="H86" s="4" t="n"/>
      <c r="I86" s="4" t="n"/>
      <c r="J86" s="4" t="n"/>
      <c r="K86" s="4" t="n"/>
      <c r="L86" s="4" t="n"/>
      <c r="M86" s="4" t="n"/>
      <c r="N86" s="4" t="n"/>
      <c r="O86" s="4" t="n"/>
      <c r="P86" s="4" t="n"/>
      <c r="Q86" s="4" t="n"/>
      <c r="R86" s="4" t="n"/>
      <c r="S86" s="4" t="n"/>
      <c r="T86" s="6" t="n"/>
      <c r="U86" s="6" t="n"/>
      <c r="V86" s="6" t="n"/>
      <c r="W86" s="6" t="n"/>
      <c r="X86" s="6" t="n"/>
    </row>
    <row r="87" ht="14" customHeight="1" s="250">
      <c r="A87" s="4" t="n"/>
      <c r="B87" s="5" t="n"/>
      <c r="C87" s="4" t="n"/>
      <c r="D87" s="4" t="n"/>
      <c r="E87" s="4" t="n"/>
      <c r="F87" s="4" t="n"/>
      <c r="G87" s="4" t="n"/>
      <c r="H87" s="4" t="n"/>
      <c r="I87" s="4" t="n"/>
      <c r="J87" s="4" t="n"/>
      <c r="K87" s="4" t="n"/>
      <c r="L87" s="4" t="n"/>
      <c r="M87" s="4" t="n"/>
      <c r="N87" s="4" t="n"/>
      <c r="O87" s="4" t="n"/>
      <c r="P87" s="4" t="n"/>
      <c r="Q87" s="4" t="n"/>
      <c r="R87" s="4" t="n"/>
      <c r="S87" s="4" t="n"/>
      <c r="T87" s="6" t="n"/>
      <c r="U87" s="6" t="n"/>
      <c r="V87" s="6" t="n"/>
      <c r="W87" s="6" t="n"/>
      <c r="X87" s="6" t="n"/>
    </row>
    <row r="88" ht="14" customHeight="1" s="250">
      <c r="A88" s="4" t="n"/>
      <c r="B88" s="5" t="n"/>
      <c r="C88" s="4" t="n"/>
      <c r="D88" s="4" t="n"/>
      <c r="E88" s="4" t="n"/>
      <c r="F88" s="4" t="n"/>
      <c r="G88" s="4" t="n"/>
      <c r="H88" s="4" t="n"/>
      <c r="I88" s="4" t="n"/>
      <c r="J88" s="4" t="n"/>
      <c r="K88" s="4" t="n"/>
      <c r="L88" s="4" t="n"/>
      <c r="M88" s="4" t="n"/>
      <c r="N88" s="4" t="n"/>
      <c r="O88" s="4" t="n"/>
      <c r="P88" s="4" t="n"/>
      <c r="Q88" s="4" t="n"/>
      <c r="R88" s="4" t="n"/>
      <c r="S88" s="4" t="n"/>
      <c r="T88" s="6" t="n"/>
      <c r="U88" s="6" t="n"/>
      <c r="V88" s="6" t="n"/>
      <c r="W88" s="6" t="n"/>
      <c r="X88" s="6" t="n"/>
    </row>
    <row r="89" ht="14" customHeight="1" s="250">
      <c r="A89" s="4" t="n"/>
      <c r="B89" s="5" t="n"/>
      <c r="C89" s="4" t="n"/>
      <c r="D89" s="4" t="n"/>
      <c r="E89" s="4" t="n"/>
      <c r="F89" s="4" t="n"/>
      <c r="G89" s="4" t="n"/>
      <c r="H89" s="4" t="n"/>
      <c r="I89" s="4" t="n"/>
      <c r="J89" s="4" t="n"/>
      <c r="K89" s="4" t="n"/>
      <c r="L89" s="4" t="n"/>
      <c r="M89" s="4" t="n"/>
      <c r="N89" s="4" t="n"/>
      <c r="O89" s="4" t="n"/>
      <c r="P89" s="4" t="n"/>
      <c r="Q89" s="4" t="n"/>
      <c r="R89" s="4" t="n"/>
      <c r="S89" s="4" t="n"/>
      <c r="T89" s="6" t="n"/>
      <c r="U89" s="6" t="n"/>
      <c r="V89" s="6" t="n"/>
      <c r="W89" s="6" t="n"/>
      <c r="X89" s="6" t="n"/>
    </row>
    <row r="90" ht="14" customHeight="1" s="250">
      <c r="A90" s="4" t="n"/>
      <c r="B90" s="5" t="n"/>
      <c r="C90" s="4" t="n"/>
      <c r="D90" s="4" t="n"/>
      <c r="E90" s="4" t="n"/>
      <c r="F90" s="4" t="n"/>
      <c r="G90" s="4" t="n"/>
      <c r="H90" s="4" t="n"/>
      <c r="I90" s="4" t="n"/>
      <c r="J90" s="4" t="n"/>
      <c r="K90" s="4" t="n"/>
      <c r="L90" s="4" t="n"/>
      <c r="M90" s="4" t="n"/>
      <c r="N90" s="4" t="n"/>
      <c r="O90" s="4" t="n"/>
      <c r="P90" s="4" t="n"/>
      <c r="Q90" s="4" t="n"/>
      <c r="R90" s="4" t="n"/>
      <c r="S90" s="4" t="n"/>
      <c r="T90" s="6" t="n"/>
      <c r="U90" s="6" t="n"/>
      <c r="V90" s="6" t="n"/>
      <c r="W90" s="6" t="n"/>
      <c r="X90" s="6" t="n"/>
    </row>
    <row r="91" ht="14" customHeight="1" s="250">
      <c r="A91" s="4" t="n"/>
      <c r="B91" s="5" t="n"/>
      <c r="C91" s="4" t="n"/>
      <c r="D91" s="4" t="n"/>
      <c r="E91" s="4" t="n"/>
      <c r="F91" s="4" t="n"/>
      <c r="G91" s="4" t="n"/>
      <c r="H91" s="4" t="n"/>
      <c r="I91" s="4" t="n"/>
      <c r="J91" s="4" t="n"/>
      <c r="K91" s="4" t="n"/>
      <c r="L91" s="4" t="n"/>
      <c r="M91" s="4" t="n"/>
      <c r="N91" s="4" t="n"/>
      <c r="O91" s="4" t="n"/>
      <c r="P91" s="4" t="n"/>
      <c r="Q91" s="4" t="n"/>
      <c r="R91" s="4" t="n"/>
      <c r="S91" s="4" t="n"/>
      <c r="T91" s="6" t="n"/>
      <c r="U91" s="6" t="n"/>
      <c r="V91" s="6" t="n"/>
      <c r="W91" s="6" t="n"/>
      <c r="X91" s="6" t="n"/>
    </row>
    <row r="92" ht="14" customHeight="1" s="250">
      <c r="A92" s="4" t="n"/>
      <c r="B92" s="5" t="n"/>
      <c r="C92" s="4" t="n"/>
      <c r="D92" s="4" t="n"/>
      <c r="E92" s="4" t="n"/>
      <c r="F92" s="4" t="n"/>
      <c r="G92" s="4" t="n"/>
      <c r="H92" s="4" t="n"/>
      <c r="I92" s="4" t="n"/>
      <c r="J92" s="4" t="n"/>
      <c r="K92" s="4" t="n"/>
      <c r="L92" s="4" t="n"/>
      <c r="M92" s="4" t="n"/>
      <c r="N92" s="4" t="n"/>
      <c r="O92" s="4" t="n"/>
      <c r="P92" s="4" t="n"/>
      <c r="Q92" s="4" t="n"/>
      <c r="R92" s="4" t="n"/>
      <c r="S92" s="4" t="n"/>
      <c r="T92" s="6" t="n"/>
      <c r="U92" s="6" t="n"/>
      <c r="V92" s="6" t="n"/>
      <c r="W92" s="6" t="n"/>
      <c r="X92" s="6" t="n"/>
    </row>
    <row r="93" ht="14" customHeight="1" s="250">
      <c r="A93" s="4" t="n"/>
      <c r="B93" s="5" t="n"/>
      <c r="C93" s="4" t="n"/>
      <c r="D93" s="4" t="n"/>
      <c r="E93" s="4" t="n"/>
      <c r="F93" s="4" t="n"/>
      <c r="G93" s="4" t="n"/>
      <c r="H93" s="4" t="n"/>
      <c r="I93" s="4" t="n"/>
      <c r="J93" s="4" t="n"/>
      <c r="K93" s="4" t="n"/>
      <c r="L93" s="4" t="n"/>
      <c r="M93" s="4" t="n"/>
      <c r="N93" s="4" t="n"/>
      <c r="O93" s="4" t="n"/>
      <c r="P93" s="4" t="n"/>
      <c r="Q93" s="4" t="n"/>
      <c r="R93" s="4" t="n"/>
      <c r="S93" s="4" t="n"/>
      <c r="T93" s="6" t="n"/>
      <c r="U93" s="6" t="n"/>
      <c r="V93" s="6" t="n"/>
      <c r="W93" s="6" t="n"/>
      <c r="X93" s="6" t="n"/>
    </row>
    <row r="94" ht="14" customHeight="1" s="250">
      <c r="A94" s="4" t="n"/>
      <c r="B94" s="5" t="n"/>
      <c r="C94" s="4" t="n"/>
      <c r="D94" s="4" t="n"/>
      <c r="E94" s="4" t="n"/>
      <c r="F94" s="4" t="n"/>
      <c r="G94" s="4" t="n"/>
      <c r="H94" s="4" t="n"/>
      <c r="I94" s="4" t="n"/>
      <c r="J94" s="4" t="n"/>
      <c r="K94" s="4" t="n"/>
      <c r="L94" s="4" t="n"/>
      <c r="M94" s="4" t="n"/>
      <c r="N94" s="4" t="n"/>
      <c r="O94" s="4" t="n"/>
      <c r="P94" s="4" t="n"/>
      <c r="Q94" s="4" t="n"/>
      <c r="R94" s="4" t="n"/>
      <c r="S94" s="4" t="n"/>
      <c r="T94" s="6" t="n"/>
      <c r="U94" s="6" t="n"/>
      <c r="V94" s="6" t="n"/>
      <c r="W94" s="6" t="n"/>
      <c r="X94" s="6" t="n"/>
    </row>
    <row r="95" ht="14" customHeight="1" s="250">
      <c r="A95" s="4" t="n"/>
      <c r="B95" s="5" t="n"/>
      <c r="C95" s="4" t="n"/>
      <c r="D95" s="4" t="n"/>
      <c r="E95" s="4" t="n"/>
      <c r="F95" s="4" t="n"/>
      <c r="G95" s="4" t="n"/>
      <c r="H95" s="4" t="n"/>
      <c r="I95" s="4" t="n"/>
      <c r="J95" s="4" t="n"/>
      <c r="K95" s="4" t="n"/>
      <c r="L95" s="4" t="n"/>
      <c r="M95" s="4" t="n"/>
      <c r="N95" s="4" t="n"/>
      <c r="O95" s="4" t="n"/>
      <c r="P95" s="4" t="n"/>
      <c r="Q95" s="4" t="n"/>
      <c r="R95" s="4" t="n"/>
      <c r="S95" s="4" t="n"/>
      <c r="T95" s="6" t="n"/>
      <c r="U95" s="6" t="n"/>
      <c r="V95" s="6" t="n"/>
      <c r="W95" s="6" t="n"/>
      <c r="X95" s="6" t="n"/>
    </row>
    <row r="96" ht="14" customHeight="1" s="250">
      <c r="A96" s="4" t="n"/>
      <c r="B96" s="5" t="n"/>
      <c r="C96" s="4" t="n"/>
      <c r="D96" s="4" t="n"/>
      <c r="E96" s="4" t="n"/>
      <c r="F96" s="4" t="n"/>
      <c r="G96" s="4" t="n"/>
      <c r="H96" s="4" t="n"/>
      <c r="I96" s="4" t="n"/>
      <c r="J96" s="4" t="n"/>
      <c r="K96" s="4" t="n"/>
      <c r="L96" s="4" t="n"/>
      <c r="M96" s="4" t="n"/>
      <c r="N96" s="4" t="n"/>
      <c r="O96" s="4" t="n"/>
      <c r="P96" s="4" t="n"/>
      <c r="Q96" s="4" t="n"/>
      <c r="R96" s="4" t="n"/>
      <c r="S96" s="4" t="n"/>
      <c r="T96" s="6" t="n"/>
      <c r="U96" s="6" t="n"/>
      <c r="V96" s="6" t="n"/>
      <c r="W96" s="6" t="n"/>
      <c r="X96" s="6" t="n"/>
    </row>
    <row r="97" ht="14" customHeight="1" s="250">
      <c r="A97" s="4" t="n"/>
      <c r="B97" s="5" t="n"/>
      <c r="C97" s="4" t="n"/>
      <c r="D97" s="4" t="n"/>
      <c r="E97" s="4" t="n"/>
      <c r="F97" s="4" t="n"/>
      <c r="G97" s="4" t="n"/>
      <c r="H97" s="4" t="n"/>
      <c r="I97" s="4" t="n"/>
      <c r="J97" s="4" t="n"/>
      <c r="K97" s="4" t="n"/>
      <c r="L97" s="4" t="n"/>
      <c r="M97" s="4" t="n"/>
      <c r="N97" s="4" t="n"/>
      <c r="O97" s="4" t="n"/>
      <c r="P97" s="4" t="n"/>
      <c r="Q97" s="4" t="n"/>
      <c r="R97" s="4" t="n"/>
      <c r="S97" s="4" t="n"/>
      <c r="T97" s="6" t="n"/>
      <c r="U97" s="6" t="n"/>
      <c r="V97" s="6" t="n"/>
      <c r="W97" s="6" t="n"/>
      <c r="X97" s="6" t="n"/>
    </row>
    <row r="98" ht="14" customHeight="1" s="250">
      <c r="A98" s="4" t="n"/>
      <c r="B98" s="5" t="n"/>
      <c r="C98" s="4" t="n"/>
      <c r="D98" s="4" t="n"/>
      <c r="E98" s="4" t="n"/>
      <c r="F98" s="4" t="n"/>
      <c r="G98" s="4" t="n"/>
      <c r="H98" s="4" t="n"/>
      <c r="I98" s="4" t="n"/>
      <c r="J98" s="4" t="n"/>
      <c r="K98" s="4" t="n"/>
      <c r="L98" s="4" t="n"/>
      <c r="M98" s="4" t="n"/>
      <c r="N98" s="4" t="n"/>
      <c r="O98" s="4" t="n"/>
      <c r="P98" s="4" t="n"/>
      <c r="Q98" s="4" t="n"/>
      <c r="R98" s="4" t="n"/>
      <c r="S98" s="4" t="n"/>
      <c r="T98" s="6" t="n"/>
      <c r="U98" s="6" t="n"/>
      <c r="V98" s="6" t="n"/>
      <c r="W98" s="6" t="n"/>
      <c r="X98" s="6" t="n"/>
    </row>
    <row r="99" ht="14" customHeight="1" s="250">
      <c r="A99" s="4" t="n"/>
      <c r="B99" s="5" t="n"/>
      <c r="C99" s="4" t="n"/>
      <c r="D99" s="4" t="n"/>
      <c r="E99" s="4" t="n"/>
      <c r="F99" s="4" t="n"/>
      <c r="G99" s="4" t="n"/>
      <c r="H99" s="4" t="n"/>
      <c r="I99" s="4" t="n"/>
      <c r="J99" s="4" t="n"/>
      <c r="K99" s="4" t="n"/>
      <c r="L99" s="4" t="n"/>
      <c r="M99" s="4" t="n"/>
      <c r="N99" s="4" t="n"/>
      <c r="O99" s="4" t="n"/>
      <c r="P99" s="4" t="n"/>
      <c r="Q99" s="4" t="n"/>
      <c r="R99" s="4" t="n"/>
      <c r="S99" s="4" t="n"/>
      <c r="T99" s="6" t="n"/>
      <c r="U99" s="6" t="n"/>
      <c r="V99" s="6" t="n"/>
      <c r="W99" s="6" t="n"/>
      <c r="X99" s="6" t="n"/>
    </row>
    <row r="100" ht="14" customHeight="1" s="250">
      <c r="A100" s="4" t="n"/>
      <c r="B100" s="5" t="n"/>
      <c r="C100" s="4" t="n"/>
      <c r="D100" s="4" t="n"/>
      <c r="E100" s="4" t="n"/>
      <c r="F100" s="4" t="n"/>
      <c r="G100" s="4" t="n"/>
      <c r="H100" s="4" t="n"/>
      <c r="I100" s="4" t="n"/>
      <c r="J100" s="4" t="n"/>
      <c r="K100" s="4" t="n"/>
      <c r="L100" s="4" t="n"/>
      <c r="M100" s="4" t="n"/>
      <c r="N100" s="4" t="n"/>
      <c r="O100" s="4" t="n"/>
      <c r="P100" s="4" t="n"/>
      <c r="Q100" s="4" t="n"/>
      <c r="R100" s="4" t="n"/>
      <c r="S100" s="4" t="n"/>
      <c r="T100" s="6" t="n"/>
      <c r="U100" s="6" t="n"/>
      <c r="V100" s="6" t="n"/>
      <c r="W100" s="6" t="n"/>
      <c r="X100" s="6" t="n"/>
    </row>
    <row r="101" ht="14" customHeight="1" s="250">
      <c r="A101" s="4" t="n"/>
      <c r="B101" s="5" t="n"/>
      <c r="C101" s="4" t="n"/>
      <c r="D101" s="4" t="n"/>
      <c r="E101" s="4" t="n"/>
      <c r="F101" s="4" t="n"/>
      <c r="G101" s="4" t="n"/>
      <c r="H101" s="4" t="n"/>
      <c r="I101" s="4" t="n"/>
      <c r="J101" s="4" t="n"/>
      <c r="K101" s="4" t="n"/>
      <c r="L101" s="4" t="n"/>
      <c r="M101" s="4" t="n"/>
      <c r="N101" s="4" t="n"/>
      <c r="O101" s="4" t="n"/>
      <c r="P101" s="4" t="n"/>
      <c r="Q101" s="4" t="n"/>
      <c r="R101" s="4" t="n"/>
      <c r="S101" s="4" t="n"/>
      <c r="T101" s="6" t="n"/>
      <c r="U101" s="6" t="n"/>
      <c r="V101" s="6" t="n"/>
      <c r="W101" s="6" t="n"/>
      <c r="X101" s="6" t="n"/>
    </row>
    <row r="102" ht="14" customHeight="1" s="250">
      <c r="A102" s="4" t="n"/>
      <c r="B102" s="5" t="n"/>
      <c r="C102" s="4" t="n"/>
      <c r="D102" s="4" t="n"/>
      <c r="E102" s="4" t="n"/>
      <c r="F102" s="4" t="n"/>
      <c r="G102" s="4" t="n"/>
      <c r="H102" s="4" t="n"/>
      <c r="I102" s="4" t="n"/>
      <c r="J102" s="4" t="n"/>
      <c r="K102" s="4" t="n"/>
      <c r="L102" s="4" t="n"/>
      <c r="M102" s="4" t="n"/>
      <c r="N102" s="4" t="n"/>
      <c r="O102" s="4" t="n"/>
      <c r="P102" s="4" t="n"/>
      <c r="Q102" s="4" t="n"/>
      <c r="R102" s="4" t="n"/>
      <c r="S102" s="4" t="n"/>
      <c r="T102" s="6" t="n"/>
      <c r="U102" s="6" t="n"/>
      <c r="V102" s="6" t="n"/>
      <c r="W102" s="6" t="n"/>
      <c r="X102" s="6" t="n"/>
    </row>
    <row r="103" ht="14" customHeight="1" s="250">
      <c r="A103" s="4" t="n"/>
      <c r="B103" s="5" t="n"/>
      <c r="C103" s="4" t="n"/>
      <c r="D103" s="4" t="n"/>
      <c r="E103" s="4" t="n"/>
      <c r="F103" s="4" t="n"/>
      <c r="G103" s="4" t="n"/>
      <c r="H103" s="4" t="n"/>
      <c r="I103" s="4" t="n"/>
      <c r="J103" s="4" t="n"/>
      <c r="K103" s="4" t="n"/>
      <c r="L103" s="4" t="n"/>
      <c r="M103" s="4" t="n"/>
      <c r="N103" s="4" t="n"/>
      <c r="O103" s="4" t="n"/>
      <c r="P103" s="4" t="n"/>
      <c r="Q103" s="4" t="n"/>
      <c r="R103" s="4" t="n"/>
      <c r="S103" s="4" t="n"/>
      <c r="T103" s="6" t="n"/>
      <c r="U103" s="6" t="n"/>
      <c r="V103" s="6" t="n"/>
      <c r="W103" s="6" t="n"/>
      <c r="X103" s="6" t="n"/>
    </row>
    <row r="104" ht="14" customHeight="1" s="250">
      <c r="A104" s="4" t="n"/>
      <c r="B104" s="5" t="n"/>
      <c r="C104" s="4" t="n"/>
      <c r="D104" s="4" t="n"/>
      <c r="E104" s="4" t="n"/>
      <c r="F104" s="4" t="n"/>
      <c r="G104" s="4" t="n"/>
      <c r="H104" s="4" t="n"/>
      <c r="I104" s="4" t="n"/>
      <c r="J104" s="4" t="n"/>
      <c r="K104" s="4" t="n"/>
      <c r="L104" s="4" t="n"/>
      <c r="M104" s="4" t="n"/>
      <c r="N104" s="4" t="n"/>
      <c r="O104" s="4" t="n"/>
      <c r="P104" s="4" t="n"/>
      <c r="Q104" s="4" t="n"/>
      <c r="R104" s="4" t="n"/>
      <c r="S104" s="4" t="n"/>
      <c r="T104" s="6" t="n"/>
      <c r="U104" s="6" t="n"/>
      <c r="V104" s="6" t="n"/>
      <c r="W104" s="6" t="n"/>
      <c r="X104" s="6" t="n"/>
    </row>
    <row r="105" ht="14" customHeight="1" s="250">
      <c r="A105" s="4" t="n"/>
      <c r="B105" s="5" t="n"/>
      <c r="C105" s="4" t="n"/>
      <c r="D105" s="4" t="n"/>
      <c r="E105" s="4" t="n"/>
      <c r="F105" s="4" t="n"/>
      <c r="G105" s="4" t="n"/>
      <c r="H105" s="4" t="n"/>
      <c r="I105" s="4" t="n"/>
      <c r="J105" s="4" t="n"/>
      <c r="K105" s="4" t="n"/>
      <c r="L105" s="4" t="n"/>
      <c r="M105" s="4" t="n"/>
      <c r="N105" s="4" t="n"/>
      <c r="O105" s="4" t="n"/>
      <c r="P105" s="4" t="n"/>
      <c r="Q105" s="4" t="n"/>
      <c r="R105" s="4" t="n"/>
      <c r="S105" s="4" t="n"/>
      <c r="T105" s="6" t="n"/>
      <c r="U105" s="6" t="n"/>
      <c r="V105" s="6" t="n"/>
      <c r="W105" s="6" t="n"/>
      <c r="X105" s="6" t="n"/>
    </row>
    <row r="106" ht="14" customHeight="1" s="250">
      <c r="A106" s="4" t="n"/>
      <c r="B106" s="5" t="n"/>
      <c r="C106" s="4" t="n"/>
      <c r="D106" s="4" t="n"/>
      <c r="E106" s="4" t="n"/>
      <c r="F106" s="4" t="n"/>
      <c r="G106" s="4" t="n"/>
      <c r="H106" s="4" t="n"/>
      <c r="I106" s="4" t="n"/>
      <c r="J106" s="4" t="n"/>
      <c r="K106" s="4" t="n"/>
      <c r="L106" s="4" t="n"/>
      <c r="M106" s="4" t="n"/>
      <c r="N106" s="4" t="n"/>
      <c r="O106" s="4" t="n"/>
      <c r="P106" s="4" t="n"/>
      <c r="Q106" s="4" t="n"/>
      <c r="R106" s="4" t="n"/>
      <c r="S106" s="4" t="n"/>
      <c r="T106" s="6" t="n"/>
      <c r="U106" s="6" t="n"/>
      <c r="V106" s="6" t="n"/>
      <c r="W106" s="6" t="n"/>
      <c r="X106" s="6" t="n"/>
    </row>
    <row r="107" ht="14" customHeight="1" s="250">
      <c r="A107" s="4" t="n"/>
      <c r="B107" s="5" t="n"/>
      <c r="C107" s="4" t="n"/>
      <c r="D107" s="4" t="n"/>
      <c r="E107" s="4" t="n"/>
      <c r="F107" s="4" t="n"/>
      <c r="G107" s="4" t="n"/>
      <c r="H107" s="4" t="n"/>
      <c r="I107" s="4" t="n"/>
      <c r="J107" s="4" t="n"/>
      <c r="K107" s="4" t="n"/>
      <c r="L107" s="4" t="n"/>
      <c r="M107" s="4" t="n"/>
      <c r="N107" s="4" t="n"/>
      <c r="O107" s="4" t="n"/>
      <c r="P107" s="4" t="n"/>
      <c r="Q107" s="4" t="n"/>
      <c r="R107" s="4" t="n"/>
      <c r="S107" s="4" t="n"/>
      <c r="T107" s="6" t="n"/>
      <c r="U107" s="6" t="n"/>
      <c r="V107" s="6" t="n"/>
      <c r="W107" s="6" t="n"/>
      <c r="X107" s="6" t="n"/>
    </row>
    <row r="108" ht="14" customHeight="1" s="250">
      <c r="A108" s="4" t="n"/>
      <c r="B108" s="5" t="n"/>
      <c r="C108" s="4" t="n"/>
      <c r="D108" s="4" t="n"/>
      <c r="E108" s="4" t="n"/>
      <c r="F108" s="4" t="n"/>
      <c r="G108" s="4" t="n"/>
      <c r="H108" s="4" t="n"/>
      <c r="I108" s="4" t="n"/>
      <c r="J108" s="4" t="n"/>
      <c r="K108" s="4" t="n"/>
      <c r="L108" s="4" t="n"/>
      <c r="M108" s="4" t="n"/>
      <c r="N108" s="4" t="n"/>
      <c r="O108" s="4" t="n"/>
      <c r="P108" s="4" t="n"/>
      <c r="Q108" s="4" t="n"/>
      <c r="R108" s="4" t="n"/>
      <c r="S108" s="4" t="n"/>
      <c r="T108" s="6" t="n"/>
      <c r="U108" s="6" t="n"/>
      <c r="V108" s="6" t="n"/>
      <c r="W108" s="6" t="n"/>
      <c r="X108" s="6" t="n"/>
    </row>
    <row r="109" ht="14" customHeight="1" s="250">
      <c r="A109" s="4" t="n"/>
      <c r="B109" s="5" t="n"/>
      <c r="C109" s="4" t="n"/>
      <c r="D109" s="4" t="n"/>
      <c r="E109" s="4" t="n"/>
      <c r="F109" s="4" t="n"/>
      <c r="G109" s="4" t="n"/>
      <c r="H109" s="4" t="n"/>
      <c r="I109" s="4" t="n"/>
      <c r="J109" s="4" t="n"/>
      <c r="K109" s="4" t="n"/>
      <c r="L109" s="4" t="n"/>
      <c r="M109" s="4" t="n"/>
      <c r="N109" s="4" t="n"/>
      <c r="O109" s="4" t="n"/>
      <c r="P109" s="4" t="n"/>
      <c r="Q109" s="4" t="n"/>
      <c r="R109" s="4" t="n"/>
      <c r="S109" s="4" t="n"/>
      <c r="T109" s="6" t="n"/>
      <c r="U109" s="6" t="n"/>
      <c r="V109" s="6" t="n"/>
      <c r="W109" s="6" t="n"/>
      <c r="X109" s="6" t="n"/>
    </row>
    <row r="110" ht="14" customHeight="1" s="250">
      <c r="A110" s="4" t="n"/>
      <c r="B110" s="5" t="n"/>
      <c r="C110" s="4" t="n"/>
      <c r="D110" s="4" t="n"/>
      <c r="E110" s="4" t="n"/>
      <c r="F110" s="4" t="n"/>
      <c r="G110" s="4" t="n"/>
      <c r="H110" s="4" t="n"/>
      <c r="I110" s="4" t="n"/>
      <c r="J110" s="4" t="n"/>
      <c r="K110" s="4" t="n"/>
      <c r="L110" s="4" t="n"/>
      <c r="M110" s="4" t="n"/>
      <c r="N110" s="4" t="n"/>
      <c r="O110" s="4" t="n"/>
      <c r="P110" s="4" t="n"/>
      <c r="Q110" s="4" t="n"/>
      <c r="R110" s="4" t="n"/>
      <c r="S110" s="4" t="n"/>
      <c r="T110" s="6" t="n"/>
      <c r="U110" s="6" t="n"/>
      <c r="V110" s="6" t="n"/>
      <c r="W110" s="6" t="n"/>
      <c r="X110" s="6" t="n"/>
    </row>
    <row r="111" ht="14" customHeight="1" s="250">
      <c r="A111" s="4" t="n"/>
      <c r="B111" s="5" t="n"/>
      <c r="C111" s="4" t="n"/>
      <c r="D111" s="4" t="n"/>
      <c r="E111" s="4" t="n"/>
      <c r="F111" s="4" t="n"/>
      <c r="G111" s="4" t="n"/>
      <c r="H111" s="4" t="n"/>
      <c r="I111" s="4" t="n"/>
      <c r="J111" s="4" t="n"/>
      <c r="K111" s="4" t="n"/>
      <c r="L111" s="4" t="n"/>
      <c r="M111" s="4" t="n"/>
      <c r="N111" s="4" t="n"/>
      <c r="O111" s="4" t="n"/>
      <c r="P111" s="4" t="n"/>
      <c r="Q111" s="4" t="n"/>
      <c r="R111" s="4" t="n"/>
      <c r="S111" s="4" t="n"/>
      <c r="T111" s="6" t="n"/>
      <c r="U111" s="6" t="n"/>
      <c r="V111" s="6" t="n"/>
      <c r="W111" s="6" t="n"/>
      <c r="X111" s="6" t="n"/>
    </row>
    <row r="112" ht="14" customHeight="1" s="250">
      <c r="A112" s="4" t="n"/>
      <c r="B112" s="5" t="n"/>
      <c r="C112" s="4" t="n"/>
      <c r="D112" s="4" t="n"/>
      <c r="E112" s="4" t="n"/>
      <c r="F112" s="4" t="n"/>
      <c r="G112" s="4" t="n"/>
      <c r="H112" s="4" t="n"/>
      <c r="I112" s="4" t="n"/>
      <c r="J112" s="4" t="n"/>
      <c r="K112" s="4" t="n"/>
      <c r="L112" s="4" t="n"/>
      <c r="M112" s="4" t="n"/>
      <c r="N112" s="4" t="n"/>
      <c r="O112" s="4" t="n"/>
      <c r="P112" s="4" t="n"/>
      <c r="Q112" s="4" t="n"/>
      <c r="R112" s="4" t="n"/>
      <c r="S112" s="4" t="n"/>
      <c r="T112" s="6" t="n"/>
      <c r="U112" s="6" t="n"/>
      <c r="V112" s="6" t="n"/>
      <c r="W112" s="6" t="n"/>
      <c r="X112" s="6" t="n"/>
    </row>
    <row r="113" ht="14" customHeight="1" s="250">
      <c r="A113" s="4" t="n"/>
      <c r="B113" s="5" t="n"/>
      <c r="C113" s="4" t="n"/>
      <c r="D113" s="4" t="n"/>
      <c r="E113" s="4" t="n"/>
      <c r="F113" s="4" t="n"/>
      <c r="G113" s="4" t="n"/>
      <c r="H113" s="4" t="n"/>
      <c r="I113" s="4" t="n"/>
      <c r="J113" s="4" t="n"/>
      <c r="K113" s="4" t="n"/>
      <c r="L113" s="4" t="n"/>
      <c r="M113" s="4" t="n"/>
      <c r="N113" s="4" t="n"/>
      <c r="O113" s="4" t="n"/>
      <c r="P113" s="4" t="n"/>
      <c r="Q113" s="4" t="n"/>
      <c r="R113" s="4" t="n"/>
      <c r="S113" s="4" t="n"/>
      <c r="T113" s="6" t="n"/>
      <c r="U113" s="6" t="n"/>
      <c r="V113" s="6" t="n"/>
      <c r="W113" s="6" t="n"/>
      <c r="X113" s="6" t="n"/>
    </row>
    <row r="114" ht="14" customHeight="1" s="250">
      <c r="A114" s="4" t="n"/>
      <c r="B114" s="5" t="n"/>
      <c r="C114" s="4" t="n"/>
      <c r="D114" s="4" t="n"/>
      <c r="E114" s="4" t="n"/>
      <c r="F114" s="4" t="n"/>
      <c r="G114" s="4" t="n"/>
      <c r="H114" s="4" t="n"/>
      <c r="I114" s="4" t="n"/>
      <c r="J114" s="4" t="n"/>
      <c r="K114" s="4" t="n"/>
      <c r="L114" s="4" t="n"/>
      <c r="M114" s="4" t="n"/>
      <c r="N114" s="4" t="n"/>
      <c r="O114" s="4" t="n"/>
      <c r="P114" s="4" t="n"/>
      <c r="Q114" s="4" t="n"/>
      <c r="R114" s="4" t="n"/>
      <c r="S114" s="4" t="n"/>
      <c r="T114" s="6" t="n"/>
      <c r="U114" s="6" t="n"/>
      <c r="V114" s="6" t="n"/>
      <c r="W114" s="6" t="n"/>
      <c r="X114" s="6" t="n"/>
    </row>
    <row r="115" ht="14" customHeight="1" s="250">
      <c r="A115" s="4" t="n"/>
      <c r="B115" s="5" t="n"/>
      <c r="C115" s="4" t="n"/>
      <c r="D115" s="4" t="n"/>
      <c r="E115" s="4" t="n"/>
      <c r="F115" s="4" t="n"/>
      <c r="G115" s="4" t="n"/>
      <c r="H115" s="4" t="n"/>
      <c r="I115" s="4" t="n"/>
      <c r="J115" s="4" t="n"/>
      <c r="K115" s="4" t="n"/>
      <c r="L115" s="4" t="n"/>
      <c r="M115" s="4" t="n"/>
      <c r="N115" s="4" t="n"/>
      <c r="O115" s="4" t="n"/>
      <c r="P115" s="4" t="n"/>
      <c r="Q115" s="4" t="n"/>
      <c r="R115" s="4" t="n"/>
      <c r="S115" s="4" t="n"/>
      <c r="T115" s="6" t="n"/>
      <c r="U115" s="6" t="n"/>
      <c r="V115" s="6" t="n"/>
      <c r="W115" s="6" t="n"/>
      <c r="X115" s="6" t="n"/>
    </row>
    <row r="116" ht="14" customHeight="1" s="250">
      <c r="A116" s="4" t="n"/>
      <c r="B116" s="5" t="n"/>
      <c r="C116" s="4" t="n"/>
      <c r="D116" s="4" t="n"/>
      <c r="E116" s="4" t="n"/>
      <c r="F116" s="4" t="n"/>
      <c r="G116" s="4" t="n"/>
      <c r="H116" s="4" t="n"/>
      <c r="I116" s="4" t="n"/>
      <c r="J116" s="4" t="n"/>
      <c r="K116" s="4" t="n"/>
      <c r="L116" s="4" t="n"/>
      <c r="M116" s="4" t="n"/>
      <c r="N116" s="4" t="n"/>
      <c r="O116" s="4" t="n"/>
      <c r="P116" s="4" t="n"/>
      <c r="Q116" s="4" t="n"/>
      <c r="R116" s="4" t="n"/>
      <c r="S116" s="4" t="n"/>
      <c r="T116" s="6" t="n"/>
      <c r="U116" s="6" t="n"/>
      <c r="V116" s="6" t="n"/>
      <c r="W116" s="6" t="n"/>
      <c r="X116" s="6" t="n"/>
    </row>
    <row r="117" ht="14" customHeight="1" s="250">
      <c r="A117" s="4" t="n"/>
      <c r="B117" s="5" t="n"/>
      <c r="C117" s="4" t="n"/>
      <c r="D117" s="4" t="n"/>
      <c r="E117" s="4" t="n"/>
      <c r="F117" s="4" t="n"/>
      <c r="G117" s="4" t="n"/>
      <c r="H117" s="4" t="n"/>
      <c r="I117" s="4" t="n"/>
      <c r="J117" s="4" t="n"/>
      <c r="K117" s="4" t="n"/>
      <c r="L117" s="4" t="n"/>
      <c r="M117" s="4" t="n"/>
      <c r="N117" s="4" t="n"/>
      <c r="O117" s="4" t="n"/>
      <c r="P117" s="4" t="n"/>
      <c r="Q117" s="4" t="n"/>
      <c r="R117" s="4" t="n"/>
      <c r="S117" s="4" t="n"/>
      <c r="T117" s="6" t="n"/>
      <c r="U117" s="6" t="n"/>
      <c r="V117" s="6" t="n"/>
      <c r="W117" s="6" t="n"/>
      <c r="X117" s="6" t="n"/>
    </row>
    <row r="118" ht="14" customHeight="1" s="250">
      <c r="A118" s="4" t="n"/>
      <c r="B118" s="5" t="n"/>
      <c r="C118" s="4" t="n"/>
      <c r="D118" s="4" t="n"/>
      <c r="E118" s="4" t="n"/>
      <c r="F118" s="4" t="n"/>
      <c r="G118" s="4" t="n"/>
      <c r="H118" s="4" t="n"/>
      <c r="I118" s="4" t="n"/>
      <c r="J118" s="4" t="n"/>
      <c r="K118" s="4" t="n"/>
      <c r="L118" s="4" t="n"/>
      <c r="M118" s="4" t="n"/>
      <c r="N118" s="4" t="n"/>
      <c r="O118" s="4" t="n"/>
      <c r="P118" s="4" t="n"/>
      <c r="Q118" s="4" t="n"/>
      <c r="R118" s="4" t="n"/>
      <c r="S118" s="4" t="n"/>
      <c r="T118" s="6" t="n"/>
      <c r="U118" s="6" t="n"/>
      <c r="V118" s="6" t="n"/>
      <c r="W118" s="6" t="n"/>
      <c r="X118" s="6" t="n"/>
    </row>
    <row r="119" ht="14" customHeight="1" s="250">
      <c r="A119" s="4" t="n"/>
      <c r="B119" s="5" t="n"/>
      <c r="C119" s="4" t="n"/>
      <c r="D119" s="4" t="n"/>
      <c r="E119" s="4" t="n"/>
      <c r="F119" s="4" t="n"/>
      <c r="G119" s="4" t="n"/>
      <c r="H119" s="4" t="n"/>
      <c r="I119" s="4" t="n"/>
      <c r="J119" s="4" t="n"/>
      <c r="K119" s="4" t="n"/>
      <c r="L119" s="4" t="n"/>
      <c r="M119" s="4" t="n"/>
      <c r="N119" s="4" t="n"/>
      <c r="O119" s="4" t="n"/>
      <c r="P119" s="4" t="n"/>
      <c r="Q119" s="4" t="n"/>
      <c r="R119" s="4" t="n"/>
      <c r="S119" s="4" t="n"/>
      <c r="T119" s="6" t="n"/>
      <c r="U119" s="6" t="n"/>
      <c r="V119" s="6" t="n"/>
      <c r="W119" s="6" t="n"/>
      <c r="X119" s="6" t="n"/>
    </row>
    <row r="120" ht="14" customHeight="1" s="250">
      <c r="A120" s="4" t="n"/>
      <c r="B120" s="5" t="n"/>
      <c r="C120" s="4" t="n"/>
      <c r="D120" s="4" t="n"/>
      <c r="E120" s="4" t="n"/>
      <c r="F120" s="4" t="n"/>
      <c r="G120" s="4" t="n"/>
      <c r="H120" s="4" t="n"/>
      <c r="I120" s="4" t="n"/>
      <c r="J120" s="4" t="n"/>
      <c r="K120" s="4" t="n"/>
      <c r="L120" s="4" t="n"/>
      <c r="M120" s="4" t="n"/>
      <c r="N120" s="4" t="n"/>
      <c r="O120" s="4" t="n"/>
      <c r="P120" s="4" t="n"/>
      <c r="Q120" s="4" t="n"/>
      <c r="R120" s="4" t="n"/>
      <c r="S120" s="4" t="n"/>
      <c r="T120" s="6" t="n"/>
      <c r="U120" s="6" t="n"/>
      <c r="V120" s="6" t="n"/>
      <c r="W120" s="6" t="n"/>
      <c r="X120" s="6" t="n"/>
    </row>
    <row r="121" ht="14" customHeight="1" s="250">
      <c r="A121" s="4" t="n"/>
      <c r="B121" s="5" t="n"/>
      <c r="C121" s="4" t="n"/>
      <c r="D121" s="4" t="n"/>
      <c r="E121" s="4" t="n"/>
      <c r="F121" s="4" t="n"/>
      <c r="G121" s="4" t="n"/>
      <c r="H121" s="4" t="n"/>
      <c r="I121" s="4" t="n"/>
      <c r="J121" s="4" t="n"/>
      <c r="K121" s="4" t="n"/>
      <c r="L121" s="4" t="n"/>
      <c r="M121" s="4" t="n"/>
      <c r="N121" s="4" t="n"/>
      <c r="O121" s="4" t="n"/>
      <c r="P121" s="4" t="n"/>
      <c r="Q121" s="4" t="n"/>
      <c r="R121" s="4" t="n"/>
      <c r="S121" s="4" t="n"/>
      <c r="T121" s="6" t="n"/>
      <c r="U121" s="6" t="n"/>
      <c r="V121" s="6" t="n"/>
      <c r="W121" s="6" t="n"/>
      <c r="X121" s="6" t="n"/>
    </row>
    <row r="122" ht="14" customHeight="1" s="250">
      <c r="A122" s="4" t="n"/>
      <c r="B122" s="5" t="n"/>
      <c r="C122" s="4" t="n"/>
      <c r="D122" s="4" t="n"/>
      <c r="E122" s="4" t="n"/>
      <c r="F122" s="4" t="n"/>
      <c r="G122" s="4" t="n"/>
      <c r="H122" s="4" t="n"/>
      <c r="I122" s="4" t="n"/>
      <c r="J122" s="4" t="n"/>
      <c r="K122" s="4" t="n"/>
      <c r="L122" s="4" t="n"/>
      <c r="M122" s="4" t="n"/>
      <c r="N122" s="4" t="n"/>
      <c r="O122" s="4" t="n"/>
      <c r="P122" s="4" t="n"/>
      <c r="Q122" s="4" t="n"/>
      <c r="R122" s="4" t="n"/>
      <c r="S122" s="4" t="n"/>
      <c r="T122" s="6" t="n"/>
      <c r="U122" s="6" t="n"/>
      <c r="V122" s="6" t="n"/>
      <c r="W122" s="6" t="n"/>
      <c r="X122" s="6" t="n"/>
    </row>
    <row r="123" ht="14" customHeight="1" s="250">
      <c r="A123" s="4" t="n"/>
      <c r="B123" s="5" t="n"/>
      <c r="C123" s="4" t="n"/>
      <c r="D123" s="4" t="n"/>
      <c r="E123" s="4" t="n"/>
      <c r="F123" s="4" t="n"/>
      <c r="G123" s="4" t="n"/>
      <c r="H123" s="4" t="n"/>
      <c r="I123" s="4" t="n"/>
      <c r="J123" s="4" t="n"/>
      <c r="K123" s="4" t="n"/>
      <c r="L123" s="4" t="n"/>
      <c r="M123" s="4" t="n"/>
      <c r="N123" s="4" t="n"/>
      <c r="O123" s="4" t="n"/>
      <c r="P123" s="4" t="n"/>
      <c r="Q123" s="4" t="n"/>
      <c r="R123" s="4" t="n"/>
      <c r="S123" s="4" t="n"/>
      <c r="T123" s="6" t="n"/>
      <c r="U123" s="6" t="n"/>
      <c r="V123" s="6" t="n"/>
      <c r="W123" s="6" t="n"/>
      <c r="X123" s="6" t="n"/>
    </row>
    <row r="124" ht="14" customHeight="1" s="250">
      <c r="A124" s="4" t="n"/>
      <c r="B124" s="5" t="n"/>
      <c r="C124" s="4" t="n"/>
      <c r="D124" s="4" t="n"/>
      <c r="E124" s="4" t="n"/>
      <c r="F124" s="4" t="n"/>
      <c r="G124" s="4" t="n"/>
      <c r="H124" s="4" t="n"/>
      <c r="I124" s="4" t="n"/>
      <c r="J124" s="4" t="n"/>
      <c r="K124" s="4" t="n"/>
      <c r="L124" s="4" t="n"/>
      <c r="M124" s="4" t="n"/>
      <c r="N124" s="4" t="n"/>
      <c r="O124" s="4" t="n"/>
      <c r="P124" s="4" t="n"/>
      <c r="Q124" s="4" t="n"/>
      <c r="R124" s="4" t="n"/>
      <c r="S124" s="4" t="n"/>
      <c r="T124" s="6" t="n"/>
      <c r="U124" s="6" t="n"/>
      <c r="V124" s="6" t="n"/>
      <c r="W124" s="6" t="n"/>
      <c r="X124" s="6" t="n"/>
    </row>
    <row r="125" ht="14" customHeight="1" s="250">
      <c r="A125" s="4" t="n"/>
      <c r="B125" s="5" t="n"/>
      <c r="C125" s="4" t="n"/>
      <c r="D125" s="4" t="n"/>
      <c r="E125" s="4" t="n"/>
      <c r="F125" s="4" t="n"/>
      <c r="G125" s="4" t="n"/>
      <c r="H125" s="4" t="n"/>
      <c r="I125" s="4" t="n"/>
      <c r="J125" s="4" t="n"/>
      <c r="K125" s="4" t="n"/>
      <c r="L125" s="4" t="n"/>
      <c r="M125" s="4" t="n"/>
      <c r="N125" s="4" t="n"/>
      <c r="O125" s="4" t="n"/>
      <c r="P125" s="4" t="n"/>
      <c r="Q125" s="4" t="n"/>
      <c r="R125" s="4" t="n"/>
      <c r="S125" s="4" t="n"/>
      <c r="T125" s="6" t="n"/>
      <c r="U125" s="6" t="n"/>
      <c r="V125" s="6" t="n"/>
      <c r="W125" s="6" t="n"/>
      <c r="X125" s="6" t="n"/>
    </row>
    <row r="126" ht="14" customHeight="1" s="250">
      <c r="A126" s="4" t="n"/>
      <c r="B126" s="5" t="n"/>
      <c r="C126" s="4" t="n"/>
      <c r="D126" s="4" t="n"/>
      <c r="E126" s="4" t="n"/>
      <c r="F126" s="4" t="n"/>
      <c r="G126" s="4" t="n"/>
      <c r="H126" s="4" t="n"/>
      <c r="I126" s="4" t="n"/>
      <c r="J126" s="4" t="n"/>
      <c r="K126" s="4" t="n"/>
      <c r="L126" s="4" t="n"/>
      <c r="M126" s="4" t="n"/>
      <c r="N126" s="4" t="n"/>
      <c r="O126" s="4" t="n"/>
      <c r="P126" s="4" t="n"/>
      <c r="Q126" s="4" t="n"/>
      <c r="R126" s="4" t="n"/>
      <c r="S126" s="4" t="n"/>
      <c r="T126" s="6" t="n"/>
      <c r="U126" s="6" t="n"/>
      <c r="V126" s="6" t="n"/>
      <c r="W126" s="6" t="n"/>
      <c r="X126" s="6" t="n"/>
    </row>
    <row r="127" ht="14" customHeight="1" s="250">
      <c r="A127" s="4" t="n"/>
      <c r="B127" s="5" t="n"/>
      <c r="C127" s="4" t="n"/>
      <c r="D127" s="4" t="n"/>
      <c r="E127" s="4" t="n"/>
      <c r="F127" s="4" t="n"/>
      <c r="G127" s="4" t="n"/>
      <c r="H127" s="4" t="n"/>
      <c r="I127" s="4" t="n"/>
      <c r="J127" s="4" t="n"/>
      <c r="K127" s="4" t="n"/>
      <c r="L127" s="4" t="n"/>
      <c r="M127" s="4" t="n"/>
      <c r="N127" s="4" t="n"/>
      <c r="O127" s="4" t="n"/>
      <c r="P127" s="4" t="n"/>
      <c r="Q127" s="4" t="n"/>
      <c r="R127" s="4" t="n"/>
      <c r="S127" s="4" t="n"/>
      <c r="T127" s="6" t="n"/>
      <c r="U127" s="6" t="n"/>
      <c r="V127" s="6" t="n"/>
      <c r="W127" s="6" t="n"/>
      <c r="X127" s="6" t="n"/>
    </row>
    <row r="128" ht="14" customHeight="1" s="250">
      <c r="A128" s="4" t="n"/>
      <c r="B128" s="5" t="n"/>
      <c r="C128" s="4" t="n"/>
      <c r="D128" s="4" t="n"/>
      <c r="E128" s="4" t="n"/>
      <c r="F128" s="4" t="n"/>
      <c r="G128" s="4" t="n"/>
      <c r="H128" s="4" t="n"/>
      <c r="I128" s="4" t="n"/>
      <c r="J128" s="4" t="n"/>
      <c r="K128" s="4" t="n"/>
      <c r="L128" s="4" t="n"/>
      <c r="M128" s="4" t="n"/>
      <c r="N128" s="4" t="n"/>
      <c r="O128" s="4" t="n"/>
      <c r="P128" s="4" t="n"/>
      <c r="Q128" s="4" t="n"/>
      <c r="R128" s="4" t="n"/>
      <c r="S128" s="4" t="n"/>
      <c r="T128" s="6" t="n"/>
      <c r="U128" s="6" t="n"/>
      <c r="V128" s="6" t="n"/>
      <c r="W128" s="6" t="n"/>
      <c r="X128" s="6" t="n"/>
    </row>
    <row r="129" ht="14" customHeight="1" s="250">
      <c r="A129" s="4" t="n"/>
      <c r="B129" s="5" t="n"/>
      <c r="C129" s="4" t="n"/>
      <c r="D129" s="4" t="n"/>
      <c r="E129" s="4" t="n"/>
      <c r="F129" s="4" t="n"/>
      <c r="G129" s="4" t="n"/>
      <c r="H129" s="4" t="n"/>
      <c r="I129" s="4" t="n"/>
      <c r="J129" s="4" t="n"/>
      <c r="K129" s="4" t="n"/>
      <c r="L129" s="4" t="n"/>
      <c r="M129" s="4" t="n"/>
      <c r="N129" s="4" t="n"/>
      <c r="O129" s="4" t="n"/>
      <c r="P129" s="4" t="n"/>
      <c r="Q129" s="4" t="n"/>
      <c r="R129" s="4" t="n"/>
      <c r="S129" s="4" t="n"/>
      <c r="T129" s="6" t="n"/>
      <c r="U129" s="6" t="n"/>
      <c r="V129" s="6" t="n"/>
      <c r="W129" s="6" t="n"/>
      <c r="X129" s="6" t="n"/>
    </row>
    <row r="130" ht="14" customHeight="1" s="250">
      <c r="A130" s="4" t="n"/>
      <c r="B130" s="5" t="n"/>
      <c r="C130" s="4" t="n"/>
      <c r="D130" s="4" t="n"/>
      <c r="E130" s="4" t="n"/>
      <c r="F130" s="4" t="n"/>
      <c r="G130" s="4" t="n"/>
      <c r="H130" s="4" t="n"/>
      <c r="I130" s="4" t="n"/>
      <c r="J130" s="4" t="n"/>
      <c r="K130" s="4" t="n"/>
      <c r="L130" s="4" t="n"/>
      <c r="M130" s="4" t="n"/>
      <c r="N130" s="4" t="n"/>
      <c r="O130" s="4" t="n"/>
      <c r="P130" s="4" t="n"/>
      <c r="Q130" s="4" t="n"/>
      <c r="R130" s="4" t="n"/>
      <c r="S130" s="4" t="n"/>
      <c r="T130" s="6" t="n"/>
      <c r="U130" s="6" t="n"/>
      <c r="V130" s="6" t="n"/>
      <c r="W130" s="6" t="n"/>
      <c r="X130" s="6" t="n"/>
    </row>
    <row r="131" ht="14" customHeight="1" s="250">
      <c r="A131" s="4" t="n"/>
      <c r="B131" s="5" t="n"/>
      <c r="C131" s="4" t="n"/>
      <c r="D131" s="4" t="n"/>
      <c r="E131" s="4" t="n"/>
      <c r="F131" s="4" t="n"/>
      <c r="G131" s="4" t="n"/>
      <c r="H131" s="4" t="n"/>
      <c r="I131" s="4" t="n"/>
      <c r="J131" s="4" t="n"/>
      <c r="K131" s="4" t="n"/>
      <c r="L131" s="4" t="n"/>
      <c r="M131" s="4" t="n"/>
      <c r="N131" s="4" t="n"/>
      <c r="O131" s="4" t="n"/>
      <c r="P131" s="4" t="n"/>
      <c r="Q131" s="4" t="n"/>
      <c r="R131" s="4" t="n"/>
      <c r="S131" s="4" t="n"/>
      <c r="T131" s="6" t="n"/>
      <c r="U131" s="6" t="n"/>
      <c r="V131" s="6" t="n"/>
      <c r="W131" s="6" t="n"/>
      <c r="X131" s="6" t="n"/>
    </row>
    <row r="132" ht="14" customHeight="1" s="250">
      <c r="A132" s="4" t="n"/>
      <c r="B132" s="5" t="n"/>
      <c r="C132" s="4" t="n"/>
      <c r="D132" s="4" t="n"/>
      <c r="E132" s="4" t="n"/>
      <c r="F132" s="4" t="n"/>
      <c r="G132" s="4" t="n"/>
      <c r="H132" s="4" t="n"/>
      <c r="I132" s="4" t="n"/>
      <c r="J132" s="4" t="n"/>
      <c r="K132" s="4" t="n"/>
      <c r="L132" s="4" t="n"/>
      <c r="M132" s="4" t="n"/>
      <c r="N132" s="4" t="n"/>
      <c r="O132" s="4" t="n"/>
      <c r="P132" s="4" t="n"/>
      <c r="Q132" s="4" t="n"/>
      <c r="R132" s="4" t="n"/>
      <c r="S132" s="4" t="n"/>
      <c r="T132" s="6" t="n"/>
      <c r="U132" s="6" t="n"/>
      <c r="V132" s="6" t="n"/>
      <c r="W132" s="6" t="n"/>
      <c r="X132" s="6" t="n"/>
    </row>
    <row r="133" ht="14" customHeight="1" s="250">
      <c r="A133" s="4" t="n"/>
      <c r="B133" s="5" t="n"/>
      <c r="C133" s="4" t="n"/>
      <c r="D133" s="4" t="n"/>
      <c r="E133" s="4" t="n"/>
      <c r="F133" s="4" t="n"/>
      <c r="G133" s="4" t="n"/>
      <c r="H133" s="4" t="n"/>
      <c r="I133" s="4" t="n"/>
      <c r="J133" s="4" t="n"/>
      <c r="K133" s="4" t="n"/>
      <c r="L133" s="4" t="n"/>
      <c r="M133" s="4" t="n"/>
      <c r="N133" s="4" t="n"/>
      <c r="O133" s="4" t="n"/>
      <c r="P133" s="4" t="n"/>
      <c r="Q133" s="4" t="n"/>
      <c r="R133" s="4" t="n"/>
      <c r="S133" s="4" t="n"/>
      <c r="T133" s="6" t="n"/>
      <c r="U133" s="6" t="n"/>
      <c r="V133" s="6" t="n"/>
      <c r="W133" s="6" t="n"/>
      <c r="X133" s="6" t="n"/>
    </row>
    <row r="134" ht="14" customHeight="1" s="250">
      <c r="A134" s="4" t="n"/>
      <c r="B134" s="5" t="n"/>
      <c r="C134" s="4" t="n"/>
      <c r="D134" s="4" t="n"/>
      <c r="E134" s="4" t="n"/>
      <c r="F134" s="4" t="n"/>
      <c r="G134" s="4" t="n"/>
      <c r="H134" s="4" t="n"/>
      <c r="I134" s="4" t="n"/>
      <c r="J134" s="4" t="n"/>
      <c r="K134" s="4" t="n"/>
      <c r="L134" s="4" t="n"/>
      <c r="M134" s="4" t="n"/>
      <c r="N134" s="4" t="n"/>
      <c r="O134" s="4" t="n"/>
      <c r="P134" s="4" t="n"/>
      <c r="Q134" s="4" t="n"/>
      <c r="R134" s="4" t="n"/>
      <c r="S134" s="4" t="n"/>
      <c r="T134" s="6" t="n"/>
      <c r="U134" s="6" t="n"/>
      <c r="V134" s="6" t="n"/>
      <c r="W134" s="6" t="n"/>
      <c r="X134" s="6" t="n"/>
    </row>
    <row r="135" ht="14" customHeight="1" s="250">
      <c r="A135" s="4" t="n"/>
      <c r="B135" s="5" t="n"/>
      <c r="C135" s="4" t="n"/>
      <c r="D135" s="4" t="n"/>
      <c r="E135" s="4" t="n"/>
      <c r="F135" s="4" t="n"/>
      <c r="G135" s="4" t="n"/>
      <c r="H135" s="4" t="n"/>
      <c r="I135" s="4" t="n"/>
      <c r="J135" s="4" t="n"/>
      <c r="K135" s="4" t="n"/>
      <c r="L135" s="4" t="n"/>
      <c r="M135" s="4" t="n"/>
      <c r="N135" s="4" t="n"/>
      <c r="O135" s="4" t="n"/>
      <c r="P135" s="4" t="n"/>
      <c r="Q135" s="4" t="n"/>
      <c r="R135" s="4" t="n"/>
      <c r="S135" s="4" t="n"/>
      <c r="T135" s="6" t="n"/>
      <c r="U135" s="6" t="n"/>
      <c r="V135" s="6" t="n"/>
      <c r="W135" s="6" t="n"/>
      <c r="X135" s="6" t="n"/>
    </row>
    <row r="136" ht="14" customHeight="1" s="250">
      <c r="A136" s="4" t="n"/>
      <c r="B136" s="5" t="n"/>
      <c r="C136" s="4" t="n"/>
      <c r="D136" s="4" t="n"/>
      <c r="E136" s="4" t="n"/>
      <c r="F136" s="4" t="n"/>
      <c r="G136" s="4" t="n"/>
      <c r="H136" s="4" t="n"/>
      <c r="I136" s="4" t="n"/>
      <c r="J136" s="4" t="n"/>
      <c r="K136" s="4" t="n"/>
      <c r="L136" s="4" t="n"/>
      <c r="M136" s="4" t="n"/>
      <c r="N136" s="4" t="n"/>
      <c r="O136" s="4" t="n"/>
      <c r="P136" s="4" t="n"/>
      <c r="Q136" s="4" t="n"/>
      <c r="R136" s="4" t="n"/>
      <c r="S136" s="4" t="n"/>
      <c r="T136" s="6" t="n"/>
      <c r="U136" s="6" t="n"/>
      <c r="V136" s="6" t="n"/>
      <c r="W136" s="6" t="n"/>
      <c r="X136" s="6" t="n"/>
    </row>
    <row r="137" ht="14" customHeight="1" s="250">
      <c r="A137" s="4" t="n"/>
      <c r="B137" s="5" t="n"/>
      <c r="C137" s="4" t="n"/>
      <c r="D137" s="4" t="n"/>
      <c r="E137" s="4" t="n"/>
      <c r="F137" s="4" t="n"/>
      <c r="G137" s="4" t="n"/>
      <c r="H137" s="4" t="n"/>
      <c r="I137" s="4" t="n"/>
      <c r="J137" s="4" t="n"/>
      <c r="K137" s="4" t="n"/>
      <c r="L137" s="4" t="n"/>
      <c r="M137" s="4" t="n"/>
      <c r="N137" s="4" t="n"/>
      <c r="O137" s="4" t="n"/>
      <c r="P137" s="4" t="n"/>
      <c r="Q137" s="4" t="n"/>
      <c r="R137" s="4" t="n"/>
      <c r="S137" s="4" t="n"/>
      <c r="T137" s="6" t="n"/>
      <c r="U137" s="6" t="n"/>
      <c r="V137" s="6" t="n"/>
      <c r="W137" s="6" t="n"/>
      <c r="X137" s="6" t="n"/>
    </row>
    <row r="138" ht="14" customHeight="1" s="250">
      <c r="A138" s="4" t="n"/>
      <c r="B138" s="5" t="n"/>
      <c r="C138" s="4" t="n"/>
      <c r="D138" s="4" t="n"/>
      <c r="E138" s="4" t="n"/>
      <c r="F138" s="4" t="n"/>
      <c r="G138" s="4" t="n"/>
      <c r="H138" s="4" t="n"/>
      <c r="I138" s="4" t="n"/>
      <c r="J138" s="4" t="n"/>
      <c r="K138" s="4" t="n"/>
      <c r="L138" s="4" t="n"/>
      <c r="M138" s="4" t="n"/>
      <c r="N138" s="4" t="n"/>
      <c r="O138" s="4" t="n"/>
      <c r="P138" s="4" t="n"/>
      <c r="Q138" s="4" t="n"/>
      <c r="R138" s="4" t="n"/>
      <c r="S138" s="4" t="n"/>
      <c r="T138" s="6" t="n"/>
      <c r="U138" s="6" t="n"/>
      <c r="V138" s="6" t="n"/>
      <c r="W138" s="6" t="n"/>
      <c r="X138" s="6" t="n"/>
    </row>
    <row r="139" ht="14" customHeight="1" s="250">
      <c r="A139" s="4" t="n"/>
      <c r="B139" s="5" t="n"/>
      <c r="C139" s="4" t="n"/>
      <c r="D139" s="4" t="n"/>
      <c r="E139" s="4" t="n"/>
      <c r="F139" s="4" t="n"/>
      <c r="G139" s="4" t="n"/>
      <c r="H139" s="4" t="n"/>
      <c r="I139" s="4" t="n"/>
      <c r="J139" s="4" t="n"/>
      <c r="K139" s="4" t="n"/>
      <c r="L139" s="4" t="n"/>
      <c r="M139" s="4" t="n"/>
      <c r="N139" s="4" t="n"/>
      <c r="O139" s="4" t="n"/>
      <c r="P139" s="4" t="n"/>
      <c r="Q139" s="4" t="n"/>
      <c r="R139" s="4" t="n"/>
      <c r="S139" s="4" t="n"/>
      <c r="T139" s="6" t="n"/>
      <c r="U139" s="6" t="n"/>
      <c r="V139" s="6" t="n"/>
      <c r="W139" s="6" t="n"/>
      <c r="X139" s="6" t="n"/>
    </row>
    <row r="140" ht="14" customHeight="1" s="250">
      <c r="A140" s="4" t="n"/>
      <c r="B140" s="5" t="n"/>
      <c r="C140" s="4" t="n"/>
      <c r="D140" s="4" t="n"/>
      <c r="E140" s="4" t="n"/>
      <c r="F140" s="4" t="n"/>
      <c r="G140" s="4" t="n"/>
      <c r="H140" s="4" t="n"/>
      <c r="I140" s="4" t="n"/>
      <c r="J140" s="4" t="n"/>
      <c r="K140" s="4" t="n"/>
      <c r="L140" s="4" t="n"/>
      <c r="M140" s="4" t="n"/>
      <c r="N140" s="4" t="n"/>
      <c r="O140" s="4" t="n"/>
      <c r="P140" s="4" t="n"/>
      <c r="Q140" s="4" t="n"/>
      <c r="R140" s="4" t="n"/>
      <c r="S140" s="4" t="n"/>
      <c r="T140" s="6" t="n"/>
      <c r="U140" s="6" t="n"/>
      <c r="V140" s="6" t="n"/>
      <c r="W140" s="6" t="n"/>
      <c r="X140" s="6" t="n"/>
    </row>
    <row r="141" ht="14" customHeight="1" s="250">
      <c r="A141" s="4" t="n"/>
      <c r="B141" s="5" t="n"/>
      <c r="C141" s="4" t="n"/>
      <c r="D141" s="4" t="n"/>
      <c r="E141" s="4" t="n"/>
      <c r="F141" s="4" t="n"/>
      <c r="G141" s="4" t="n"/>
      <c r="H141" s="4" t="n"/>
      <c r="I141" s="4" t="n"/>
      <c r="J141" s="4" t="n"/>
      <c r="K141" s="4" t="n"/>
      <c r="L141" s="4" t="n"/>
      <c r="M141" s="4" t="n"/>
      <c r="N141" s="4" t="n"/>
      <c r="O141" s="4" t="n"/>
      <c r="P141" s="4" t="n"/>
      <c r="Q141" s="4" t="n"/>
      <c r="R141" s="4" t="n"/>
      <c r="S141" s="4" t="n"/>
      <c r="T141" s="6" t="n"/>
      <c r="U141" s="6" t="n"/>
      <c r="V141" s="6" t="n"/>
      <c r="W141" s="6" t="n"/>
      <c r="X141" s="6" t="n"/>
    </row>
    <row r="142" ht="14" customHeight="1" s="250">
      <c r="A142" s="4" t="n"/>
      <c r="B142" s="5" t="n"/>
      <c r="C142" s="4" t="n"/>
      <c r="D142" s="4" t="n"/>
      <c r="E142" s="4" t="n"/>
      <c r="F142" s="4" t="n"/>
      <c r="G142" s="4" t="n"/>
      <c r="H142" s="4" t="n"/>
      <c r="I142" s="4" t="n"/>
      <c r="J142" s="4" t="n"/>
      <c r="K142" s="4" t="n"/>
      <c r="L142" s="4" t="n"/>
      <c r="M142" s="4" t="n"/>
      <c r="N142" s="4" t="n"/>
      <c r="O142" s="4" t="n"/>
      <c r="P142" s="4" t="n"/>
      <c r="Q142" s="4" t="n"/>
      <c r="R142" s="4" t="n"/>
      <c r="S142" s="4" t="n"/>
      <c r="T142" s="6" t="n"/>
      <c r="U142" s="6" t="n"/>
      <c r="V142" s="6" t="n"/>
      <c r="W142" s="6" t="n"/>
      <c r="X142" s="6" t="n"/>
    </row>
    <row r="143" ht="14" customHeight="1" s="250">
      <c r="A143" s="4" t="n"/>
      <c r="B143" s="5" t="n"/>
      <c r="C143" s="4" t="n"/>
      <c r="D143" s="4" t="n"/>
      <c r="E143" s="4" t="n"/>
      <c r="F143" s="4" t="n"/>
      <c r="G143" s="4" t="n"/>
      <c r="H143" s="4" t="n"/>
      <c r="I143" s="4" t="n"/>
      <c r="J143" s="4" t="n"/>
      <c r="K143" s="4" t="n"/>
      <c r="L143" s="4" t="n"/>
      <c r="M143" s="4" t="n"/>
      <c r="N143" s="4" t="n"/>
      <c r="O143" s="4" t="n"/>
      <c r="P143" s="4" t="n"/>
      <c r="Q143" s="4" t="n"/>
      <c r="R143" s="4" t="n"/>
      <c r="S143" s="4" t="n"/>
      <c r="T143" s="6" t="n"/>
      <c r="U143" s="6" t="n"/>
      <c r="V143" s="6" t="n"/>
      <c r="W143" s="6" t="n"/>
      <c r="X143" s="6" t="n"/>
    </row>
    <row r="144" ht="14" customHeight="1" s="250">
      <c r="A144" s="4" t="n"/>
      <c r="B144" s="5" t="n"/>
      <c r="C144" s="4" t="n"/>
      <c r="D144" s="4" t="n"/>
      <c r="E144" s="4" t="n"/>
      <c r="F144" s="4" t="n"/>
      <c r="G144" s="4" t="n"/>
      <c r="H144" s="4" t="n"/>
      <c r="I144" s="4" t="n"/>
      <c r="J144" s="4" t="n"/>
      <c r="K144" s="4" t="n"/>
      <c r="L144" s="4" t="n"/>
      <c r="M144" s="4" t="n"/>
      <c r="N144" s="4" t="n"/>
      <c r="O144" s="4" t="n"/>
      <c r="P144" s="4" t="n"/>
      <c r="Q144" s="4" t="n"/>
      <c r="R144" s="4" t="n"/>
      <c r="S144" s="4" t="n"/>
      <c r="T144" s="6" t="n"/>
      <c r="U144" s="6" t="n"/>
      <c r="V144" s="6" t="n"/>
      <c r="W144" s="6" t="n"/>
      <c r="X144" s="6" t="n"/>
    </row>
    <row r="145" ht="14" customHeight="1" s="250">
      <c r="A145" s="4" t="n"/>
      <c r="B145" s="5" t="n"/>
      <c r="C145" s="4" t="n"/>
      <c r="D145" s="4" t="n"/>
      <c r="E145" s="4" t="n"/>
      <c r="F145" s="4" t="n"/>
      <c r="G145" s="4" t="n"/>
      <c r="H145" s="4" t="n"/>
      <c r="I145" s="4" t="n"/>
      <c r="J145" s="4" t="n"/>
      <c r="K145" s="4" t="n"/>
      <c r="L145" s="4" t="n"/>
      <c r="M145" s="4" t="n"/>
      <c r="N145" s="4" t="n"/>
      <c r="O145" s="4" t="n"/>
      <c r="P145" s="4" t="n"/>
      <c r="Q145" s="4" t="n"/>
      <c r="R145" s="4" t="n"/>
      <c r="S145" s="4" t="n"/>
      <c r="T145" s="6" t="n"/>
      <c r="U145" s="6" t="n"/>
      <c r="V145" s="6" t="n"/>
      <c r="W145" s="6" t="n"/>
      <c r="X145" s="6" t="n"/>
    </row>
    <row r="146" ht="14" customHeight="1" s="250">
      <c r="A146" s="4" t="n"/>
      <c r="B146" s="5" t="n"/>
      <c r="C146" s="4" t="n"/>
      <c r="D146" s="4" t="n"/>
      <c r="E146" s="4" t="n"/>
      <c r="F146" s="4" t="n"/>
      <c r="G146" s="4" t="n"/>
      <c r="H146" s="4" t="n"/>
      <c r="I146" s="4" t="n"/>
      <c r="J146" s="4" t="n"/>
      <c r="K146" s="4" t="n"/>
      <c r="L146" s="4" t="n"/>
      <c r="M146" s="4" t="n"/>
      <c r="N146" s="4" t="n"/>
      <c r="O146" s="4" t="n"/>
      <c r="P146" s="4" t="n"/>
      <c r="Q146" s="4" t="n"/>
      <c r="R146" s="4" t="n"/>
      <c r="S146" s="4" t="n"/>
      <c r="T146" s="6" t="n"/>
      <c r="U146" s="6" t="n"/>
      <c r="V146" s="6" t="n"/>
      <c r="W146" s="6" t="n"/>
      <c r="X146" s="6" t="n"/>
    </row>
    <row r="147" ht="14" customHeight="1" s="250">
      <c r="A147" s="4" t="n"/>
      <c r="B147" s="5" t="n"/>
      <c r="C147" s="4" t="n"/>
      <c r="D147" s="4" t="n"/>
      <c r="E147" s="4" t="n"/>
      <c r="F147" s="4" t="n"/>
      <c r="G147" s="4" t="n"/>
      <c r="H147" s="4" t="n"/>
      <c r="I147" s="4" t="n"/>
      <c r="J147" s="4" t="n"/>
      <c r="K147" s="4" t="n"/>
      <c r="L147" s="4" t="n"/>
      <c r="M147" s="4" t="n"/>
      <c r="N147" s="4" t="n"/>
      <c r="O147" s="4" t="n"/>
      <c r="P147" s="4" t="n"/>
      <c r="Q147" s="4" t="n"/>
      <c r="R147" s="4" t="n"/>
      <c r="S147" s="4" t="n"/>
      <c r="T147" s="6" t="n"/>
      <c r="U147" s="6" t="n"/>
      <c r="V147" s="6" t="n"/>
      <c r="W147" s="6" t="n"/>
      <c r="X147" s="6" t="n"/>
    </row>
    <row r="148" ht="14" customHeight="1" s="250">
      <c r="A148" s="4" t="n"/>
      <c r="B148" s="5" t="n"/>
      <c r="C148" s="4" t="n"/>
      <c r="D148" s="4" t="n"/>
      <c r="E148" s="4" t="n"/>
      <c r="F148" s="4" t="n"/>
      <c r="G148" s="4" t="n"/>
      <c r="H148" s="4" t="n"/>
      <c r="I148" s="4" t="n"/>
      <c r="J148" s="4" t="n"/>
      <c r="K148" s="4" t="n"/>
      <c r="L148" s="4" t="n"/>
      <c r="M148" s="4" t="n"/>
      <c r="N148" s="4" t="n"/>
      <c r="O148" s="4" t="n"/>
      <c r="P148" s="4" t="n"/>
      <c r="Q148" s="4" t="n"/>
      <c r="R148" s="4" t="n"/>
      <c r="S148" s="4" t="n"/>
      <c r="T148" s="6" t="n"/>
      <c r="U148" s="6" t="n"/>
      <c r="V148" s="6" t="n"/>
      <c r="W148" s="6" t="n"/>
      <c r="X148" s="6" t="n"/>
    </row>
    <row r="149" ht="14" customHeight="1" s="250">
      <c r="A149" s="4" t="n"/>
      <c r="B149" s="5" t="n"/>
      <c r="C149" s="4" t="n"/>
      <c r="D149" s="4" t="n"/>
      <c r="E149" s="4" t="n"/>
      <c r="F149" s="4" t="n"/>
      <c r="G149" s="4" t="n"/>
      <c r="H149" s="4" t="n"/>
      <c r="I149" s="4" t="n"/>
      <c r="J149" s="4" t="n"/>
      <c r="K149" s="4" t="n"/>
      <c r="L149" s="4" t="n"/>
      <c r="M149" s="4" t="n"/>
      <c r="N149" s="4" t="n"/>
      <c r="O149" s="4" t="n"/>
      <c r="P149" s="4" t="n"/>
      <c r="Q149" s="4" t="n"/>
      <c r="R149" s="4" t="n"/>
      <c r="S149" s="4" t="n"/>
      <c r="T149" s="6" t="n"/>
      <c r="U149" s="6" t="n"/>
      <c r="V149" s="6" t="n"/>
      <c r="W149" s="6" t="n"/>
      <c r="X149" s="6" t="n"/>
    </row>
    <row r="150" ht="14" customHeight="1" s="250">
      <c r="A150" s="4" t="n"/>
      <c r="B150" s="5" t="n"/>
      <c r="C150" s="4" t="n"/>
      <c r="D150" s="4" t="n"/>
      <c r="E150" s="4" t="n"/>
      <c r="F150" s="4" t="n"/>
      <c r="G150" s="4" t="n"/>
      <c r="H150" s="4" t="n"/>
      <c r="I150" s="4" t="n"/>
      <c r="J150" s="4" t="n"/>
      <c r="K150" s="4" t="n"/>
      <c r="L150" s="4" t="n"/>
      <c r="M150" s="4" t="n"/>
      <c r="N150" s="4" t="n"/>
      <c r="O150" s="4" t="n"/>
      <c r="P150" s="4" t="n"/>
      <c r="Q150" s="4" t="n"/>
      <c r="R150" s="4" t="n"/>
      <c r="S150" s="4" t="n"/>
      <c r="T150" s="6" t="n"/>
      <c r="U150" s="6" t="n"/>
      <c r="V150" s="6" t="n"/>
      <c r="W150" s="6" t="n"/>
      <c r="X150" s="6" t="n"/>
    </row>
    <row r="151" ht="14" customHeight="1" s="250">
      <c r="A151" s="4" t="n"/>
      <c r="B151" s="5" t="n"/>
      <c r="C151" s="4" t="n"/>
      <c r="D151" s="4" t="n"/>
      <c r="E151" s="4" t="n"/>
      <c r="F151" s="4" t="n"/>
      <c r="G151" s="4" t="n"/>
      <c r="H151" s="4" t="n"/>
      <c r="I151" s="4" t="n"/>
      <c r="J151" s="4" t="n"/>
      <c r="K151" s="4" t="n"/>
      <c r="L151" s="4" t="n"/>
      <c r="M151" s="4" t="n"/>
      <c r="N151" s="4" t="n"/>
      <c r="O151" s="4" t="n"/>
      <c r="P151" s="4" t="n"/>
      <c r="Q151" s="4" t="n"/>
      <c r="R151" s="4" t="n"/>
      <c r="S151" s="4" t="n"/>
      <c r="T151" s="6" t="n"/>
      <c r="U151" s="6" t="n"/>
      <c r="V151" s="6" t="n"/>
      <c r="W151" s="6" t="n"/>
      <c r="X151" s="6" t="n"/>
    </row>
    <row r="152" ht="14" customHeight="1" s="250">
      <c r="A152" s="4" t="n"/>
      <c r="B152" s="5" t="n"/>
      <c r="C152" s="4" t="n"/>
      <c r="D152" s="4" t="n"/>
      <c r="E152" s="4" t="n"/>
      <c r="F152" s="4" t="n"/>
      <c r="G152" s="4" t="n"/>
      <c r="H152" s="4" t="n"/>
      <c r="I152" s="4" t="n"/>
      <c r="J152" s="4" t="n"/>
      <c r="K152" s="4" t="n"/>
      <c r="L152" s="4" t="n"/>
      <c r="M152" s="4" t="n"/>
      <c r="N152" s="4" t="n"/>
      <c r="O152" s="4" t="n"/>
      <c r="P152" s="4" t="n"/>
      <c r="Q152" s="4" t="n"/>
      <c r="R152" s="4" t="n"/>
      <c r="S152" s="4" t="n"/>
      <c r="T152" s="6" t="n"/>
      <c r="U152" s="6" t="n"/>
      <c r="V152" s="6" t="n"/>
      <c r="W152" s="6" t="n"/>
      <c r="X152" s="6" t="n"/>
    </row>
    <row r="153" ht="14" customHeight="1" s="250">
      <c r="A153" s="4" t="n"/>
      <c r="B153" s="5" t="n"/>
      <c r="C153" s="4" t="n"/>
      <c r="D153" s="4" t="n"/>
      <c r="E153" s="4" t="n"/>
      <c r="F153" s="4" t="n"/>
      <c r="G153" s="4" t="n"/>
      <c r="H153" s="4" t="n"/>
      <c r="I153" s="4" t="n"/>
      <c r="J153" s="4" t="n"/>
      <c r="K153" s="4" t="n"/>
      <c r="L153" s="4" t="n"/>
      <c r="M153" s="4" t="n"/>
      <c r="N153" s="4" t="n"/>
      <c r="O153" s="4" t="n"/>
      <c r="P153" s="4" t="n"/>
      <c r="Q153" s="4" t="n"/>
      <c r="R153" s="4" t="n"/>
      <c r="S153" s="4" t="n"/>
      <c r="T153" s="6" t="n"/>
      <c r="U153" s="6" t="n"/>
      <c r="V153" s="6" t="n"/>
      <c r="W153" s="6" t="n"/>
      <c r="X153" s="6" t="n"/>
    </row>
    <row r="154" ht="14" customHeight="1" s="250">
      <c r="A154" s="4" t="n"/>
      <c r="B154" s="5" t="n"/>
      <c r="C154" s="4" t="n"/>
      <c r="D154" s="4" t="n"/>
      <c r="E154" s="4" t="n"/>
      <c r="F154" s="4" t="n"/>
      <c r="G154" s="4" t="n"/>
      <c r="H154" s="4" t="n"/>
      <c r="I154" s="4" t="n"/>
      <c r="J154" s="4" t="n"/>
      <c r="K154" s="4" t="n"/>
      <c r="L154" s="4" t="n"/>
      <c r="M154" s="4" t="n"/>
      <c r="N154" s="4" t="n"/>
      <c r="O154" s="4" t="n"/>
      <c r="P154" s="4" t="n"/>
      <c r="Q154" s="4" t="n"/>
      <c r="R154" s="4" t="n"/>
      <c r="S154" s="4" t="n"/>
      <c r="T154" s="6" t="n"/>
      <c r="U154" s="6" t="n"/>
      <c r="V154" s="6" t="n"/>
      <c r="W154" s="6" t="n"/>
      <c r="X154" s="6" t="n"/>
    </row>
    <row r="155" ht="14" customHeight="1" s="250">
      <c r="A155" s="4" t="n"/>
      <c r="B155" s="5" t="n"/>
      <c r="C155" s="4" t="n"/>
      <c r="D155" s="4" t="n"/>
      <c r="E155" s="4" t="n"/>
      <c r="F155" s="4" t="n"/>
      <c r="G155" s="4" t="n"/>
      <c r="H155" s="4" t="n"/>
      <c r="I155" s="4" t="n"/>
      <c r="J155" s="4" t="n"/>
      <c r="K155" s="4" t="n"/>
      <c r="L155" s="4" t="n"/>
      <c r="M155" s="4" t="n"/>
      <c r="N155" s="4" t="n"/>
      <c r="O155" s="4" t="n"/>
      <c r="P155" s="4" t="n"/>
      <c r="Q155" s="4" t="n"/>
      <c r="R155" s="4" t="n"/>
      <c r="S155" s="4" t="n"/>
      <c r="T155" s="6" t="n"/>
      <c r="U155" s="6" t="n"/>
      <c r="V155" s="6" t="n"/>
      <c r="W155" s="6" t="n"/>
      <c r="X155" s="6" t="n"/>
    </row>
    <row r="156" ht="14" customHeight="1" s="250">
      <c r="A156" s="4" t="n"/>
      <c r="B156" s="5" t="n"/>
      <c r="C156" s="4" t="n"/>
      <c r="D156" s="4" t="n"/>
      <c r="E156" s="4" t="n"/>
      <c r="F156" s="4" t="n"/>
      <c r="G156" s="4" t="n"/>
      <c r="H156" s="4" t="n"/>
      <c r="I156" s="4" t="n"/>
      <c r="J156" s="4" t="n"/>
      <c r="K156" s="4" t="n"/>
      <c r="L156" s="4" t="n"/>
      <c r="M156" s="4" t="n"/>
      <c r="N156" s="4" t="n"/>
      <c r="O156" s="4" t="n"/>
      <c r="P156" s="4" t="n"/>
      <c r="Q156" s="4" t="n"/>
      <c r="R156" s="4" t="n"/>
      <c r="S156" s="4" t="n"/>
      <c r="T156" s="6" t="n"/>
      <c r="U156" s="6" t="n"/>
      <c r="V156" s="6" t="n"/>
      <c r="W156" s="6" t="n"/>
      <c r="X156" s="6" t="n"/>
    </row>
    <row r="157" ht="14" customHeight="1" s="250">
      <c r="A157" s="4" t="n"/>
      <c r="B157" s="5" t="n"/>
      <c r="C157" s="4" t="n"/>
      <c r="D157" s="4" t="n"/>
      <c r="E157" s="4" t="n"/>
      <c r="F157" s="4" t="n"/>
      <c r="G157" s="4" t="n"/>
      <c r="H157" s="4" t="n"/>
      <c r="I157" s="4" t="n"/>
      <c r="J157" s="4" t="n"/>
      <c r="K157" s="4" t="n"/>
      <c r="L157" s="4" t="n"/>
      <c r="M157" s="4" t="n"/>
      <c r="N157" s="4" t="n"/>
      <c r="O157" s="4" t="n"/>
      <c r="P157" s="4" t="n"/>
      <c r="Q157" s="4" t="n"/>
      <c r="R157" s="4" t="n"/>
      <c r="S157" s="4" t="n"/>
      <c r="T157" s="6" t="n"/>
      <c r="U157" s="6" t="n"/>
      <c r="V157" s="6" t="n"/>
      <c r="W157" s="6" t="n"/>
      <c r="X157" s="6" t="n"/>
    </row>
    <row r="158" ht="14" customHeight="1" s="250">
      <c r="A158" s="4" t="n"/>
      <c r="B158" s="5" t="n"/>
      <c r="C158" s="4" t="n"/>
      <c r="D158" s="4" t="n"/>
      <c r="E158" s="4" t="n"/>
      <c r="F158" s="4" t="n"/>
      <c r="G158" s="4" t="n"/>
      <c r="H158" s="4" t="n"/>
      <c r="I158" s="4" t="n"/>
      <c r="J158" s="4" t="n"/>
      <c r="K158" s="4" t="n"/>
      <c r="L158" s="4" t="n"/>
      <c r="M158" s="4" t="n"/>
      <c r="N158" s="4" t="n"/>
      <c r="O158" s="4" t="n"/>
      <c r="P158" s="4" t="n"/>
      <c r="Q158" s="4" t="n"/>
      <c r="R158" s="4" t="n"/>
      <c r="S158" s="4" t="n"/>
      <c r="T158" s="6" t="n"/>
      <c r="U158" s="6" t="n"/>
      <c r="V158" s="6" t="n"/>
      <c r="W158" s="6" t="n"/>
      <c r="X158" s="6" t="n"/>
    </row>
    <row r="159" ht="14" customHeight="1" s="250">
      <c r="A159" s="4" t="n"/>
      <c r="B159" s="5" t="n"/>
      <c r="C159" s="4" t="n"/>
      <c r="D159" s="4" t="n"/>
      <c r="E159" s="4" t="n"/>
      <c r="F159" s="4" t="n"/>
      <c r="G159" s="4" t="n"/>
      <c r="H159" s="4" t="n"/>
      <c r="I159" s="4" t="n"/>
      <c r="J159" s="4" t="n"/>
      <c r="K159" s="4" t="n"/>
      <c r="L159" s="4" t="n"/>
      <c r="M159" s="4" t="n"/>
      <c r="N159" s="4" t="n"/>
      <c r="O159" s="4" t="n"/>
      <c r="P159" s="4" t="n"/>
      <c r="Q159" s="4" t="n"/>
      <c r="R159" s="4" t="n"/>
      <c r="S159" s="4" t="n"/>
      <c r="T159" s="6" t="n"/>
      <c r="U159" s="6" t="n"/>
      <c r="V159" s="6" t="n"/>
      <c r="W159" s="6" t="n"/>
      <c r="X159" s="6" t="n"/>
    </row>
    <row r="160" ht="14" customHeight="1" s="250">
      <c r="A160" s="4" t="n"/>
      <c r="B160" s="5" t="n"/>
      <c r="C160" s="4" t="n"/>
      <c r="D160" s="4" t="n"/>
      <c r="E160" s="4" t="n"/>
      <c r="F160" s="4" t="n"/>
      <c r="G160" s="4" t="n"/>
      <c r="H160" s="4" t="n"/>
      <c r="I160" s="4" t="n"/>
      <c r="J160" s="4" t="n"/>
      <c r="K160" s="4" t="n"/>
      <c r="L160" s="4" t="n"/>
      <c r="M160" s="4" t="n"/>
      <c r="N160" s="4" t="n"/>
      <c r="O160" s="4" t="n"/>
      <c r="P160" s="4" t="n"/>
      <c r="Q160" s="4" t="n"/>
      <c r="R160" s="4" t="n"/>
      <c r="S160" s="4" t="n"/>
      <c r="T160" s="6" t="n"/>
      <c r="U160" s="6" t="n"/>
      <c r="V160" s="6" t="n"/>
      <c r="W160" s="6" t="n"/>
      <c r="X160" s="6" t="n"/>
    </row>
    <row r="161" ht="14" customHeight="1" s="250">
      <c r="A161" s="4" t="n"/>
      <c r="B161" s="5" t="n"/>
      <c r="C161" s="4" t="n"/>
      <c r="D161" s="4" t="n"/>
      <c r="E161" s="4" t="n"/>
      <c r="F161" s="4" t="n"/>
      <c r="G161" s="4" t="n"/>
      <c r="H161" s="4" t="n"/>
      <c r="I161" s="4" t="n"/>
      <c r="J161" s="4" t="n"/>
      <c r="K161" s="4" t="n"/>
      <c r="L161" s="4" t="n"/>
      <c r="M161" s="4" t="n"/>
      <c r="N161" s="4" t="n"/>
      <c r="O161" s="4" t="n"/>
      <c r="P161" s="4" t="n"/>
      <c r="Q161" s="4" t="n"/>
      <c r="R161" s="4" t="n"/>
      <c r="S161" s="4" t="n"/>
      <c r="T161" s="6" t="n"/>
      <c r="U161" s="6" t="n"/>
      <c r="V161" s="6" t="n"/>
      <c r="W161" s="6" t="n"/>
      <c r="X161" s="6" t="n"/>
    </row>
    <row r="162" ht="14" customHeight="1" s="250">
      <c r="A162" s="4" t="n"/>
      <c r="B162" s="5" t="n"/>
      <c r="C162" s="4" t="n"/>
      <c r="D162" s="4" t="n"/>
      <c r="E162" s="4" t="n"/>
      <c r="F162" s="4" t="n"/>
      <c r="G162" s="4" t="n"/>
      <c r="H162" s="4" t="n"/>
      <c r="I162" s="4" t="n"/>
      <c r="J162" s="4" t="n"/>
      <c r="K162" s="4" t="n"/>
      <c r="L162" s="4" t="n"/>
      <c r="M162" s="4" t="n"/>
      <c r="N162" s="4" t="n"/>
      <c r="O162" s="4" t="n"/>
      <c r="P162" s="4" t="n"/>
      <c r="Q162" s="4" t="n"/>
      <c r="R162" s="4" t="n"/>
      <c r="S162" s="4" t="n"/>
      <c r="T162" s="6" t="n"/>
      <c r="U162" s="6" t="n"/>
      <c r="V162" s="6" t="n"/>
      <c r="W162" s="6" t="n"/>
      <c r="X162" s="6" t="n"/>
    </row>
    <row r="163" ht="14" customHeight="1" s="250">
      <c r="A163" s="4" t="n"/>
      <c r="B163" s="5" t="n"/>
      <c r="C163" s="4" t="n"/>
      <c r="D163" s="4" t="n"/>
      <c r="E163" s="4" t="n"/>
      <c r="F163" s="4" t="n"/>
      <c r="G163" s="4" t="n"/>
      <c r="H163" s="4" t="n"/>
      <c r="I163" s="4" t="n"/>
      <c r="J163" s="4" t="n"/>
      <c r="K163" s="4" t="n"/>
      <c r="L163" s="4" t="n"/>
      <c r="M163" s="4" t="n"/>
      <c r="N163" s="4" t="n"/>
      <c r="O163" s="4" t="n"/>
      <c r="P163" s="4" t="n"/>
      <c r="Q163" s="4" t="n"/>
      <c r="R163" s="4" t="n"/>
      <c r="S163" s="4" t="n"/>
      <c r="T163" s="6" t="n"/>
      <c r="U163" s="6" t="n"/>
      <c r="V163" s="6" t="n"/>
      <c r="W163" s="6" t="n"/>
      <c r="X163" s="6" t="n"/>
    </row>
    <row r="164" ht="14" customHeight="1" s="250">
      <c r="A164" s="4" t="n"/>
      <c r="B164" s="5" t="n"/>
      <c r="C164" s="4" t="n"/>
      <c r="D164" s="4" t="n"/>
      <c r="E164" s="4" t="n"/>
      <c r="F164" s="4" t="n"/>
      <c r="G164" s="4" t="n"/>
      <c r="H164" s="4" t="n"/>
      <c r="I164" s="4" t="n"/>
      <c r="J164" s="4" t="n"/>
      <c r="K164" s="4" t="n"/>
      <c r="L164" s="4" t="n"/>
      <c r="M164" s="4" t="n"/>
      <c r="N164" s="4" t="n"/>
      <c r="O164" s="4" t="n"/>
      <c r="P164" s="4" t="n"/>
      <c r="Q164" s="4" t="n"/>
      <c r="R164" s="4" t="n"/>
      <c r="S164" s="4" t="n"/>
      <c r="T164" s="6" t="n"/>
      <c r="U164" s="6" t="n"/>
      <c r="V164" s="6" t="n"/>
      <c r="W164" s="6" t="n"/>
      <c r="X164" s="6" t="n"/>
    </row>
    <row r="165" ht="14" customHeight="1" s="250">
      <c r="A165" s="4" t="n"/>
      <c r="B165" s="5" t="n"/>
      <c r="C165" s="4" t="n"/>
      <c r="D165" s="4" t="n"/>
      <c r="E165" s="4" t="n"/>
      <c r="F165" s="4" t="n"/>
      <c r="G165" s="4" t="n"/>
      <c r="H165" s="4" t="n"/>
      <c r="I165" s="4" t="n"/>
      <c r="J165" s="4" t="n"/>
      <c r="K165" s="4" t="n"/>
      <c r="L165" s="4" t="n"/>
      <c r="M165" s="4" t="n"/>
      <c r="N165" s="4" t="n"/>
      <c r="O165" s="4" t="n"/>
      <c r="P165" s="4" t="n"/>
      <c r="Q165" s="4" t="n"/>
      <c r="R165" s="4" t="n"/>
      <c r="S165" s="4" t="n"/>
      <c r="T165" s="6" t="n"/>
      <c r="U165" s="6" t="n"/>
      <c r="V165" s="6" t="n"/>
      <c r="W165" s="6" t="n"/>
      <c r="X165" s="6" t="n"/>
    </row>
    <row r="166" ht="14" customHeight="1" s="250">
      <c r="A166" s="4" t="n"/>
      <c r="B166" s="5" t="n"/>
      <c r="C166" s="4" t="n"/>
      <c r="D166" s="4" t="n"/>
      <c r="E166" s="4" t="n"/>
      <c r="F166" s="4" t="n"/>
      <c r="G166" s="4" t="n"/>
      <c r="H166" s="4" t="n"/>
      <c r="I166" s="4" t="n"/>
      <c r="J166" s="4" t="n"/>
      <c r="K166" s="4" t="n"/>
      <c r="L166" s="4" t="n"/>
      <c r="M166" s="4" t="n"/>
      <c r="N166" s="4" t="n"/>
      <c r="O166" s="4" t="n"/>
      <c r="P166" s="4" t="n"/>
      <c r="Q166" s="4" t="n"/>
      <c r="R166" s="4" t="n"/>
      <c r="S166" s="4" t="n"/>
      <c r="T166" s="6" t="n"/>
      <c r="U166" s="6" t="n"/>
      <c r="V166" s="6" t="n"/>
      <c r="W166" s="6" t="n"/>
      <c r="X166" s="6" t="n"/>
    </row>
    <row r="167" ht="14" customHeight="1" s="250">
      <c r="A167" s="4" t="n"/>
      <c r="B167" s="5" t="n"/>
      <c r="C167" s="4" t="n"/>
      <c r="D167" s="4" t="n"/>
      <c r="E167" s="4" t="n"/>
      <c r="F167" s="4" t="n"/>
      <c r="G167" s="4" t="n"/>
      <c r="H167" s="4" t="n"/>
      <c r="I167" s="4" t="n"/>
      <c r="J167" s="4" t="n"/>
      <c r="K167" s="4" t="n"/>
      <c r="L167" s="4" t="n"/>
      <c r="M167" s="4" t="n"/>
      <c r="N167" s="4" t="n"/>
      <c r="O167" s="4" t="n"/>
      <c r="P167" s="4" t="n"/>
      <c r="Q167" s="4" t="n"/>
      <c r="R167" s="4" t="n"/>
      <c r="S167" s="4" t="n"/>
      <c r="T167" s="6" t="n"/>
      <c r="U167" s="6" t="n"/>
      <c r="V167" s="6" t="n"/>
      <c r="W167" s="6" t="n"/>
      <c r="X167" s="6" t="n"/>
    </row>
    <row r="168" ht="14" customHeight="1" s="250">
      <c r="A168" s="4" t="n"/>
      <c r="B168" s="5" t="n"/>
      <c r="C168" s="4" t="n"/>
      <c r="D168" s="4" t="n"/>
      <c r="E168" s="4" t="n"/>
      <c r="F168" s="4" t="n"/>
      <c r="G168" s="4" t="n"/>
      <c r="H168" s="4" t="n"/>
      <c r="I168" s="4" t="n"/>
      <c r="J168" s="4" t="n"/>
      <c r="K168" s="4" t="n"/>
      <c r="L168" s="4" t="n"/>
      <c r="M168" s="4" t="n"/>
      <c r="N168" s="4" t="n"/>
      <c r="O168" s="4" t="n"/>
      <c r="P168" s="4" t="n"/>
      <c r="Q168" s="4" t="n"/>
      <c r="R168" s="4" t="n"/>
      <c r="S168" s="4" t="n"/>
      <c r="T168" s="6" t="n"/>
      <c r="U168" s="6" t="n"/>
      <c r="V168" s="6" t="n"/>
      <c r="W168" s="6" t="n"/>
      <c r="X168" s="6" t="n"/>
    </row>
    <row r="169" ht="14" customHeight="1" s="250">
      <c r="A169" s="4" t="n"/>
      <c r="B169" s="5" t="n"/>
      <c r="C169" s="4" t="n"/>
      <c r="D169" s="4" t="n"/>
      <c r="E169" s="4" t="n"/>
      <c r="F169" s="4" t="n"/>
      <c r="G169" s="4" t="n"/>
      <c r="H169" s="4" t="n"/>
      <c r="I169" s="4" t="n"/>
      <c r="J169" s="4" t="n"/>
      <c r="K169" s="4" t="n"/>
      <c r="L169" s="4" t="n"/>
      <c r="M169" s="4" t="n"/>
      <c r="N169" s="4" t="n"/>
      <c r="O169" s="4" t="n"/>
      <c r="P169" s="4" t="n"/>
      <c r="Q169" s="4" t="n"/>
      <c r="R169" s="4" t="n"/>
      <c r="S169" s="4" t="n"/>
      <c r="T169" s="6" t="n"/>
      <c r="U169" s="6" t="n"/>
      <c r="V169" s="6" t="n"/>
      <c r="W169" s="6" t="n"/>
      <c r="X169" s="6" t="n"/>
    </row>
    <row r="170" ht="14" customHeight="1" s="250">
      <c r="A170" s="4" t="n"/>
      <c r="B170" s="5" t="n"/>
      <c r="C170" s="4" t="n"/>
      <c r="D170" s="4" t="n"/>
      <c r="E170" s="4" t="n"/>
      <c r="F170" s="4" t="n"/>
      <c r="G170" s="4" t="n"/>
      <c r="H170" s="4" t="n"/>
      <c r="I170" s="4" t="n"/>
      <c r="J170" s="4" t="n"/>
      <c r="K170" s="4" t="n"/>
      <c r="L170" s="4" t="n"/>
      <c r="M170" s="4" t="n"/>
      <c r="N170" s="4" t="n"/>
      <c r="O170" s="4" t="n"/>
      <c r="P170" s="4" t="n"/>
      <c r="Q170" s="4" t="n"/>
      <c r="R170" s="4" t="n"/>
      <c r="S170" s="4" t="n"/>
      <c r="T170" s="6" t="n"/>
      <c r="U170" s="6" t="n"/>
      <c r="V170" s="6" t="n"/>
      <c r="W170" s="6" t="n"/>
      <c r="X170" s="6" t="n"/>
    </row>
    <row r="171" ht="14" customHeight="1" s="250">
      <c r="A171" s="4" t="n"/>
      <c r="B171" s="5" t="n"/>
      <c r="C171" s="4" t="n"/>
      <c r="D171" s="4" t="n"/>
      <c r="E171" s="4" t="n"/>
      <c r="F171" s="4" t="n"/>
      <c r="G171" s="4" t="n"/>
      <c r="H171" s="4" t="n"/>
      <c r="I171" s="4" t="n"/>
      <c r="J171" s="4" t="n"/>
      <c r="K171" s="4" t="n"/>
      <c r="L171" s="4" t="n"/>
      <c r="M171" s="4" t="n"/>
      <c r="N171" s="4" t="n"/>
      <c r="O171" s="4" t="n"/>
      <c r="P171" s="4" t="n"/>
      <c r="Q171" s="4" t="n"/>
      <c r="R171" s="4" t="n"/>
      <c r="S171" s="4" t="n"/>
      <c r="T171" s="6" t="n"/>
      <c r="U171" s="6" t="n"/>
      <c r="V171" s="6" t="n"/>
      <c r="W171" s="6" t="n"/>
      <c r="X171" s="6" t="n"/>
    </row>
    <row r="172" ht="14" customHeight="1" s="250">
      <c r="A172" s="4" t="n"/>
      <c r="B172" s="5" t="n"/>
      <c r="C172" s="4" t="n"/>
      <c r="D172" s="4" t="n"/>
      <c r="E172" s="4" t="n"/>
      <c r="F172" s="4" t="n"/>
      <c r="G172" s="4" t="n"/>
      <c r="H172" s="4" t="n"/>
      <c r="I172" s="4" t="n"/>
      <c r="J172" s="4" t="n"/>
      <c r="K172" s="4" t="n"/>
      <c r="L172" s="4" t="n"/>
      <c r="M172" s="4" t="n"/>
      <c r="N172" s="4" t="n"/>
      <c r="O172" s="4" t="n"/>
      <c r="P172" s="4" t="n"/>
      <c r="Q172" s="4" t="n"/>
      <c r="R172" s="4" t="n"/>
      <c r="S172" s="4" t="n"/>
      <c r="T172" s="6" t="n"/>
      <c r="U172" s="6" t="n"/>
      <c r="V172" s="6" t="n"/>
      <c r="W172" s="6" t="n"/>
      <c r="X172" s="6" t="n"/>
    </row>
    <row r="173" ht="14" customHeight="1" s="250">
      <c r="A173" s="4" t="n"/>
      <c r="B173" s="5" t="n"/>
      <c r="C173" s="4" t="n"/>
      <c r="D173" s="4" t="n"/>
      <c r="E173" s="4" t="n"/>
      <c r="F173" s="4" t="n"/>
      <c r="G173" s="4" t="n"/>
      <c r="H173" s="4" t="n"/>
      <c r="I173" s="4" t="n"/>
      <c r="J173" s="4" t="n"/>
      <c r="K173" s="4" t="n"/>
      <c r="L173" s="4" t="n"/>
      <c r="M173" s="4" t="n"/>
      <c r="N173" s="4" t="n"/>
      <c r="O173" s="4" t="n"/>
      <c r="P173" s="4" t="n"/>
      <c r="Q173" s="4" t="n"/>
      <c r="R173" s="4" t="n"/>
      <c r="S173" s="4" t="n"/>
      <c r="T173" s="6" t="n"/>
      <c r="U173" s="6" t="n"/>
      <c r="V173" s="6" t="n"/>
      <c r="W173" s="6" t="n"/>
      <c r="X173" s="6" t="n"/>
    </row>
    <row r="174" ht="14" customHeight="1" s="250">
      <c r="A174" s="4" t="n"/>
      <c r="B174" s="5" t="n"/>
      <c r="C174" s="4" t="n"/>
      <c r="D174" s="4" t="n"/>
      <c r="E174" s="4" t="n"/>
      <c r="F174" s="4" t="n"/>
      <c r="G174" s="4" t="n"/>
      <c r="H174" s="4" t="n"/>
      <c r="I174" s="4" t="n"/>
      <c r="J174" s="4" t="n"/>
      <c r="K174" s="4" t="n"/>
      <c r="L174" s="4" t="n"/>
      <c r="M174" s="4" t="n"/>
      <c r="N174" s="4" t="n"/>
      <c r="O174" s="4" t="n"/>
      <c r="P174" s="4" t="n"/>
      <c r="Q174" s="4" t="n"/>
      <c r="R174" s="4" t="n"/>
      <c r="S174" s="4" t="n"/>
      <c r="T174" s="6" t="n"/>
      <c r="U174" s="6" t="n"/>
      <c r="V174" s="6" t="n"/>
      <c r="W174" s="6" t="n"/>
      <c r="X174" s="6" t="n"/>
    </row>
    <row r="175" ht="14" customHeight="1" s="250">
      <c r="A175" s="4" t="n"/>
      <c r="B175" s="5" t="n"/>
      <c r="C175" s="4" t="n"/>
      <c r="D175" s="4" t="n"/>
      <c r="E175" s="4" t="n"/>
      <c r="F175" s="4" t="n"/>
      <c r="G175" s="4" t="n"/>
      <c r="H175" s="4" t="n"/>
      <c r="I175" s="4" t="n"/>
      <c r="J175" s="4" t="n"/>
      <c r="K175" s="4" t="n"/>
      <c r="L175" s="4" t="n"/>
      <c r="M175" s="4" t="n"/>
      <c r="N175" s="4" t="n"/>
      <c r="O175" s="4" t="n"/>
      <c r="P175" s="4" t="n"/>
      <c r="Q175" s="4" t="n"/>
      <c r="R175" s="4" t="n"/>
      <c r="S175" s="4" t="n"/>
      <c r="T175" s="6" t="n"/>
      <c r="U175" s="6" t="n"/>
      <c r="V175" s="6" t="n"/>
      <c r="W175" s="6" t="n"/>
      <c r="X175" s="6" t="n"/>
    </row>
    <row r="176" ht="14" customHeight="1" s="250">
      <c r="A176" s="4" t="n"/>
      <c r="B176" s="5" t="n"/>
      <c r="C176" s="4" t="n"/>
      <c r="D176" s="4" t="n"/>
      <c r="E176" s="4" t="n"/>
      <c r="F176" s="4" t="n"/>
      <c r="G176" s="4" t="n"/>
      <c r="H176" s="4" t="n"/>
      <c r="I176" s="4" t="n"/>
      <c r="J176" s="4" t="n"/>
      <c r="K176" s="4" t="n"/>
      <c r="L176" s="4" t="n"/>
      <c r="M176" s="4" t="n"/>
      <c r="N176" s="4" t="n"/>
      <c r="O176" s="4" t="n"/>
      <c r="P176" s="4" t="n"/>
      <c r="Q176" s="4" t="n"/>
      <c r="R176" s="4" t="n"/>
      <c r="S176" s="4" t="n"/>
      <c r="T176" s="6" t="n"/>
      <c r="U176" s="6" t="n"/>
      <c r="V176" s="6" t="n"/>
      <c r="W176" s="6" t="n"/>
      <c r="X176" s="6" t="n"/>
    </row>
    <row r="177" ht="14" customHeight="1" s="250">
      <c r="A177" s="4" t="n"/>
      <c r="B177" s="5" t="n"/>
      <c r="C177" s="4" t="n"/>
      <c r="D177" s="4" t="n"/>
      <c r="E177" s="4" t="n"/>
      <c r="F177" s="4" t="n"/>
      <c r="G177" s="4" t="n"/>
      <c r="H177" s="4" t="n"/>
      <c r="I177" s="4" t="n"/>
      <c r="J177" s="4" t="n"/>
      <c r="K177" s="4" t="n"/>
      <c r="L177" s="4" t="n"/>
      <c r="M177" s="4" t="n"/>
      <c r="N177" s="4" t="n"/>
      <c r="O177" s="4" t="n"/>
      <c r="P177" s="4" t="n"/>
      <c r="Q177" s="4" t="n"/>
      <c r="R177" s="4" t="n"/>
      <c r="S177" s="4" t="n"/>
      <c r="T177" s="6" t="n"/>
      <c r="U177" s="6" t="n"/>
      <c r="V177" s="6" t="n"/>
      <c r="W177" s="6" t="n"/>
      <c r="X177" s="6" t="n"/>
    </row>
    <row r="178" ht="14" customHeight="1" s="250">
      <c r="A178" s="4" t="n"/>
      <c r="B178" s="5" t="n"/>
      <c r="C178" s="4" t="n"/>
      <c r="D178" s="4" t="n"/>
      <c r="E178" s="4" t="n"/>
      <c r="F178" s="4" t="n"/>
      <c r="G178" s="4" t="n"/>
      <c r="H178" s="4" t="n"/>
      <c r="I178" s="4" t="n"/>
      <c r="J178" s="4" t="n"/>
      <c r="K178" s="4" t="n"/>
      <c r="L178" s="4" t="n"/>
      <c r="M178" s="4" t="n"/>
      <c r="N178" s="4" t="n"/>
      <c r="O178" s="4" t="n"/>
      <c r="P178" s="4" t="n"/>
      <c r="Q178" s="4" t="n"/>
      <c r="R178" s="4" t="n"/>
      <c r="S178" s="4" t="n"/>
      <c r="T178" s="6" t="n"/>
      <c r="U178" s="6" t="n"/>
      <c r="V178" s="6" t="n"/>
      <c r="W178" s="6" t="n"/>
      <c r="X178" s="6" t="n"/>
    </row>
    <row r="179" ht="14" customHeight="1" s="250">
      <c r="A179" s="4" t="n"/>
      <c r="B179" s="5" t="n"/>
      <c r="C179" s="4" t="n"/>
      <c r="D179" s="4" t="n"/>
      <c r="E179" s="4" t="n"/>
      <c r="F179" s="4" t="n"/>
      <c r="G179" s="4" t="n"/>
      <c r="H179" s="4" t="n"/>
      <c r="I179" s="4" t="n"/>
      <c r="J179" s="4" t="n"/>
      <c r="K179" s="4" t="n"/>
      <c r="L179" s="4" t="n"/>
      <c r="M179" s="4" t="n"/>
      <c r="N179" s="4" t="n"/>
      <c r="O179" s="4" t="n"/>
      <c r="P179" s="4" t="n"/>
      <c r="Q179" s="4" t="n"/>
      <c r="R179" s="4" t="n"/>
      <c r="S179" s="4" t="n"/>
      <c r="T179" s="6" t="n"/>
      <c r="U179" s="6" t="n"/>
      <c r="V179" s="6" t="n"/>
      <c r="W179" s="6" t="n"/>
      <c r="X179" s="6" t="n"/>
    </row>
    <row r="180" ht="14" customHeight="1" s="250">
      <c r="A180" s="4" t="n"/>
      <c r="B180" s="5" t="n"/>
      <c r="C180" s="4" t="n"/>
      <c r="D180" s="4" t="n"/>
      <c r="E180" s="4" t="n"/>
      <c r="F180" s="4" t="n"/>
      <c r="G180" s="4" t="n"/>
      <c r="H180" s="4" t="n"/>
      <c r="I180" s="4" t="n"/>
      <c r="J180" s="4" t="n"/>
      <c r="K180" s="4" t="n"/>
      <c r="L180" s="4" t="n"/>
      <c r="M180" s="4" t="n"/>
      <c r="N180" s="4" t="n"/>
      <c r="O180" s="4" t="n"/>
      <c r="P180" s="4" t="n"/>
      <c r="Q180" s="4" t="n"/>
      <c r="R180" s="4" t="n"/>
      <c r="S180" s="4" t="n"/>
      <c r="T180" s="6" t="n"/>
      <c r="U180" s="6" t="n"/>
      <c r="V180" s="6" t="n"/>
      <c r="W180" s="6" t="n"/>
      <c r="X180" s="6" t="n"/>
    </row>
    <row r="181" ht="14" customHeight="1" s="250">
      <c r="A181" s="4" t="n"/>
      <c r="B181" s="5" t="n"/>
      <c r="C181" s="4" t="n"/>
      <c r="D181" s="4" t="n"/>
      <c r="E181" s="4" t="n"/>
      <c r="F181" s="4" t="n"/>
      <c r="G181" s="4" t="n"/>
      <c r="H181" s="4" t="n"/>
      <c r="I181" s="4" t="n"/>
      <c r="J181" s="4" t="n"/>
      <c r="K181" s="4" t="n"/>
      <c r="L181" s="4" t="n"/>
      <c r="M181" s="4" t="n"/>
      <c r="N181" s="4" t="n"/>
      <c r="O181" s="4" t="n"/>
      <c r="P181" s="4" t="n"/>
      <c r="Q181" s="4" t="n"/>
      <c r="R181" s="4" t="n"/>
      <c r="S181" s="4" t="n"/>
      <c r="T181" s="6" t="n"/>
      <c r="U181" s="6" t="n"/>
      <c r="V181" s="6" t="n"/>
      <c r="W181" s="6" t="n"/>
      <c r="X181" s="6" t="n"/>
    </row>
    <row r="182" ht="14" customHeight="1" s="250">
      <c r="A182" s="4" t="n"/>
      <c r="B182" s="5" t="n"/>
      <c r="C182" s="4" t="n"/>
      <c r="D182" s="4" t="n"/>
      <c r="E182" s="4" t="n"/>
      <c r="F182" s="4" t="n"/>
      <c r="G182" s="4" t="n"/>
      <c r="H182" s="4" t="n"/>
      <c r="I182" s="4" t="n"/>
      <c r="J182" s="4" t="n"/>
      <c r="K182" s="4" t="n"/>
      <c r="L182" s="4" t="n"/>
      <c r="M182" s="4" t="n"/>
      <c r="N182" s="4" t="n"/>
      <c r="O182" s="4" t="n"/>
      <c r="P182" s="4" t="n"/>
      <c r="Q182" s="4" t="n"/>
      <c r="R182" s="4" t="n"/>
      <c r="S182" s="4" t="n"/>
      <c r="T182" s="6" t="n"/>
      <c r="U182" s="6" t="n"/>
      <c r="V182" s="6" t="n"/>
      <c r="W182" s="6" t="n"/>
      <c r="X182" s="6" t="n"/>
    </row>
    <row r="183" ht="14" customHeight="1" s="250">
      <c r="A183" s="4" t="n"/>
      <c r="B183" s="5" t="n"/>
      <c r="C183" s="4" t="n"/>
      <c r="D183" s="4" t="n"/>
      <c r="E183" s="4" t="n"/>
      <c r="F183" s="4" t="n"/>
      <c r="G183" s="4" t="n"/>
      <c r="H183" s="4" t="n"/>
      <c r="I183" s="4" t="n"/>
      <c r="J183" s="4" t="n"/>
      <c r="K183" s="4" t="n"/>
      <c r="L183" s="4" t="n"/>
      <c r="M183" s="4" t="n"/>
      <c r="N183" s="4" t="n"/>
      <c r="O183" s="4" t="n"/>
      <c r="P183" s="4" t="n"/>
      <c r="Q183" s="4" t="n"/>
      <c r="R183" s="4" t="n"/>
      <c r="S183" s="4" t="n"/>
      <c r="T183" s="6" t="n"/>
      <c r="U183" s="6" t="n"/>
      <c r="V183" s="6" t="n"/>
      <c r="W183" s="6" t="n"/>
      <c r="X183" s="6" t="n"/>
    </row>
    <row r="184" ht="14" customHeight="1" s="250">
      <c r="A184" s="4" t="n"/>
      <c r="B184" s="5" t="n"/>
      <c r="C184" s="4" t="n"/>
      <c r="D184" s="4" t="n"/>
      <c r="E184" s="4" t="n"/>
      <c r="F184" s="4" t="n"/>
      <c r="G184" s="4" t="n"/>
      <c r="H184" s="4" t="n"/>
      <c r="I184" s="4" t="n"/>
      <c r="J184" s="4" t="n"/>
      <c r="K184" s="4" t="n"/>
      <c r="L184" s="4" t="n"/>
      <c r="M184" s="4" t="n"/>
      <c r="N184" s="4" t="n"/>
      <c r="O184" s="4" t="n"/>
      <c r="P184" s="4" t="n"/>
      <c r="Q184" s="4" t="n"/>
      <c r="R184" s="4" t="n"/>
      <c r="S184" s="4" t="n"/>
      <c r="T184" s="6" t="n"/>
      <c r="U184" s="6" t="n"/>
      <c r="V184" s="6" t="n"/>
      <c r="W184" s="6" t="n"/>
      <c r="X184" s="6" t="n"/>
    </row>
    <row r="185" ht="14" customHeight="1" s="250">
      <c r="A185" s="4" t="n"/>
      <c r="B185" s="5" t="n"/>
      <c r="C185" s="4" t="n"/>
      <c r="D185" s="4" t="n"/>
      <c r="E185" s="4" t="n"/>
      <c r="F185" s="4" t="n"/>
      <c r="G185" s="4" t="n"/>
      <c r="H185" s="4" t="n"/>
      <c r="I185" s="4" t="n"/>
      <c r="J185" s="4" t="n"/>
      <c r="K185" s="4" t="n"/>
      <c r="L185" s="4" t="n"/>
      <c r="M185" s="4" t="n"/>
      <c r="N185" s="4" t="n"/>
      <c r="O185" s="4" t="n"/>
      <c r="P185" s="4" t="n"/>
      <c r="Q185" s="4" t="n"/>
      <c r="R185" s="4" t="n"/>
      <c r="S185" s="4" t="n"/>
      <c r="T185" s="6" t="n"/>
      <c r="U185" s="6" t="n"/>
      <c r="V185" s="6" t="n"/>
      <c r="W185" s="6" t="n"/>
      <c r="X185" s="6" t="n"/>
    </row>
    <row r="186" ht="14" customHeight="1" s="250">
      <c r="A186" s="4" t="n"/>
      <c r="B186" s="5" t="n"/>
      <c r="C186" s="4" t="n"/>
      <c r="D186" s="4" t="n"/>
      <c r="E186" s="4" t="n"/>
      <c r="F186" s="4" t="n"/>
      <c r="G186" s="4" t="n"/>
      <c r="H186" s="4" t="n"/>
      <c r="I186" s="4" t="n"/>
      <c r="J186" s="4" t="n"/>
      <c r="K186" s="4" t="n"/>
      <c r="L186" s="4" t="n"/>
      <c r="M186" s="4" t="n"/>
      <c r="N186" s="4" t="n"/>
      <c r="O186" s="4" t="n"/>
      <c r="P186" s="4" t="n"/>
      <c r="Q186" s="4" t="n"/>
      <c r="R186" s="4" t="n"/>
      <c r="S186" s="4" t="n"/>
      <c r="T186" s="6" t="n"/>
      <c r="U186" s="6" t="n"/>
      <c r="V186" s="6" t="n"/>
      <c r="W186" s="6" t="n"/>
      <c r="X186" s="6" t="n"/>
    </row>
    <row r="187" ht="14" customHeight="1" s="250">
      <c r="A187" s="4" t="n"/>
      <c r="B187" s="5" t="n"/>
      <c r="C187" s="4" t="n"/>
      <c r="D187" s="4" t="n"/>
      <c r="E187" s="4" t="n"/>
      <c r="F187" s="4" t="n"/>
      <c r="G187" s="4" t="n"/>
      <c r="H187" s="4" t="n"/>
      <c r="I187" s="4" t="n"/>
      <c r="J187" s="4" t="n"/>
      <c r="K187" s="4" t="n"/>
      <c r="L187" s="4" t="n"/>
      <c r="M187" s="4" t="n"/>
      <c r="N187" s="4" t="n"/>
      <c r="O187" s="4" t="n"/>
      <c r="P187" s="4" t="n"/>
      <c r="Q187" s="4" t="n"/>
      <c r="R187" s="4" t="n"/>
      <c r="S187" s="4" t="n"/>
      <c r="T187" s="6" t="n"/>
      <c r="U187" s="6" t="n"/>
      <c r="V187" s="6" t="n"/>
      <c r="W187" s="6" t="n"/>
      <c r="X187" s="6" t="n"/>
    </row>
    <row r="188" ht="14" customHeight="1" s="250">
      <c r="A188" s="4" t="n"/>
      <c r="B188" s="5" t="n"/>
      <c r="C188" s="4" t="n"/>
      <c r="D188" s="4" t="n"/>
      <c r="E188" s="4" t="n"/>
      <c r="F188" s="4" t="n"/>
      <c r="G188" s="4" t="n"/>
      <c r="H188" s="4" t="n"/>
      <c r="I188" s="4" t="n"/>
      <c r="J188" s="4" t="n"/>
      <c r="K188" s="4" t="n"/>
      <c r="L188" s="4" t="n"/>
      <c r="M188" s="4" t="n"/>
      <c r="N188" s="4" t="n"/>
      <c r="O188" s="4" t="n"/>
      <c r="P188" s="4" t="n"/>
      <c r="Q188" s="4" t="n"/>
      <c r="R188" s="4" t="n"/>
      <c r="S188" s="4" t="n"/>
      <c r="T188" s="6" t="n"/>
      <c r="U188" s="6" t="n"/>
      <c r="V188" s="6" t="n"/>
      <c r="W188" s="6" t="n"/>
      <c r="X188" s="6" t="n"/>
    </row>
    <row r="189" ht="14" customHeight="1" s="250">
      <c r="A189" s="4" t="n"/>
      <c r="B189" s="5" t="n"/>
      <c r="C189" s="4" t="n"/>
      <c r="D189" s="4" t="n"/>
      <c r="E189" s="4" t="n"/>
      <c r="F189" s="4" t="n"/>
      <c r="G189" s="4" t="n"/>
      <c r="H189" s="4" t="n"/>
      <c r="I189" s="4" t="n"/>
      <c r="J189" s="4" t="n"/>
      <c r="K189" s="4" t="n"/>
      <c r="L189" s="4" t="n"/>
      <c r="M189" s="4" t="n"/>
      <c r="N189" s="4" t="n"/>
      <c r="O189" s="4" t="n"/>
      <c r="P189" s="4" t="n"/>
      <c r="Q189" s="4" t="n"/>
      <c r="R189" s="4" t="n"/>
      <c r="S189" s="4" t="n"/>
      <c r="T189" s="6" t="n"/>
      <c r="U189" s="6" t="n"/>
      <c r="V189" s="6" t="n"/>
      <c r="W189" s="6" t="n"/>
      <c r="X189" s="6" t="n"/>
    </row>
    <row r="190" ht="14" customHeight="1" s="250">
      <c r="A190" s="4" t="n"/>
      <c r="B190" s="5" t="n"/>
      <c r="C190" s="4" t="n"/>
      <c r="D190" s="4" t="n"/>
      <c r="E190" s="4" t="n"/>
      <c r="F190" s="4" t="n"/>
      <c r="G190" s="4" t="n"/>
      <c r="H190" s="4" t="n"/>
      <c r="I190" s="4" t="n"/>
      <c r="J190" s="4" t="n"/>
      <c r="K190" s="4" t="n"/>
      <c r="L190" s="4" t="n"/>
      <c r="M190" s="4" t="n"/>
      <c r="N190" s="4" t="n"/>
      <c r="O190" s="4" t="n"/>
      <c r="P190" s="4" t="n"/>
      <c r="Q190" s="4" t="n"/>
      <c r="R190" s="4" t="n"/>
      <c r="S190" s="4" t="n"/>
      <c r="T190" s="6" t="n"/>
      <c r="U190" s="6" t="n"/>
      <c r="V190" s="6" t="n"/>
      <c r="W190" s="6" t="n"/>
      <c r="X190" s="6" t="n"/>
    </row>
    <row r="191" ht="14" customHeight="1" s="250">
      <c r="A191" s="4" t="n"/>
      <c r="B191" s="5" t="n"/>
      <c r="C191" s="4" t="n"/>
      <c r="D191" s="4" t="n"/>
      <c r="E191" s="4" t="n"/>
      <c r="F191" s="4" t="n"/>
      <c r="G191" s="4" t="n"/>
      <c r="H191" s="4" t="n"/>
      <c r="I191" s="4" t="n"/>
      <c r="J191" s="4" t="n"/>
      <c r="K191" s="4" t="n"/>
      <c r="L191" s="4" t="n"/>
      <c r="M191" s="4" t="n"/>
      <c r="N191" s="4" t="n"/>
      <c r="O191" s="4" t="n"/>
      <c r="P191" s="4" t="n"/>
      <c r="Q191" s="4" t="n"/>
      <c r="R191" s="4" t="n"/>
      <c r="S191" s="4" t="n"/>
      <c r="T191" s="6" t="n"/>
      <c r="U191" s="6" t="n"/>
      <c r="V191" s="6" t="n"/>
      <c r="W191" s="6" t="n"/>
      <c r="X191" s="6" t="n"/>
    </row>
    <row r="192" ht="14" customHeight="1" s="250">
      <c r="A192" s="4" t="n"/>
      <c r="B192" s="5" t="n"/>
      <c r="C192" s="4" t="n"/>
      <c r="D192" s="4" t="n"/>
      <c r="E192" s="4" t="n"/>
      <c r="F192" s="4" t="n"/>
      <c r="G192" s="4" t="n"/>
      <c r="H192" s="4" t="n"/>
      <c r="I192" s="4" t="n"/>
      <c r="J192" s="4" t="n"/>
      <c r="K192" s="4" t="n"/>
      <c r="L192" s="4" t="n"/>
      <c r="M192" s="4" t="n"/>
      <c r="N192" s="4" t="n"/>
      <c r="O192" s="4" t="n"/>
      <c r="P192" s="4" t="n"/>
      <c r="Q192" s="4" t="n"/>
      <c r="R192" s="4" t="n"/>
      <c r="S192" s="4" t="n"/>
      <c r="T192" s="6" t="n"/>
      <c r="U192" s="6" t="n"/>
      <c r="V192" s="6" t="n"/>
      <c r="W192" s="6" t="n"/>
      <c r="X192" s="6" t="n"/>
    </row>
    <row r="193" ht="14" customHeight="1" s="250">
      <c r="A193" s="4" t="n"/>
      <c r="B193" s="5" t="n"/>
      <c r="C193" s="4" t="n"/>
      <c r="D193" s="4" t="n"/>
      <c r="E193" s="4" t="n"/>
      <c r="F193" s="4" t="n"/>
      <c r="G193" s="4" t="n"/>
      <c r="H193" s="4" t="n"/>
      <c r="I193" s="4" t="n"/>
      <c r="J193" s="4" t="n"/>
      <c r="K193" s="4" t="n"/>
      <c r="L193" s="4" t="n"/>
      <c r="M193" s="4" t="n"/>
      <c r="N193" s="4" t="n"/>
      <c r="O193" s="4" t="n"/>
      <c r="P193" s="4" t="n"/>
      <c r="Q193" s="4" t="n"/>
      <c r="R193" s="4" t="n"/>
      <c r="S193" s="4" t="n"/>
      <c r="T193" s="6" t="n"/>
      <c r="U193" s="6" t="n"/>
      <c r="V193" s="6" t="n"/>
      <c r="W193" s="6" t="n"/>
      <c r="X193" s="6" t="n"/>
    </row>
    <row r="194" ht="14" customHeight="1" s="250">
      <c r="A194" s="4" t="n"/>
      <c r="B194" s="5" t="n"/>
      <c r="C194" s="4" t="n"/>
      <c r="D194" s="4" t="n"/>
      <c r="E194" s="4" t="n"/>
      <c r="F194" s="4" t="n"/>
      <c r="G194" s="4" t="n"/>
      <c r="H194" s="4" t="n"/>
      <c r="I194" s="4" t="n"/>
      <c r="J194" s="4" t="n"/>
      <c r="K194" s="4" t="n"/>
      <c r="L194" s="4" t="n"/>
      <c r="M194" s="4" t="n"/>
      <c r="N194" s="4" t="n"/>
      <c r="O194" s="4" t="n"/>
      <c r="P194" s="4" t="n"/>
      <c r="Q194" s="4" t="n"/>
      <c r="R194" s="4" t="n"/>
      <c r="S194" s="4" t="n"/>
      <c r="T194" s="6" t="n"/>
      <c r="U194" s="6" t="n"/>
      <c r="V194" s="6" t="n"/>
      <c r="W194" s="6" t="n"/>
      <c r="X194" s="6" t="n"/>
    </row>
    <row r="195" ht="14" customHeight="1" s="250">
      <c r="A195" s="4" t="n"/>
      <c r="B195" s="5" t="n"/>
      <c r="C195" s="4" t="n"/>
      <c r="D195" s="4" t="n"/>
      <c r="E195" s="4" t="n"/>
      <c r="F195" s="4" t="n"/>
      <c r="G195" s="4" t="n"/>
      <c r="H195" s="4" t="n"/>
      <c r="I195" s="4" t="n"/>
      <c r="J195" s="4" t="n"/>
      <c r="K195" s="4" t="n"/>
      <c r="L195" s="4" t="n"/>
      <c r="M195" s="4" t="n"/>
      <c r="N195" s="4" t="n"/>
      <c r="O195" s="4" t="n"/>
      <c r="P195" s="4" t="n"/>
      <c r="Q195" s="4" t="n"/>
      <c r="R195" s="4" t="n"/>
      <c r="S195" s="4" t="n"/>
      <c r="T195" s="6" t="n"/>
      <c r="U195" s="6" t="n"/>
      <c r="V195" s="6" t="n"/>
      <c r="W195" s="6" t="n"/>
      <c r="X195" s="6" t="n"/>
    </row>
    <row r="196" ht="14" customHeight="1" s="250">
      <c r="A196" s="4" t="n"/>
      <c r="B196" s="5" t="n"/>
      <c r="C196" s="4" t="n"/>
      <c r="D196" s="4" t="n"/>
      <c r="E196" s="4" t="n"/>
      <c r="F196" s="4" t="n"/>
      <c r="G196" s="4" t="n"/>
      <c r="H196" s="4" t="n"/>
      <c r="I196" s="4" t="n"/>
      <c r="J196" s="4" t="n"/>
      <c r="K196" s="4" t="n"/>
      <c r="L196" s="4" t="n"/>
      <c r="M196" s="4" t="n"/>
      <c r="N196" s="4" t="n"/>
      <c r="O196" s="4" t="n"/>
      <c r="P196" s="4" t="n"/>
      <c r="Q196" s="4" t="n"/>
      <c r="R196" s="4" t="n"/>
      <c r="S196" s="4" t="n"/>
      <c r="T196" s="6" t="n"/>
      <c r="U196" s="6" t="n"/>
      <c r="V196" s="6" t="n"/>
      <c r="W196" s="6" t="n"/>
      <c r="X196" s="6" t="n"/>
    </row>
    <row r="197" ht="14" customHeight="1" s="250">
      <c r="A197" s="4" t="n"/>
      <c r="B197" s="5" t="n"/>
      <c r="C197" s="4" t="n"/>
      <c r="D197" s="4" t="n"/>
      <c r="E197" s="4" t="n"/>
      <c r="F197" s="4" t="n"/>
      <c r="G197" s="4" t="n"/>
      <c r="H197" s="4" t="n"/>
      <c r="I197" s="4" t="n"/>
      <c r="J197" s="4" t="n"/>
      <c r="K197" s="4" t="n"/>
      <c r="L197" s="4" t="n"/>
      <c r="M197" s="4" t="n"/>
      <c r="N197" s="4" t="n"/>
      <c r="O197" s="4" t="n"/>
      <c r="P197" s="4" t="n"/>
      <c r="Q197" s="4" t="n"/>
      <c r="R197" s="4" t="n"/>
      <c r="S197" s="4" t="n"/>
      <c r="T197" s="6" t="n"/>
      <c r="U197" s="6" t="n"/>
      <c r="V197" s="6" t="n"/>
      <c r="W197" s="6" t="n"/>
      <c r="X197" s="6" t="n"/>
    </row>
    <row r="198" ht="14" customHeight="1" s="250">
      <c r="A198" s="4" t="n"/>
      <c r="B198" s="5" t="n"/>
      <c r="C198" s="4" t="n"/>
      <c r="D198" s="4" t="n"/>
      <c r="E198" s="4" t="n"/>
      <c r="F198" s="4" t="n"/>
      <c r="G198" s="4" t="n"/>
      <c r="H198" s="4" t="n"/>
      <c r="I198" s="4" t="n"/>
      <c r="J198" s="4" t="n"/>
      <c r="K198" s="4" t="n"/>
      <c r="L198" s="4" t="n"/>
      <c r="M198" s="4" t="n"/>
      <c r="N198" s="4" t="n"/>
      <c r="O198" s="4" t="n"/>
      <c r="P198" s="4" t="n"/>
      <c r="Q198" s="4" t="n"/>
      <c r="R198" s="4" t="n"/>
      <c r="S198" s="4" t="n"/>
      <c r="T198" s="6" t="n"/>
      <c r="U198" s="6" t="n"/>
      <c r="V198" s="6" t="n"/>
      <c r="W198" s="6" t="n"/>
      <c r="X198" s="6" t="n"/>
    </row>
    <row r="199" ht="14" customHeight="1" s="250">
      <c r="A199" s="4" t="n"/>
      <c r="B199" s="5" t="n"/>
      <c r="C199" s="4" t="n"/>
      <c r="D199" s="4" t="n"/>
      <c r="E199" s="4" t="n"/>
      <c r="F199" s="4" t="n"/>
      <c r="G199" s="4" t="n"/>
      <c r="H199" s="4" t="n"/>
      <c r="I199" s="4" t="n"/>
      <c r="J199" s="4" t="n"/>
      <c r="K199" s="4" t="n"/>
      <c r="L199" s="4" t="n"/>
      <c r="M199" s="4" t="n"/>
      <c r="N199" s="4" t="n"/>
      <c r="O199" s="4" t="n"/>
      <c r="P199" s="4" t="n"/>
      <c r="Q199" s="4" t="n"/>
      <c r="R199" s="4" t="n"/>
      <c r="S199" s="4" t="n"/>
      <c r="T199" s="6" t="n"/>
      <c r="U199" s="6" t="n"/>
      <c r="V199" s="6" t="n"/>
      <c r="W199" s="6" t="n"/>
      <c r="X199" s="6" t="n"/>
    </row>
    <row r="200" ht="14" customHeight="1" s="250">
      <c r="A200" s="4" t="n"/>
      <c r="B200" s="5" t="n"/>
      <c r="C200" s="4" t="n"/>
      <c r="D200" s="4" t="n"/>
      <c r="E200" s="4" t="n"/>
      <c r="F200" s="4" t="n"/>
      <c r="G200" s="4" t="n"/>
      <c r="H200" s="4" t="n"/>
      <c r="I200" s="4" t="n"/>
      <c r="J200" s="4" t="n"/>
      <c r="K200" s="4" t="n"/>
      <c r="L200" s="4" t="n"/>
      <c r="M200" s="4" t="n"/>
      <c r="N200" s="4" t="n"/>
      <c r="O200" s="4" t="n"/>
      <c r="P200" s="4" t="n"/>
      <c r="Q200" s="4" t="n"/>
      <c r="R200" s="4" t="n"/>
      <c r="S200" s="4" t="n"/>
      <c r="T200" s="6" t="n"/>
      <c r="U200" s="6" t="n"/>
      <c r="V200" s="6" t="n"/>
      <c r="W200" s="6" t="n"/>
      <c r="X200" s="6" t="n"/>
    </row>
    <row r="201" ht="14" customHeight="1" s="250">
      <c r="A201" s="4" t="n"/>
      <c r="B201" s="5" t="n"/>
      <c r="C201" s="4" t="n"/>
      <c r="D201" s="4" t="n"/>
      <c r="E201" s="4" t="n"/>
      <c r="F201" s="4" t="n"/>
      <c r="G201" s="4" t="n"/>
      <c r="H201" s="4" t="n"/>
      <c r="I201" s="4" t="n"/>
      <c r="J201" s="4" t="n"/>
      <c r="K201" s="4" t="n"/>
      <c r="L201" s="4" t="n"/>
      <c r="M201" s="4" t="n"/>
      <c r="N201" s="4" t="n"/>
      <c r="O201" s="4" t="n"/>
      <c r="P201" s="4" t="n"/>
      <c r="Q201" s="4" t="n"/>
      <c r="R201" s="4" t="n"/>
      <c r="S201" s="4" t="n"/>
      <c r="T201" s="6" t="n"/>
      <c r="U201" s="6" t="n"/>
      <c r="V201" s="6" t="n"/>
      <c r="W201" s="6" t="n"/>
      <c r="X201" s="6" t="n"/>
    </row>
    <row r="202" ht="14" customHeight="1" s="250">
      <c r="A202" s="4" t="n"/>
      <c r="B202" s="5" t="n"/>
      <c r="C202" s="4" t="n"/>
      <c r="D202" s="4" t="n"/>
      <c r="E202" s="4" t="n"/>
      <c r="F202" s="4" t="n"/>
      <c r="G202" s="4" t="n"/>
      <c r="H202" s="4" t="n"/>
      <c r="I202" s="4" t="n"/>
      <c r="J202" s="4" t="n"/>
      <c r="K202" s="4" t="n"/>
      <c r="L202" s="4" t="n"/>
      <c r="M202" s="4" t="n"/>
      <c r="N202" s="4" t="n"/>
      <c r="O202" s="4" t="n"/>
      <c r="P202" s="4" t="n"/>
      <c r="Q202" s="4" t="n"/>
      <c r="R202" s="4" t="n"/>
      <c r="S202" s="4" t="n"/>
      <c r="T202" s="6" t="n"/>
      <c r="U202" s="6" t="n"/>
      <c r="V202" s="6" t="n"/>
      <c r="W202" s="6" t="n"/>
      <c r="X202" s="6" t="n"/>
    </row>
    <row r="203" ht="14" customHeight="1" s="250">
      <c r="A203" s="4" t="n"/>
      <c r="B203" s="5" t="n"/>
      <c r="C203" s="4" t="n"/>
      <c r="D203" s="4" t="n"/>
      <c r="E203" s="4" t="n"/>
      <c r="F203" s="4" t="n"/>
      <c r="G203" s="4" t="n"/>
      <c r="H203" s="4" t="n"/>
      <c r="I203" s="4" t="n"/>
      <c r="J203" s="4" t="n"/>
      <c r="K203" s="4" t="n"/>
      <c r="L203" s="4" t="n"/>
      <c r="M203" s="4" t="n"/>
      <c r="N203" s="4" t="n"/>
      <c r="O203" s="4" t="n"/>
      <c r="P203" s="4" t="n"/>
      <c r="Q203" s="4" t="n"/>
      <c r="R203" s="4" t="n"/>
      <c r="S203" s="4" t="n"/>
      <c r="T203" s="6" t="n"/>
      <c r="U203" s="6" t="n"/>
      <c r="V203" s="6" t="n"/>
      <c r="W203" s="6" t="n"/>
      <c r="X203" s="6" t="n"/>
    </row>
    <row r="204" ht="14" customHeight="1" s="250">
      <c r="A204" s="4" t="n"/>
      <c r="B204" s="5" t="n"/>
      <c r="C204" s="4" t="n"/>
      <c r="D204" s="4" t="n"/>
      <c r="E204" s="4" t="n"/>
      <c r="F204" s="4" t="n"/>
      <c r="G204" s="4" t="n"/>
      <c r="H204" s="4" t="n"/>
      <c r="I204" s="4" t="n"/>
      <c r="J204" s="4" t="n"/>
      <c r="K204" s="4" t="n"/>
      <c r="L204" s="4" t="n"/>
      <c r="M204" s="4" t="n"/>
      <c r="N204" s="4" t="n"/>
      <c r="O204" s="4" t="n"/>
      <c r="P204" s="4" t="n"/>
      <c r="Q204" s="4" t="n"/>
      <c r="R204" s="4" t="n"/>
      <c r="S204" s="4" t="n"/>
      <c r="T204" s="6" t="n"/>
      <c r="U204" s="6" t="n"/>
      <c r="V204" s="6" t="n"/>
      <c r="W204" s="6" t="n"/>
      <c r="X204" s="6" t="n"/>
    </row>
    <row r="205" ht="14" customHeight="1" s="250">
      <c r="A205" s="4" t="n"/>
      <c r="B205" s="5" t="n"/>
      <c r="C205" s="4" t="n"/>
      <c r="D205" s="4" t="n"/>
      <c r="E205" s="4" t="n"/>
      <c r="F205" s="4" t="n"/>
      <c r="G205" s="4" t="n"/>
      <c r="H205" s="4" t="n"/>
      <c r="I205" s="4" t="n"/>
      <c r="J205" s="4" t="n"/>
      <c r="K205" s="4" t="n"/>
      <c r="L205" s="4" t="n"/>
      <c r="M205" s="4" t="n"/>
      <c r="N205" s="4" t="n"/>
      <c r="O205" s="4" t="n"/>
      <c r="P205" s="4" t="n"/>
      <c r="Q205" s="4" t="n"/>
      <c r="R205" s="4" t="n"/>
      <c r="S205" s="4" t="n"/>
      <c r="T205" s="6" t="n"/>
      <c r="U205" s="6" t="n"/>
      <c r="V205" s="6" t="n"/>
      <c r="W205" s="6" t="n"/>
      <c r="X205" s="6" t="n"/>
    </row>
    <row r="206" ht="14" customHeight="1" s="250">
      <c r="A206" s="4" t="n"/>
      <c r="B206" s="5" t="n"/>
      <c r="C206" s="4" t="n"/>
      <c r="D206" s="4" t="n"/>
      <c r="E206" s="4" t="n"/>
      <c r="F206" s="4" t="n"/>
      <c r="G206" s="4" t="n"/>
      <c r="H206" s="4" t="n"/>
      <c r="I206" s="4" t="n"/>
      <c r="J206" s="4" t="n"/>
      <c r="K206" s="4" t="n"/>
      <c r="L206" s="4" t="n"/>
      <c r="M206" s="4" t="n"/>
      <c r="N206" s="4" t="n"/>
      <c r="O206" s="4" t="n"/>
      <c r="P206" s="4" t="n"/>
      <c r="Q206" s="4" t="n"/>
      <c r="R206" s="4" t="n"/>
      <c r="S206" s="4" t="n"/>
      <c r="T206" s="6" t="n"/>
      <c r="U206" s="6" t="n"/>
      <c r="V206" s="6" t="n"/>
      <c r="W206" s="6" t="n"/>
      <c r="X206" s="6" t="n"/>
    </row>
    <row r="207" ht="14" customHeight="1" s="250">
      <c r="A207" s="4" t="n"/>
      <c r="B207" s="5" t="n"/>
      <c r="C207" s="4" t="n"/>
      <c r="D207" s="4" t="n"/>
      <c r="E207" s="4" t="n"/>
      <c r="F207" s="4" t="n"/>
      <c r="G207" s="4" t="n"/>
      <c r="H207" s="4" t="n"/>
      <c r="I207" s="4" t="n"/>
      <c r="J207" s="4" t="n"/>
      <c r="K207" s="4" t="n"/>
      <c r="L207" s="4" t="n"/>
      <c r="M207" s="4" t="n"/>
      <c r="N207" s="4" t="n"/>
      <c r="O207" s="4" t="n"/>
      <c r="P207" s="4" t="n"/>
      <c r="Q207" s="4" t="n"/>
      <c r="R207" s="4" t="n"/>
      <c r="S207" s="4" t="n"/>
      <c r="T207" s="6" t="n"/>
      <c r="U207" s="6" t="n"/>
      <c r="V207" s="6" t="n"/>
      <c r="W207" s="6" t="n"/>
      <c r="X207" s="6" t="n"/>
    </row>
    <row r="208" ht="14" customHeight="1" s="250">
      <c r="A208" s="4" t="n"/>
      <c r="B208" s="5" t="n"/>
      <c r="C208" s="4" t="n"/>
      <c r="D208" s="4" t="n"/>
      <c r="E208" s="4" t="n"/>
      <c r="F208" s="4" t="n"/>
      <c r="G208" s="4" t="n"/>
      <c r="H208" s="4" t="n"/>
      <c r="I208" s="4" t="n"/>
      <c r="J208" s="4" t="n"/>
      <c r="K208" s="4" t="n"/>
      <c r="L208" s="4" t="n"/>
      <c r="M208" s="4" t="n"/>
      <c r="N208" s="4" t="n"/>
      <c r="O208" s="4" t="n"/>
      <c r="P208" s="4" t="n"/>
      <c r="Q208" s="4" t="n"/>
      <c r="R208" s="4" t="n"/>
      <c r="S208" s="4" t="n"/>
      <c r="T208" s="6" t="n"/>
      <c r="U208" s="6" t="n"/>
      <c r="V208" s="6" t="n"/>
      <c r="W208" s="6" t="n"/>
      <c r="X208" s="6" t="n"/>
    </row>
    <row r="209" ht="14" customHeight="1" s="250">
      <c r="A209" s="4" t="n"/>
      <c r="B209" s="5" t="n"/>
      <c r="C209" s="4" t="n"/>
      <c r="D209" s="4" t="n"/>
      <c r="E209" s="4" t="n"/>
      <c r="F209" s="4" t="n"/>
      <c r="G209" s="4" t="n"/>
      <c r="H209" s="4" t="n"/>
      <c r="I209" s="4" t="n"/>
      <c r="J209" s="4" t="n"/>
      <c r="K209" s="4" t="n"/>
      <c r="L209" s="4" t="n"/>
      <c r="M209" s="4" t="n"/>
      <c r="N209" s="4" t="n"/>
      <c r="O209" s="4" t="n"/>
      <c r="P209" s="4" t="n"/>
      <c r="Q209" s="4" t="n"/>
      <c r="R209" s="4" t="n"/>
      <c r="S209" s="4" t="n"/>
      <c r="T209" s="6" t="n"/>
      <c r="U209" s="6" t="n"/>
      <c r="V209" s="6" t="n"/>
      <c r="W209" s="6" t="n"/>
      <c r="X209" s="6" t="n"/>
    </row>
    <row r="210" ht="14" customHeight="1" s="250">
      <c r="A210" s="4" t="n"/>
      <c r="B210" s="5" t="n"/>
      <c r="C210" s="4" t="n"/>
      <c r="D210" s="4" t="n"/>
      <c r="E210" s="4" t="n"/>
      <c r="F210" s="4" t="n"/>
      <c r="G210" s="4" t="n"/>
      <c r="H210" s="4" t="n"/>
      <c r="I210" s="4" t="n"/>
      <c r="J210" s="4" t="n"/>
      <c r="K210" s="4" t="n"/>
      <c r="L210" s="4" t="n"/>
      <c r="M210" s="4" t="n"/>
      <c r="N210" s="4" t="n"/>
      <c r="O210" s="4" t="n"/>
      <c r="P210" s="4" t="n"/>
      <c r="Q210" s="4" t="n"/>
      <c r="R210" s="4" t="n"/>
      <c r="S210" s="4" t="n"/>
      <c r="T210" s="6" t="n"/>
      <c r="U210" s="6" t="n"/>
      <c r="V210" s="6" t="n"/>
      <c r="W210" s="6" t="n"/>
      <c r="X210" s="6" t="n"/>
    </row>
    <row r="211" ht="14" customHeight="1" s="250">
      <c r="A211" s="4" t="n"/>
      <c r="B211" s="5" t="n"/>
      <c r="C211" s="4" t="n"/>
      <c r="D211" s="4" t="n"/>
      <c r="E211" s="4" t="n"/>
      <c r="F211" s="4" t="n"/>
      <c r="G211" s="4" t="n"/>
      <c r="H211" s="4" t="n"/>
      <c r="I211" s="4" t="n"/>
      <c r="J211" s="4" t="n"/>
      <c r="K211" s="4" t="n"/>
      <c r="L211" s="4" t="n"/>
      <c r="M211" s="4" t="n"/>
      <c r="N211" s="4" t="n"/>
      <c r="O211" s="4" t="n"/>
      <c r="P211" s="4" t="n"/>
      <c r="Q211" s="4" t="n"/>
      <c r="R211" s="4" t="n"/>
      <c r="S211" s="4" t="n"/>
      <c r="T211" s="6" t="n"/>
      <c r="U211" s="6" t="n"/>
      <c r="V211" s="6" t="n"/>
      <c r="W211" s="6" t="n"/>
      <c r="X211" s="6" t="n"/>
    </row>
    <row r="212" ht="14" customHeight="1" s="250">
      <c r="A212" s="4" t="n"/>
      <c r="B212" s="5" t="n"/>
      <c r="C212" s="4" t="n"/>
      <c r="D212" s="4" t="n"/>
      <c r="E212" s="4" t="n"/>
      <c r="F212" s="4" t="n"/>
      <c r="G212" s="4" t="n"/>
      <c r="H212" s="4" t="n"/>
      <c r="I212" s="4" t="n"/>
      <c r="J212" s="4" t="n"/>
      <c r="K212" s="4" t="n"/>
      <c r="L212" s="4" t="n"/>
      <c r="M212" s="4" t="n"/>
      <c r="N212" s="4" t="n"/>
      <c r="O212" s="4" t="n"/>
      <c r="P212" s="4" t="n"/>
      <c r="Q212" s="4" t="n"/>
      <c r="R212" s="4" t="n"/>
      <c r="S212" s="4" t="n"/>
      <c r="T212" s="6" t="n"/>
      <c r="U212" s="6" t="n"/>
      <c r="V212" s="6" t="n"/>
      <c r="W212" s="6" t="n"/>
      <c r="X212" s="6" t="n"/>
    </row>
    <row r="213" ht="14" customHeight="1" s="250">
      <c r="A213" s="4" t="n"/>
      <c r="B213" s="5" t="n"/>
      <c r="C213" s="4" t="n"/>
      <c r="D213" s="4" t="n"/>
      <c r="E213" s="4" t="n"/>
      <c r="F213" s="4" t="n"/>
      <c r="G213" s="4" t="n"/>
      <c r="H213" s="4" t="n"/>
      <c r="I213" s="4" t="n"/>
      <c r="J213" s="4" t="n"/>
      <c r="K213" s="4" t="n"/>
      <c r="L213" s="4" t="n"/>
      <c r="M213" s="4" t="n"/>
      <c r="N213" s="4" t="n"/>
      <c r="O213" s="4" t="n"/>
      <c r="P213" s="4" t="n"/>
      <c r="Q213" s="4" t="n"/>
      <c r="R213" s="4" t="n"/>
      <c r="S213" s="4" t="n"/>
      <c r="T213" s="6" t="n"/>
      <c r="U213" s="6" t="n"/>
      <c r="V213" s="6" t="n"/>
      <c r="W213" s="6" t="n"/>
      <c r="X213" s="6" t="n"/>
    </row>
    <row r="214" ht="14" customHeight="1" s="250">
      <c r="A214" s="4" t="n"/>
      <c r="B214" s="5" t="n"/>
      <c r="C214" s="4" t="n"/>
      <c r="D214" s="4" t="n"/>
      <c r="E214" s="4" t="n"/>
      <c r="F214" s="4" t="n"/>
      <c r="G214" s="4" t="n"/>
      <c r="H214" s="4" t="n"/>
      <c r="I214" s="4" t="n"/>
      <c r="J214" s="4" t="n"/>
      <c r="K214" s="4" t="n"/>
      <c r="L214" s="4" t="n"/>
      <c r="M214" s="4" t="n"/>
      <c r="N214" s="4" t="n"/>
      <c r="O214" s="4" t="n"/>
      <c r="P214" s="4" t="n"/>
      <c r="Q214" s="4" t="n"/>
      <c r="R214" s="4" t="n"/>
      <c r="S214" s="4" t="n"/>
      <c r="T214" s="6" t="n"/>
      <c r="U214" s="6" t="n"/>
      <c r="V214" s="6" t="n"/>
      <c r="W214" s="6" t="n"/>
      <c r="X214" s="6" t="n"/>
    </row>
    <row r="215" ht="14" customHeight="1" s="250">
      <c r="A215" s="4" t="n"/>
      <c r="B215" s="5" t="n"/>
      <c r="C215" s="4" t="n"/>
      <c r="D215" s="4" t="n"/>
      <c r="E215" s="4" t="n"/>
      <c r="F215" s="4" t="n"/>
      <c r="G215" s="4" t="n"/>
      <c r="H215" s="4" t="n"/>
      <c r="I215" s="4" t="n"/>
      <c r="J215" s="4" t="n"/>
      <c r="K215" s="4" t="n"/>
      <c r="L215" s="4" t="n"/>
      <c r="M215" s="4" t="n"/>
      <c r="N215" s="4" t="n"/>
      <c r="O215" s="4" t="n"/>
      <c r="P215" s="4" t="n"/>
      <c r="Q215" s="4" t="n"/>
      <c r="R215" s="4" t="n"/>
      <c r="S215" s="4" t="n"/>
      <c r="T215" s="6" t="n"/>
      <c r="U215" s="6" t="n"/>
      <c r="V215" s="6" t="n"/>
      <c r="W215" s="6" t="n"/>
      <c r="X215" s="6" t="n"/>
    </row>
    <row r="216" ht="14" customHeight="1" s="250">
      <c r="A216" s="4" t="n"/>
      <c r="B216" s="5" t="n"/>
      <c r="C216" s="4" t="n"/>
      <c r="D216" s="4" t="n"/>
      <c r="E216" s="4" t="n"/>
      <c r="F216" s="4" t="n"/>
      <c r="G216" s="4" t="n"/>
      <c r="H216" s="4" t="n"/>
      <c r="I216" s="4" t="n"/>
      <c r="J216" s="4" t="n"/>
      <c r="K216" s="4" t="n"/>
      <c r="L216" s="4" t="n"/>
      <c r="M216" s="4" t="n"/>
      <c r="N216" s="4" t="n"/>
      <c r="O216" s="4" t="n"/>
      <c r="P216" s="4" t="n"/>
      <c r="Q216" s="4" t="n"/>
      <c r="R216" s="4" t="n"/>
      <c r="S216" s="4" t="n"/>
      <c r="T216" s="6" t="n"/>
      <c r="U216" s="6" t="n"/>
      <c r="V216" s="6" t="n"/>
      <c r="W216" s="6" t="n"/>
      <c r="X216" s="6" t="n"/>
    </row>
    <row r="217" ht="14" customHeight="1" s="250">
      <c r="A217" s="4" t="n"/>
      <c r="B217" s="5" t="n"/>
      <c r="C217" s="4" t="n"/>
      <c r="D217" s="4" t="n"/>
      <c r="E217" s="4" t="n"/>
      <c r="F217" s="4" t="n"/>
      <c r="G217" s="4" t="n"/>
      <c r="H217" s="4" t="n"/>
      <c r="I217" s="4" t="n"/>
      <c r="J217" s="4" t="n"/>
      <c r="K217" s="4" t="n"/>
      <c r="L217" s="4" t="n"/>
      <c r="M217" s="4" t="n"/>
      <c r="N217" s="4" t="n"/>
      <c r="O217" s="4" t="n"/>
      <c r="P217" s="4" t="n"/>
      <c r="Q217" s="4" t="n"/>
      <c r="R217" s="4" t="n"/>
      <c r="S217" s="4" t="n"/>
      <c r="T217" s="6" t="n"/>
      <c r="U217" s="6" t="n"/>
      <c r="V217" s="6" t="n"/>
      <c r="W217" s="6" t="n"/>
      <c r="X217" s="6" t="n"/>
    </row>
    <row r="218" ht="14" customHeight="1" s="250">
      <c r="A218" s="4" t="n"/>
      <c r="B218" s="5" t="n"/>
      <c r="C218" s="4" t="n"/>
      <c r="D218" s="4" t="n"/>
      <c r="E218" s="4" t="n"/>
      <c r="F218" s="4" t="n"/>
      <c r="G218" s="4" t="n"/>
      <c r="H218" s="4" t="n"/>
      <c r="I218" s="4" t="n"/>
      <c r="J218" s="4" t="n"/>
      <c r="K218" s="4" t="n"/>
      <c r="L218" s="4" t="n"/>
      <c r="M218" s="4" t="n"/>
      <c r="N218" s="4" t="n"/>
      <c r="O218" s="4" t="n"/>
      <c r="P218" s="4" t="n"/>
      <c r="Q218" s="4" t="n"/>
      <c r="R218" s="4" t="n"/>
      <c r="S218" s="4" t="n"/>
      <c r="T218" s="6" t="n"/>
      <c r="U218" s="6" t="n"/>
      <c r="V218" s="6" t="n"/>
      <c r="W218" s="6" t="n"/>
      <c r="X218" s="6" t="n"/>
    </row>
    <row r="219" ht="14" customHeight="1" s="250">
      <c r="A219" s="4" t="n"/>
      <c r="B219" s="5" t="n"/>
      <c r="C219" s="4" t="n"/>
      <c r="D219" s="4" t="n"/>
      <c r="E219" s="4" t="n"/>
      <c r="F219" s="4" t="n"/>
      <c r="G219" s="4" t="n"/>
      <c r="H219" s="4" t="n"/>
      <c r="I219" s="4" t="n"/>
      <c r="J219" s="4" t="n"/>
      <c r="K219" s="4" t="n"/>
      <c r="L219" s="4" t="n"/>
      <c r="M219" s="4" t="n"/>
      <c r="N219" s="4" t="n"/>
      <c r="O219" s="4" t="n"/>
      <c r="P219" s="4" t="n"/>
      <c r="Q219" s="4" t="n"/>
      <c r="R219" s="4" t="n"/>
      <c r="S219" s="4" t="n"/>
      <c r="T219" s="6" t="n"/>
      <c r="U219" s="6" t="n"/>
      <c r="V219" s="6" t="n"/>
      <c r="W219" s="6" t="n"/>
      <c r="X219" s="6" t="n"/>
    </row>
    <row r="220" ht="14" customHeight="1" s="250">
      <c r="A220" s="4" t="n"/>
      <c r="B220" s="5" t="n"/>
      <c r="C220" s="4" t="n"/>
      <c r="D220" s="4" t="n"/>
      <c r="E220" s="4" t="n"/>
      <c r="F220" s="4" t="n"/>
      <c r="G220" s="4" t="n"/>
      <c r="H220" s="4" t="n"/>
      <c r="I220" s="4" t="n"/>
      <c r="J220" s="4" t="n"/>
      <c r="K220" s="4" t="n"/>
      <c r="L220" s="4" t="n"/>
      <c r="M220" s="4" t="n"/>
      <c r="N220" s="4" t="n"/>
      <c r="O220" s="4" t="n"/>
      <c r="P220" s="4" t="n"/>
      <c r="Q220" s="4" t="n"/>
      <c r="R220" s="4" t="n"/>
      <c r="S220" s="4" t="n"/>
      <c r="T220" s="6" t="n"/>
      <c r="U220" s="6" t="n"/>
      <c r="V220" s="6" t="n"/>
      <c r="W220" s="6" t="n"/>
      <c r="X220" s="6" t="n"/>
    </row>
    <row r="221" ht="14" customHeight="1" s="250">
      <c r="A221" s="4" t="n"/>
      <c r="B221" s="5" t="n"/>
      <c r="C221" s="4" t="n"/>
      <c r="D221" s="4" t="n"/>
      <c r="E221" s="4" t="n"/>
      <c r="F221" s="4" t="n"/>
      <c r="G221" s="4" t="n"/>
      <c r="H221" s="4" t="n"/>
      <c r="I221" s="4" t="n"/>
      <c r="J221" s="4" t="n"/>
      <c r="K221" s="4" t="n"/>
      <c r="L221" s="4" t="n"/>
      <c r="M221" s="4" t="n"/>
      <c r="N221" s="4" t="n"/>
      <c r="O221" s="4" t="n"/>
      <c r="P221" s="4" t="n"/>
      <c r="Q221" s="4" t="n"/>
      <c r="R221" s="4" t="n"/>
      <c r="S221" s="4" t="n"/>
      <c r="T221" s="6" t="n"/>
      <c r="U221" s="6" t="n"/>
      <c r="V221" s="6" t="n"/>
      <c r="W221" s="6" t="n"/>
      <c r="X221" s="6" t="n"/>
    </row>
    <row r="222" ht="14" customHeight="1" s="250">
      <c r="A222" s="4" t="n"/>
      <c r="B222" s="5" t="n"/>
      <c r="C222" s="4" t="n"/>
      <c r="D222" s="4" t="n"/>
      <c r="E222" s="4" t="n"/>
      <c r="F222" s="4" t="n"/>
      <c r="G222" s="4" t="n"/>
      <c r="H222" s="4" t="n"/>
      <c r="I222" s="4" t="n"/>
      <c r="J222" s="4" t="n"/>
      <c r="K222" s="4" t="n"/>
      <c r="L222" s="4" t="n"/>
      <c r="M222" s="4" t="n"/>
      <c r="N222" s="4" t="n"/>
      <c r="O222" s="4" t="n"/>
      <c r="P222" s="4" t="n"/>
      <c r="Q222" s="4" t="n"/>
      <c r="R222" s="4" t="n"/>
      <c r="S222" s="4" t="n"/>
      <c r="T222" s="6" t="n"/>
      <c r="U222" s="6" t="n"/>
      <c r="V222" s="6" t="n"/>
      <c r="W222" s="6" t="n"/>
      <c r="X222" s="6" t="n"/>
    </row>
    <row r="223" ht="14" customHeight="1" s="250">
      <c r="A223" s="4" t="n"/>
      <c r="B223" s="5" t="n"/>
      <c r="C223" s="4" t="n"/>
      <c r="D223" s="4" t="n"/>
      <c r="E223" s="4" t="n"/>
      <c r="F223" s="4" t="n"/>
      <c r="G223" s="4" t="n"/>
      <c r="H223" s="4" t="n"/>
      <c r="I223" s="4" t="n"/>
      <c r="J223" s="4" t="n"/>
      <c r="K223" s="4" t="n"/>
      <c r="L223" s="4" t="n"/>
      <c r="M223" s="4" t="n"/>
      <c r="N223" s="4" t="n"/>
      <c r="O223" s="4" t="n"/>
      <c r="P223" s="4" t="n"/>
      <c r="Q223" s="4" t="n"/>
      <c r="R223" s="4" t="n"/>
      <c r="S223" s="4" t="n"/>
      <c r="T223" s="6" t="n"/>
      <c r="U223" s="6" t="n"/>
      <c r="V223" s="6" t="n"/>
      <c r="W223" s="6" t="n"/>
      <c r="X223" s="6" t="n"/>
    </row>
    <row r="224" ht="14" customHeight="1" s="250">
      <c r="A224" s="4" t="n"/>
      <c r="B224" s="5" t="n"/>
      <c r="C224" s="4" t="n"/>
      <c r="D224" s="4" t="n"/>
      <c r="E224" s="4" t="n"/>
      <c r="F224" s="4" t="n"/>
      <c r="G224" s="4" t="n"/>
      <c r="H224" s="4" t="n"/>
      <c r="I224" s="4" t="n"/>
      <c r="J224" s="4" t="n"/>
      <c r="K224" s="4" t="n"/>
      <c r="L224" s="4" t="n"/>
      <c r="M224" s="4" t="n"/>
      <c r="N224" s="4" t="n"/>
      <c r="O224" s="4" t="n"/>
      <c r="P224" s="4" t="n"/>
      <c r="Q224" s="4" t="n"/>
      <c r="R224" s="4" t="n"/>
      <c r="S224" s="4" t="n"/>
      <c r="T224" s="6" t="n"/>
      <c r="U224" s="6" t="n"/>
      <c r="V224" s="6" t="n"/>
      <c r="W224" s="6" t="n"/>
      <c r="X224" s="6" t="n"/>
    </row>
    <row r="225" ht="14" customHeight="1" s="250">
      <c r="A225" s="4" t="n"/>
      <c r="B225" s="5" t="n"/>
      <c r="C225" s="4" t="n"/>
      <c r="D225" s="4" t="n"/>
      <c r="E225" s="4" t="n"/>
      <c r="F225" s="4" t="n"/>
      <c r="G225" s="4" t="n"/>
      <c r="H225" s="4" t="n"/>
      <c r="I225" s="4" t="n"/>
      <c r="J225" s="4" t="n"/>
      <c r="K225" s="4" t="n"/>
      <c r="L225" s="4" t="n"/>
      <c r="M225" s="4" t="n"/>
      <c r="N225" s="4" t="n"/>
      <c r="O225" s="4" t="n"/>
      <c r="P225" s="4" t="n"/>
      <c r="Q225" s="4" t="n"/>
      <c r="R225" s="4" t="n"/>
      <c r="S225" s="4" t="n"/>
      <c r="T225" s="6" t="n"/>
      <c r="U225" s="6" t="n"/>
      <c r="V225" s="6" t="n"/>
      <c r="W225" s="6" t="n"/>
      <c r="X225" s="6" t="n"/>
    </row>
    <row r="226" ht="14" customHeight="1" s="250">
      <c r="A226" s="4" t="n"/>
      <c r="B226" s="5" t="n"/>
      <c r="C226" s="4" t="n"/>
      <c r="D226" s="4" t="n"/>
      <c r="E226" s="4" t="n"/>
      <c r="F226" s="4" t="n"/>
      <c r="G226" s="4" t="n"/>
      <c r="H226" s="4" t="n"/>
      <c r="I226" s="4" t="n"/>
      <c r="J226" s="4" t="n"/>
      <c r="K226" s="4" t="n"/>
      <c r="L226" s="4" t="n"/>
      <c r="M226" s="4" t="n"/>
      <c r="N226" s="4" t="n"/>
      <c r="O226" s="4" t="n"/>
      <c r="P226" s="4" t="n"/>
      <c r="Q226" s="4" t="n"/>
      <c r="R226" s="4" t="n"/>
      <c r="S226" s="4" t="n"/>
      <c r="T226" s="6" t="n"/>
      <c r="U226" s="6" t="n"/>
      <c r="V226" s="6" t="n"/>
      <c r="W226" s="6" t="n"/>
      <c r="X226" s="6" t="n"/>
    </row>
    <row r="227" ht="14" customHeight="1" s="250">
      <c r="A227" s="4" t="n"/>
      <c r="B227" s="5" t="n"/>
      <c r="C227" s="4" t="n"/>
      <c r="D227" s="4" t="n"/>
      <c r="E227" s="4" t="n"/>
      <c r="F227" s="4" t="n"/>
      <c r="G227" s="4" t="n"/>
      <c r="H227" s="4" t="n"/>
      <c r="I227" s="4" t="n"/>
      <c r="J227" s="4" t="n"/>
      <c r="K227" s="4" t="n"/>
      <c r="L227" s="4" t="n"/>
      <c r="M227" s="4" t="n"/>
      <c r="N227" s="4" t="n"/>
      <c r="O227" s="4" t="n"/>
      <c r="P227" s="4" t="n"/>
      <c r="Q227" s="4" t="n"/>
      <c r="R227" s="4" t="n"/>
      <c r="S227" s="4" t="n"/>
      <c r="T227" s="6" t="n"/>
      <c r="U227" s="6" t="n"/>
      <c r="V227" s="6" t="n"/>
      <c r="W227" s="6" t="n"/>
      <c r="X227" s="6" t="n"/>
    </row>
    <row r="228" ht="14" customHeight="1" s="250">
      <c r="A228" s="4" t="n"/>
      <c r="B228" s="5" t="n"/>
      <c r="C228" s="4" t="n"/>
      <c r="D228" s="4" t="n"/>
      <c r="E228" s="4" t="n"/>
      <c r="F228" s="4" t="n"/>
      <c r="G228" s="4" t="n"/>
      <c r="H228" s="4" t="n"/>
      <c r="I228" s="4" t="n"/>
      <c r="J228" s="4" t="n"/>
      <c r="K228" s="4" t="n"/>
      <c r="L228" s="4" t="n"/>
      <c r="M228" s="4" t="n"/>
      <c r="N228" s="4" t="n"/>
      <c r="O228" s="4" t="n"/>
      <c r="P228" s="4" t="n"/>
      <c r="Q228" s="4" t="n"/>
      <c r="R228" s="4" t="n"/>
      <c r="S228" s="4" t="n"/>
      <c r="T228" s="6" t="n"/>
      <c r="U228" s="6" t="n"/>
      <c r="V228" s="6" t="n"/>
      <c r="W228" s="6" t="n"/>
      <c r="X228" s="6" t="n"/>
    </row>
    <row r="229" ht="14" customHeight="1" s="250">
      <c r="A229" s="4" t="n"/>
      <c r="B229" s="5" t="n"/>
      <c r="C229" s="4" t="n"/>
      <c r="D229" s="4" t="n"/>
      <c r="E229" s="4" t="n"/>
      <c r="F229" s="4" t="n"/>
      <c r="G229" s="4" t="n"/>
      <c r="H229" s="4" t="n"/>
      <c r="I229" s="4" t="n"/>
      <c r="J229" s="4" t="n"/>
      <c r="K229" s="4" t="n"/>
      <c r="L229" s="4" t="n"/>
      <c r="M229" s="4" t="n"/>
      <c r="N229" s="4" t="n"/>
      <c r="O229" s="4" t="n"/>
      <c r="P229" s="4" t="n"/>
      <c r="Q229" s="4" t="n"/>
      <c r="R229" s="4" t="n"/>
      <c r="S229" s="4" t="n"/>
      <c r="T229" s="6" t="n"/>
      <c r="U229" s="6" t="n"/>
      <c r="V229" s="6" t="n"/>
      <c r="W229" s="6" t="n"/>
      <c r="X229" s="6" t="n"/>
    </row>
    <row r="230" ht="14" customHeight="1" s="250">
      <c r="A230" s="4" t="n"/>
      <c r="B230" s="5" t="n"/>
      <c r="C230" s="4" t="n"/>
      <c r="D230" s="4" t="n"/>
      <c r="E230" s="4" t="n"/>
      <c r="F230" s="4" t="n"/>
      <c r="G230" s="4" t="n"/>
      <c r="H230" s="4" t="n"/>
      <c r="I230" s="4" t="n"/>
      <c r="J230" s="4" t="n"/>
      <c r="K230" s="4" t="n"/>
      <c r="L230" s="4" t="n"/>
      <c r="M230" s="4" t="n"/>
      <c r="N230" s="4" t="n"/>
      <c r="O230" s="4" t="n"/>
      <c r="P230" s="4" t="n"/>
      <c r="Q230" s="4" t="n"/>
      <c r="R230" s="4" t="n"/>
      <c r="S230" s="4" t="n"/>
      <c r="T230" s="6" t="n"/>
      <c r="U230" s="6" t="n"/>
      <c r="V230" s="6" t="n"/>
      <c r="W230" s="6" t="n"/>
      <c r="X230" s="6" t="n"/>
    </row>
    <row r="231" ht="14" customHeight="1" s="250">
      <c r="A231" s="4" t="n"/>
      <c r="B231" s="5" t="n"/>
      <c r="C231" s="4" t="n"/>
      <c r="D231" s="4" t="n"/>
      <c r="E231" s="4" t="n"/>
      <c r="F231" s="4" t="n"/>
      <c r="G231" s="4" t="n"/>
      <c r="H231" s="4" t="n"/>
      <c r="I231" s="4" t="n"/>
      <c r="J231" s="4" t="n"/>
      <c r="K231" s="4" t="n"/>
      <c r="L231" s="4" t="n"/>
      <c r="M231" s="4" t="n"/>
      <c r="N231" s="4" t="n"/>
      <c r="O231" s="4" t="n"/>
      <c r="P231" s="4" t="n"/>
      <c r="Q231" s="4" t="n"/>
      <c r="R231" s="4" t="n"/>
      <c r="S231" s="4" t="n"/>
      <c r="T231" s="6" t="n"/>
      <c r="U231" s="6" t="n"/>
      <c r="V231" s="6" t="n"/>
      <c r="W231" s="6" t="n"/>
      <c r="X231" s="6" t="n"/>
    </row>
    <row r="232" ht="14" customHeight="1" s="250">
      <c r="A232" s="4" t="n"/>
      <c r="B232" s="5" t="n"/>
      <c r="C232" s="4" t="n"/>
      <c r="D232" s="4" t="n"/>
      <c r="E232" s="4" t="n"/>
      <c r="F232" s="4" t="n"/>
      <c r="G232" s="4" t="n"/>
      <c r="H232" s="4" t="n"/>
      <c r="I232" s="4" t="n"/>
      <c r="J232" s="4" t="n"/>
      <c r="K232" s="4" t="n"/>
      <c r="L232" s="4" t="n"/>
      <c r="M232" s="4" t="n"/>
      <c r="N232" s="4" t="n"/>
      <c r="O232" s="4" t="n"/>
      <c r="P232" s="4" t="n"/>
      <c r="Q232" s="4" t="n"/>
      <c r="R232" s="4" t="n"/>
      <c r="S232" s="4" t="n"/>
      <c r="T232" s="6" t="n"/>
      <c r="U232" s="6" t="n"/>
      <c r="V232" s="6" t="n"/>
      <c r="W232" s="6" t="n"/>
      <c r="X232" s="6" t="n"/>
    </row>
    <row r="233" ht="14" customHeight="1" s="250">
      <c r="A233" s="4" t="n"/>
      <c r="B233" s="5" t="n"/>
      <c r="C233" s="4" t="n"/>
      <c r="D233" s="4" t="n"/>
      <c r="E233" s="4" t="n"/>
      <c r="F233" s="4" t="n"/>
      <c r="G233" s="4" t="n"/>
      <c r="H233" s="4" t="n"/>
      <c r="I233" s="4" t="n"/>
      <c r="J233" s="4" t="n"/>
      <c r="K233" s="4" t="n"/>
      <c r="L233" s="4" t="n"/>
      <c r="M233" s="4" t="n"/>
      <c r="N233" s="4" t="n"/>
      <c r="O233" s="4" t="n"/>
      <c r="P233" s="4" t="n"/>
      <c r="Q233" s="4" t="n"/>
      <c r="R233" s="4" t="n"/>
      <c r="S233" s="4" t="n"/>
      <c r="T233" s="6" t="n"/>
      <c r="U233" s="6" t="n"/>
      <c r="V233" s="6" t="n"/>
      <c r="W233" s="6" t="n"/>
      <c r="X233" s="6" t="n"/>
    </row>
    <row r="234" ht="14" customHeight="1" s="250">
      <c r="A234" s="4" t="n"/>
      <c r="B234" s="5" t="n"/>
      <c r="C234" s="4" t="n"/>
      <c r="D234" s="4" t="n"/>
      <c r="E234" s="4" t="n"/>
      <c r="F234" s="4" t="n"/>
      <c r="G234" s="4" t="n"/>
      <c r="H234" s="4" t="n"/>
      <c r="I234" s="4" t="n"/>
      <c r="J234" s="4" t="n"/>
      <c r="K234" s="4" t="n"/>
      <c r="L234" s="4" t="n"/>
      <c r="M234" s="4" t="n"/>
      <c r="N234" s="4" t="n"/>
      <c r="O234" s="4" t="n"/>
      <c r="P234" s="4" t="n"/>
      <c r="Q234" s="4" t="n"/>
      <c r="R234" s="4" t="n"/>
      <c r="S234" s="4" t="n"/>
      <c r="T234" s="6" t="n"/>
      <c r="U234" s="6" t="n"/>
      <c r="V234" s="6" t="n"/>
      <c r="W234" s="6" t="n"/>
      <c r="X234" s="6" t="n"/>
    </row>
    <row r="235" ht="14" customHeight="1" s="250">
      <c r="A235" s="4" t="n"/>
      <c r="B235" s="5" t="n"/>
      <c r="C235" s="4" t="n"/>
      <c r="D235" s="4" t="n"/>
      <c r="E235" s="4" t="n"/>
      <c r="F235" s="4" t="n"/>
      <c r="G235" s="4" t="n"/>
      <c r="H235" s="4" t="n"/>
      <c r="I235" s="4" t="n"/>
      <c r="J235" s="4" t="n"/>
      <c r="K235" s="4" t="n"/>
      <c r="L235" s="4" t="n"/>
      <c r="M235" s="4" t="n"/>
      <c r="N235" s="4" t="n"/>
      <c r="O235" s="4" t="n"/>
      <c r="P235" s="4" t="n"/>
      <c r="Q235" s="4" t="n"/>
      <c r="R235" s="4" t="n"/>
      <c r="S235" s="4" t="n"/>
      <c r="T235" s="6" t="n"/>
      <c r="U235" s="6" t="n"/>
      <c r="V235" s="6" t="n"/>
      <c r="W235" s="6" t="n"/>
      <c r="X235" s="6" t="n"/>
    </row>
    <row r="236" ht="14" customHeight="1" s="250">
      <c r="A236" s="4" t="n"/>
      <c r="B236" s="5" t="n"/>
      <c r="C236" s="4" t="n"/>
      <c r="D236" s="4" t="n"/>
      <c r="E236" s="4" t="n"/>
      <c r="F236" s="4" t="n"/>
      <c r="G236" s="4" t="n"/>
      <c r="H236" s="4" t="n"/>
      <c r="I236" s="4" t="n"/>
      <c r="J236" s="4" t="n"/>
      <c r="K236" s="4" t="n"/>
      <c r="L236" s="4" t="n"/>
      <c r="M236" s="4" t="n"/>
      <c r="N236" s="4" t="n"/>
      <c r="O236" s="4" t="n"/>
      <c r="P236" s="4" t="n"/>
      <c r="Q236" s="4" t="n"/>
      <c r="R236" s="4" t="n"/>
      <c r="S236" s="4" t="n"/>
      <c r="T236" s="6" t="n"/>
      <c r="U236" s="6" t="n"/>
      <c r="V236" s="6" t="n"/>
      <c r="W236" s="6" t="n"/>
      <c r="X236" s="6" t="n"/>
    </row>
    <row r="237" ht="14" customHeight="1" s="250">
      <c r="A237" s="4" t="n"/>
      <c r="B237" s="5" t="n"/>
      <c r="C237" s="4" t="n"/>
      <c r="D237" s="4" t="n"/>
      <c r="E237" s="4" t="n"/>
      <c r="F237" s="4" t="n"/>
      <c r="G237" s="4" t="n"/>
      <c r="H237" s="4" t="n"/>
      <c r="I237" s="4" t="n"/>
      <c r="J237" s="4" t="n"/>
      <c r="K237" s="4" t="n"/>
      <c r="L237" s="4" t="n"/>
      <c r="M237" s="4" t="n"/>
      <c r="N237" s="4" t="n"/>
      <c r="O237" s="4" t="n"/>
      <c r="P237" s="4" t="n"/>
      <c r="Q237" s="4" t="n"/>
      <c r="R237" s="4" t="n"/>
      <c r="S237" s="4" t="n"/>
      <c r="T237" s="6" t="n"/>
      <c r="U237" s="6" t="n"/>
      <c r="V237" s="6" t="n"/>
      <c r="W237" s="6" t="n"/>
      <c r="X237" s="6" t="n"/>
    </row>
    <row r="238" ht="14" customHeight="1" s="250">
      <c r="A238" s="4" t="n"/>
      <c r="B238" s="5" t="n"/>
      <c r="C238" s="4" t="n"/>
      <c r="D238" s="4" t="n"/>
      <c r="E238" s="4" t="n"/>
      <c r="F238" s="4" t="n"/>
      <c r="G238" s="4" t="n"/>
      <c r="H238" s="4" t="n"/>
      <c r="I238" s="4" t="n"/>
      <c r="J238" s="4" t="n"/>
      <c r="K238" s="4" t="n"/>
      <c r="L238" s="4" t="n"/>
      <c r="M238" s="4" t="n"/>
      <c r="N238" s="4" t="n"/>
      <c r="O238" s="4" t="n"/>
      <c r="P238" s="4" t="n"/>
      <c r="Q238" s="4" t="n"/>
      <c r="R238" s="4" t="n"/>
      <c r="S238" s="4" t="n"/>
      <c r="T238" s="6" t="n"/>
      <c r="U238" s="6" t="n"/>
      <c r="V238" s="6" t="n"/>
      <c r="W238" s="6" t="n"/>
      <c r="X238" s="6" t="n"/>
    </row>
    <row r="239" ht="14" customHeight="1" s="250">
      <c r="A239" s="4" t="n"/>
      <c r="B239" s="5" t="n"/>
      <c r="C239" s="4" t="n"/>
      <c r="D239" s="4" t="n"/>
      <c r="E239" s="4" t="n"/>
      <c r="F239" s="4" t="n"/>
      <c r="G239" s="4" t="n"/>
      <c r="H239" s="4" t="n"/>
      <c r="I239" s="4" t="n"/>
      <c r="J239" s="4" t="n"/>
      <c r="K239" s="4" t="n"/>
      <c r="L239" s="4" t="n"/>
      <c r="M239" s="4" t="n"/>
      <c r="N239" s="4" t="n"/>
      <c r="O239" s="4" t="n"/>
      <c r="P239" s="4" t="n"/>
      <c r="Q239" s="4" t="n"/>
      <c r="R239" s="4" t="n"/>
      <c r="S239" s="4" t="n"/>
      <c r="T239" s="6" t="n"/>
      <c r="U239" s="6" t="n"/>
      <c r="V239" s="6" t="n"/>
      <c r="W239" s="6" t="n"/>
      <c r="X239" s="6" t="n"/>
    </row>
    <row r="240" ht="14" customHeight="1" s="250">
      <c r="A240" s="4" t="n"/>
      <c r="B240" s="5" t="n"/>
      <c r="C240" s="4" t="n"/>
      <c r="D240" s="4" t="n"/>
      <c r="E240" s="4" t="n"/>
      <c r="F240" s="4" t="n"/>
      <c r="G240" s="4" t="n"/>
      <c r="H240" s="4" t="n"/>
      <c r="I240" s="4" t="n"/>
      <c r="J240" s="4" t="n"/>
      <c r="K240" s="4" t="n"/>
      <c r="L240" s="4" t="n"/>
      <c r="M240" s="4" t="n"/>
      <c r="N240" s="4" t="n"/>
      <c r="O240" s="4" t="n"/>
      <c r="P240" s="4" t="n"/>
      <c r="Q240" s="4" t="n"/>
      <c r="R240" s="4" t="n"/>
      <c r="S240" s="4" t="n"/>
      <c r="T240" s="6" t="n"/>
      <c r="U240" s="6" t="n"/>
      <c r="V240" s="6" t="n"/>
      <c r="W240" s="6" t="n"/>
      <c r="X240" s="6" t="n"/>
    </row>
    <row r="241" ht="14" customHeight="1" s="250">
      <c r="A241" s="4" t="n"/>
      <c r="B241" s="5" t="n"/>
      <c r="C241" s="4" t="n"/>
      <c r="D241" s="4" t="n"/>
      <c r="E241" s="4" t="n"/>
      <c r="F241" s="4" t="n"/>
      <c r="G241" s="4" t="n"/>
      <c r="H241" s="4" t="n"/>
      <c r="I241" s="4" t="n"/>
      <c r="J241" s="4" t="n"/>
      <c r="K241" s="4" t="n"/>
      <c r="L241" s="4" t="n"/>
      <c r="M241" s="4" t="n"/>
      <c r="N241" s="4" t="n"/>
      <c r="O241" s="4" t="n"/>
      <c r="P241" s="4" t="n"/>
      <c r="Q241" s="4" t="n"/>
      <c r="R241" s="4" t="n"/>
      <c r="S241" s="4" t="n"/>
      <c r="T241" s="6" t="n"/>
      <c r="U241" s="6" t="n"/>
      <c r="V241" s="6" t="n"/>
      <c r="W241" s="6" t="n"/>
      <c r="X241" s="6" t="n"/>
    </row>
    <row r="242" ht="14" customHeight="1" s="250">
      <c r="A242" s="4" t="n"/>
      <c r="B242" s="5" t="n"/>
      <c r="C242" s="4" t="n"/>
      <c r="D242" s="4" t="n"/>
      <c r="E242" s="4" t="n"/>
      <c r="F242" s="4" t="n"/>
      <c r="G242" s="4" t="n"/>
      <c r="H242" s="4" t="n"/>
      <c r="I242" s="4" t="n"/>
      <c r="J242" s="4" t="n"/>
      <c r="K242" s="4" t="n"/>
      <c r="L242" s="4" t="n"/>
      <c r="M242" s="4" t="n"/>
      <c r="N242" s="4" t="n"/>
      <c r="O242" s="4" t="n"/>
      <c r="P242" s="4" t="n"/>
      <c r="Q242" s="4" t="n"/>
      <c r="R242" s="4" t="n"/>
      <c r="S242" s="4" t="n"/>
      <c r="T242" s="6" t="n"/>
      <c r="U242" s="6" t="n"/>
      <c r="V242" s="6" t="n"/>
      <c r="W242" s="6" t="n"/>
      <c r="X242" s="6" t="n"/>
    </row>
    <row r="243" ht="14" customHeight="1" s="250">
      <c r="A243" s="4" t="n"/>
      <c r="B243" s="5" t="n"/>
      <c r="C243" s="4" t="n"/>
      <c r="D243" s="4" t="n"/>
      <c r="E243" s="4" t="n"/>
      <c r="F243" s="4" t="n"/>
      <c r="G243" s="4" t="n"/>
      <c r="H243" s="4" t="n"/>
      <c r="I243" s="4" t="n"/>
      <c r="J243" s="4" t="n"/>
      <c r="K243" s="4" t="n"/>
      <c r="L243" s="4" t="n"/>
      <c r="M243" s="4" t="n"/>
      <c r="N243" s="4" t="n"/>
      <c r="O243" s="4" t="n"/>
      <c r="P243" s="4" t="n"/>
      <c r="Q243" s="4" t="n"/>
      <c r="R243" s="4" t="n"/>
      <c r="S243" s="4" t="n"/>
      <c r="T243" s="6" t="n"/>
      <c r="U243" s="6" t="n"/>
      <c r="V243" s="6" t="n"/>
      <c r="W243" s="6" t="n"/>
      <c r="X243" s="6" t="n"/>
    </row>
    <row r="244" ht="14" customHeight="1" s="250">
      <c r="A244" s="4" t="n"/>
      <c r="B244" s="5" t="n"/>
      <c r="C244" s="4" t="n"/>
      <c r="D244" s="4" t="n"/>
      <c r="E244" s="4" t="n"/>
      <c r="F244" s="4" t="n"/>
      <c r="G244" s="4" t="n"/>
      <c r="H244" s="4" t="n"/>
      <c r="I244" s="4" t="n"/>
      <c r="J244" s="4" t="n"/>
      <c r="K244" s="4" t="n"/>
      <c r="L244" s="4" t="n"/>
      <c r="M244" s="4" t="n"/>
      <c r="N244" s="4" t="n"/>
      <c r="O244" s="4" t="n"/>
      <c r="P244" s="4" t="n"/>
      <c r="Q244" s="4" t="n"/>
      <c r="R244" s="4" t="n"/>
      <c r="S244" s="4" t="n"/>
      <c r="T244" s="6" t="n"/>
      <c r="U244" s="6" t="n"/>
      <c r="V244" s="6" t="n"/>
      <c r="W244" s="6" t="n"/>
      <c r="X244" s="6" t="n"/>
    </row>
    <row r="245" ht="14" customHeight="1" s="250">
      <c r="A245" s="4" t="n"/>
      <c r="B245" s="5" t="n"/>
      <c r="C245" s="4" t="n"/>
      <c r="D245" s="4" t="n"/>
      <c r="E245" s="4" t="n"/>
      <c r="F245" s="4" t="n"/>
      <c r="G245" s="4" t="n"/>
      <c r="H245" s="4" t="n"/>
      <c r="I245" s="4" t="n"/>
      <c r="J245" s="4" t="n"/>
      <c r="K245" s="4" t="n"/>
      <c r="L245" s="4" t="n"/>
      <c r="M245" s="4" t="n"/>
      <c r="N245" s="4" t="n"/>
      <c r="O245" s="4" t="n"/>
      <c r="P245" s="4" t="n"/>
      <c r="Q245" s="4" t="n"/>
      <c r="R245" s="4" t="n"/>
      <c r="S245" s="4" t="n"/>
      <c r="T245" s="6" t="n"/>
      <c r="U245" s="6" t="n"/>
      <c r="V245" s="6" t="n"/>
      <c r="W245" s="6" t="n"/>
      <c r="X245" s="6" t="n"/>
    </row>
    <row r="246" ht="14" customHeight="1" s="250">
      <c r="A246" s="4" t="n"/>
      <c r="B246" s="5" t="n"/>
      <c r="C246" s="4" t="n"/>
      <c r="D246" s="4" t="n"/>
      <c r="E246" s="4" t="n"/>
      <c r="F246" s="4" t="n"/>
      <c r="G246" s="4" t="n"/>
      <c r="H246" s="4" t="n"/>
      <c r="I246" s="4" t="n"/>
      <c r="J246" s="4" t="n"/>
      <c r="K246" s="4" t="n"/>
      <c r="L246" s="4" t="n"/>
      <c r="M246" s="4" t="n"/>
      <c r="N246" s="4" t="n"/>
      <c r="O246" s="4" t="n"/>
      <c r="P246" s="4" t="n"/>
      <c r="Q246" s="4" t="n"/>
      <c r="R246" s="4" t="n"/>
      <c r="S246" s="4" t="n"/>
      <c r="T246" s="6" t="n"/>
      <c r="U246" s="6" t="n"/>
      <c r="V246" s="6" t="n"/>
      <c r="W246" s="6" t="n"/>
      <c r="X246" s="6" t="n"/>
    </row>
    <row r="247" ht="14" customHeight="1" s="250">
      <c r="A247" s="4" t="n"/>
      <c r="B247" s="5" t="n"/>
      <c r="C247" s="4" t="n"/>
      <c r="D247" s="4" t="n"/>
      <c r="E247" s="4" t="n"/>
      <c r="F247" s="4" t="n"/>
      <c r="G247" s="4" t="n"/>
      <c r="H247" s="4" t="n"/>
      <c r="I247" s="4" t="n"/>
      <c r="J247" s="4" t="n"/>
      <c r="K247" s="4" t="n"/>
      <c r="L247" s="4" t="n"/>
      <c r="M247" s="4" t="n"/>
      <c r="N247" s="4" t="n"/>
      <c r="O247" s="4" t="n"/>
      <c r="P247" s="4" t="n"/>
      <c r="Q247" s="4" t="n"/>
      <c r="R247" s="4" t="n"/>
      <c r="S247" s="4" t="n"/>
      <c r="T247" s="6" t="n"/>
      <c r="U247" s="6" t="n"/>
      <c r="V247" s="6" t="n"/>
      <c r="W247" s="6" t="n"/>
      <c r="X247" s="6" t="n"/>
    </row>
    <row r="248" ht="14" customHeight="1" s="250">
      <c r="A248" s="4" t="n"/>
      <c r="B248" s="5" t="n"/>
      <c r="C248" s="4" t="n"/>
      <c r="D248" s="4" t="n"/>
      <c r="E248" s="4" t="n"/>
      <c r="F248" s="4" t="n"/>
      <c r="G248" s="4" t="n"/>
      <c r="H248" s="4" t="n"/>
      <c r="I248" s="4" t="n"/>
      <c r="J248" s="4" t="n"/>
      <c r="K248" s="4" t="n"/>
      <c r="L248" s="4" t="n"/>
      <c r="M248" s="4" t="n"/>
      <c r="N248" s="4" t="n"/>
      <c r="O248" s="4" t="n"/>
      <c r="P248" s="4" t="n"/>
      <c r="Q248" s="4" t="n"/>
      <c r="R248" s="4" t="n"/>
      <c r="S248" s="4" t="n"/>
      <c r="T248" s="6" t="n"/>
      <c r="U248" s="6" t="n"/>
      <c r="V248" s="6" t="n"/>
      <c r="W248" s="6" t="n"/>
      <c r="X248" s="6" t="n"/>
    </row>
    <row r="249" ht="14" customHeight="1" s="250">
      <c r="A249" s="4" t="n"/>
      <c r="B249" s="5" t="n"/>
      <c r="C249" s="4" t="n"/>
      <c r="D249" s="4" t="n"/>
      <c r="E249" s="4" t="n"/>
      <c r="F249" s="4" t="n"/>
      <c r="G249" s="4" t="n"/>
      <c r="H249" s="4" t="n"/>
      <c r="I249" s="4" t="n"/>
      <c r="J249" s="4" t="n"/>
      <c r="K249" s="4" t="n"/>
      <c r="L249" s="4" t="n"/>
      <c r="M249" s="4" t="n"/>
      <c r="N249" s="4" t="n"/>
      <c r="O249" s="4" t="n"/>
      <c r="P249" s="4" t="n"/>
      <c r="Q249" s="4" t="n"/>
      <c r="R249" s="4" t="n"/>
      <c r="S249" s="4" t="n"/>
      <c r="T249" s="6" t="n"/>
      <c r="U249" s="6" t="n"/>
      <c r="V249" s="6" t="n"/>
      <c r="W249" s="6" t="n"/>
      <c r="X249" s="6" t="n"/>
    </row>
    <row r="250" ht="14" customHeight="1" s="250">
      <c r="A250" s="4" t="n"/>
      <c r="B250" s="5" t="n"/>
      <c r="C250" s="4" t="n"/>
      <c r="D250" s="4" t="n"/>
      <c r="E250" s="4" t="n"/>
      <c r="F250" s="4" t="n"/>
      <c r="G250" s="4" t="n"/>
      <c r="H250" s="4" t="n"/>
      <c r="I250" s="4" t="n"/>
      <c r="J250" s="4" t="n"/>
      <c r="K250" s="4" t="n"/>
      <c r="L250" s="4" t="n"/>
      <c r="M250" s="4" t="n"/>
      <c r="N250" s="4" t="n"/>
      <c r="O250" s="4" t="n"/>
      <c r="P250" s="4" t="n"/>
      <c r="Q250" s="4" t="n"/>
      <c r="R250" s="4" t="n"/>
      <c r="S250" s="4" t="n"/>
      <c r="T250" s="6" t="n"/>
      <c r="U250" s="6" t="n"/>
      <c r="V250" s="6" t="n"/>
      <c r="W250" s="6" t="n"/>
      <c r="X250" s="6" t="n"/>
    </row>
    <row r="251" ht="14" customHeight="1" s="250">
      <c r="A251" s="4" t="n"/>
      <c r="B251" s="5" t="n"/>
      <c r="C251" s="4" t="n"/>
      <c r="D251" s="4" t="n"/>
      <c r="E251" s="4" t="n"/>
      <c r="F251" s="4" t="n"/>
      <c r="G251" s="4" t="n"/>
      <c r="H251" s="4" t="n"/>
      <c r="I251" s="4" t="n"/>
      <c r="J251" s="4" t="n"/>
      <c r="K251" s="4" t="n"/>
      <c r="L251" s="4" t="n"/>
      <c r="M251" s="4" t="n"/>
      <c r="N251" s="4" t="n"/>
      <c r="O251" s="4" t="n"/>
      <c r="P251" s="4" t="n"/>
      <c r="Q251" s="4" t="n"/>
      <c r="R251" s="4" t="n"/>
      <c r="S251" s="4" t="n"/>
      <c r="T251" s="6" t="n"/>
      <c r="U251" s="6" t="n"/>
      <c r="V251" s="6" t="n"/>
      <c r="W251" s="6" t="n"/>
      <c r="X251" s="6" t="n"/>
    </row>
    <row r="252" ht="14" customHeight="1" s="250">
      <c r="A252" s="4" t="n"/>
      <c r="B252" s="5" t="n"/>
      <c r="C252" s="4" t="n"/>
      <c r="D252" s="4" t="n"/>
      <c r="E252" s="4" t="n"/>
      <c r="F252" s="4" t="n"/>
      <c r="G252" s="4" t="n"/>
      <c r="H252" s="4" t="n"/>
      <c r="I252" s="4" t="n"/>
      <c r="J252" s="4" t="n"/>
      <c r="K252" s="4" t="n"/>
      <c r="L252" s="4" t="n"/>
      <c r="M252" s="4" t="n"/>
      <c r="N252" s="4" t="n"/>
      <c r="O252" s="4" t="n"/>
      <c r="P252" s="4" t="n"/>
      <c r="Q252" s="4" t="n"/>
      <c r="R252" s="4" t="n"/>
      <c r="S252" s="4" t="n"/>
      <c r="T252" s="6" t="n"/>
      <c r="U252" s="6" t="n"/>
      <c r="V252" s="6" t="n"/>
      <c r="W252" s="6" t="n"/>
      <c r="X252" s="6" t="n"/>
    </row>
    <row r="253" ht="14" customHeight="1" s="250">
      <c r="A253" s="4" t="n"/>
      <c r="B253" s="5" t="n"/>
      <c r="C253" s="4" t="n"/>
      <c r="D253" s="4" t="n"/>
      <c r="E253" s="4" t="n"/>
      <c r="F253" s="4" t="n"/>
      <c r="G253" s="4" t="n"/>
      <c r="H253" s="4" t="n"/>
      <c r="I253" s="4" t="n"/>
      <c r="J253" s="4" t="n"/>
      <c r="K253" s="4" t="n"/>
      <c r="L253" s="4" t="n"/>
      <c r="M253" s="4" t="n"/>
      <c r="N253" s="4" t="n"/>
      <c r="O253" s="4" t="n"/>
      <c r="P253" s="4" t="n"/>
      <c r="Q253" s="4" t="n"/>
      <c r="R253" s="4" t="n"/>
      <c r="S253" s="4" t="n"/>
      <c r="T253" s="6" t="n"/>
      <c r="U253" s="6" t="n"/>
      <c r="V253" s="6" t="n"/>
      <c r="W253" s="6" t="n"/>
      <c r="X253" s="6" t="n"/>
    </row>
    <row r="254" ht="14" customHeight="1" s="250">
      <c r="A254" s="4" t="n"/>
      <c r="B254" s="5" t="n"/>
      <c r="C254" s="4" t="n"/>
      <c r="D254" s="4" t="n"/>
      <c r="E254" s="4" t="n"/>
      <c r="F254" s="4" t="n"/>
      <c r="G254" s="4" t="n"/>
      <c r="H254" s="4" t="n"/>
      <c r="I254" s="4" t="n"/>
      <c r="J254" s="4" t="n"/>
      <c r="K254" s="4" t="n"/>
      <c r="L254" s="4" t="n"/>
      <c r="M254" s="4" t="n"/>
      <c r="N254" s="4" t="n"/>
      <c r="O254" s="4" t="n"/>
      <c r="P254" s="4" t="n"/>
      <c r="Q254" s="4" t="n"/>
      <c r="R254" s="4" t="n"/>
      <c r="S254" s="4" t="n"/>
      <c r="T254" s="6" t="n"/>
      <c r="U254" s="6" t="n"/>
      <c r="V254" s="6" t="n"/>
      <c r="W254" s="6" t="n"/>
      <c r="X254" s="6" t="n"/>
    </row>
    <row r="255" ht="14" customHeight="1" s="250">
      <c r="A255" s="4" t="n"/>
      <c r="B255" s="5" t="n"/>
      <c r="C255" s="4" t="n"/>
      <c r="D255" s="4" t="n"/>
      <c r="E255" s="4" t="n"/>
      <c r="F255" s="4" t="n"/>
      <c r="G255" s="4" t="n"/>
      <c r="H255" s="4" t="n"/>
      <c r="I255" s="4" t="n"/>
      <c r="J255" s="4" t="n"/>
      <c r="K255" s="4" t="n"/>
      <c r="L255" s="4" t="n"/>
      <c r="M255" s="4" t="n"/>
      <c r="N255" s="4" t="n"/>
      <c r="O255" s="4" t="n"/>
      <c r="P255" s="4" t="n"/>
      <c r="Q255" s="4" t="n"/>
      <c r="R255" s="4" t="n"/>
      <c r="S255" s="4" t="n"/>
      <c r="T255" s="6" t="n"/>
      <c r="U255" s="6" t="n"/>
      <c r="V255" s="6" t="n"/>
      <c r="W255" s="6" t="n"/>
      <c r="X255" s="6" t="n"/>
    </row>
    <row r="256" ht="14" customHeight="1" s="250">
      <c r="A256" s="4" t="n"/>
      <c r="B256" s="5" t="n"/>
      <c r="C256" s="4" t="n"/>
      <c r="D256" s="4" t="n"/>
      <c r="E256" s="4" t="n"/>
      <c r="F256" s="4" t="n"/>
      <c r="G256" s="4" t="n"/>
      <c r="H256" s="4" t="n"/>
      <c r="I256" s="4" t="n"/>
      <c r="J256" s="4" t="n"/>
      <c r="K256" s="4" t="n"/>
      <c r="L256" s="4" t="n"/>
      <c r="M256" s="4" t="n"/>
      <c r="N256" s="4" t="n"/>
      <c r="O256" s="4" t="n"/>
      <c r="P256" s="4" t="n"/>
      <c r="Q256" s="4" t="n"/>
      <c r="R256" s="4" t="n"/>
      <c r="S256" s="4" t="n"/>
      <c r="T256" s="6" t="n"/>
      <c r="U256" s="6" t="n"/>
      <c r="V256" s="6" t="n"/>
      <c r="W256" s="6" t="n"/>
      <c r="X256" s="6" t="n"/>
    </row>
    <row r="257" ht="14" customHeight="1" s="250">
      <c r="A257" s="4" t="n"/>
      <c r="B257" s="5" t="n"/>
      <c r="C257" s="4" t="n"/>
      <c r="D257" s="4" t="n"/>
      <c r="E257" s="4" t="n"/>
      <c r="F257" s="4" t="n"/>
      <c r="G257" s="4" t="n"/>
      <c r="H257" s="4" t="n"/>
      <c r="I257" s="4" t="n"/>
      <c r="J257" s="4" t="n"/>
      <c r="K257" s="4" t="n"/>
      <c r="L257" s="4" t="n"/>
      <c r="M257" s="4" t="n"/>
      <c r="N257" s="4" t="n"/>
      <c r="O257" s="4" t="n"/>
      <c r="P257" s="4" t="n"/>
      <c r="Q257" s="4" t="n"/>
      <c r="R257" s="4" t="n"/>
      <c r="S257" s="4" t="n"/>
      <c r="T257" s="6" t="n"/>
      <c r="U257" s="6" t="n"/>
      <c r="V257" s="6" t="n"/>
      <c r="W257" s="6" t="n"/>
      <c r="X257" s="6" t="n"/>
    </row>
    <row r="258" ht="14" customHeight="1" s="250">
      <c r="A258" s="4" t="n"/>
      <c r="B258" s="5" t="n"/>
      <c r="C258" s="4" t="n"/>
      <c r="D258" s="4" t="n"/>
      <c r="E258" s="4" t="n"/>
      <c r="F258" s="4" t="n"/>
      <c r="G258" s="4" t="n"/>
      <c r="H258" s="4" t="n"/>
      <c r="I258" s="4" t="n"/>
      <c r="J258" s="4" t="n"/>
      <c r="K258" s="4" t="n"/>
      <c r="L258" s="4" t="n"/>
      <c r="M258" s="4" t="n"/>
      <c r="N258" s="4" t="n"/>
      <c r="O258" s="4" t="n"/>
      <c r="P258" s="4" t="n"/>
      <c r="Q258" s="4" t="n"/>
      <c r="R258" s="4" t="n"/>
      <c r="S258" s="4" t="n"/>
      <c r="T258" s="6" t="n"/>
      <c r="U258" s="6" t="n"/>
      <c r="V258" s="6" t="n"/>
      <c r="W258" s="6" t="n"/>
      <c r="X258" s="6" t="n"/>
    </row>
    <row r="259" ht="14" customHeight="1" s="250">
      <c r="A259" s="4" t="n"/>
      <c r="B259" s="5" t="n"/>
      <c r="C259" s="4" t="n"/>
      <c r="D259" s="4" t="n"/>
      <c r="E259" s="4" t="n"/>
      <c r="F259" s="4" t="n"/>
      <c r="G259" s="4" t="n"/>
      <c r="H259" s="4" t="n"/>
      <c r="I259" s="4" t="n"/>
      <c r="J259" s="4" t="n"/>
      <c r="K259" s="4" t="n"/>
      <c r="L259" s="4" t="n"/>
      <c r="M259" s="4" t="n"/>
      <c r="N259" s="4" t="n"/>
      <c r="O259" s="4" t="n"/>
      <c r="P259" s="4" t="n"/>
      <c r="Q259" s="4" t="n"/>
      <c r="R259" s="4" t="n"/>
      <c r="S259" s="4" t="n"/>
      <c r="T259" s="6" t="n"/>
      <c r="U259" s="6" t="n"/>
      <c r="V259" s="6" t="n"/>
      <c r="W259" s="6" t="n"/>
      <c r="X259" s="6" t="n"/>
    </row>
    <row r="260" ht="14" customHeight="1" s="250">
      <c r="A260" s="4" t="n"/>
      <c r="B260" s="5" t="n"/>
      <c r="C260" s="4" t="n"/>
      <c r="D260" s="4" t="n"/>
      <c r="E260" s="4" t="n"/>
      <c r="F260" s="4" t="n"/>
      <c r="G260" s="4" t="n"/>
      <c r="H260" s="4" t="n"/>
      <c r="I260" s="4" t="n"/>
      <c r="J260" s="4" t="n"/>
      <c r="K260" s="4" t="n"/>
      <c r="L260" s="4" t="n"/>
      <c r="M260" s="4" t="n"/>
      <c r="N260" s="4" t="n"/>
      <c r="O260" s="4" t="n"/>
      <c r="P260" s="4" t="n"/>
      <c r="Q260" s="4" t="n"/>
      <c r="R260" s="4" t="n"/>
      <c r="S260" s="4" t="n"/>
      <c r="T260" s="6" t="n"/>
      <c r="U260" s="6" t="n"/>
      <c r="V260" s="6" t="n"/>
      <c r="W260" s="6" t="n"/>
      <c r="X260" s="6" t="n"/>
    </row>
    <row r="261" ht="14" customHeight="1" s="250">
      <c r="A261" s="4" t="n"/>
      <c r="B261" s="5" t="n"/>
      <c r="C261" s="4" t="n"/>
      <c r="D261" s="4" t="n"/>
      <c r="E261" s="4" t="n"/>
      <c r="F261" s="4" t="n"/>
      <c r="G261" s="4" t="n"/>
      <c r="H261" s="4" t="n"/>
      <c r="I261" s="4" t="n"/>
      <c r="J261" s="4" t="n"/>
      <c r="K261" s="4" t="n"/>
      <c r="L261" s="4" t="n"/>
      <c r="M261" s="4" t="n"/>
      <c r="N261" s="4" t="n"/>
      <c r="O261" s="4" t="n"/>
      <c r="P261" s="4" t="n"/>
      <c r="Q261" s="4" t="n"/>
      <c r="R261" s="4" t="n"/>
      <c r="S261" s="4" t="n"/>
      <c r="T261" s="6" t="n"/>
      <c r="U261" s="6" t="n"/>
      <c r="V261" s="6" t="n"/>
      <c r="W261" s="6" t="n"/>
      <c r="X261" s="6" t="n"/>
    </row>
    <row r="262" ht="14" customHeight="1" s="250">
      <c r="A262" s="4" t="n"/>
      <c r="B262" s="5" t="n"/>
      <c r="C262" s="4" t="n"/>
      <c r="D262" s="4" t="n"/>
      <c r="E262" s="4" t="n"/>
      <c r="F262" s="4" t="n"/>
      <c r="G262" s="4" t="n"/>
      <c r="H262" s="4" t="n"/>
      <c r="I262" s="4" t="n"/>
      <c r="J262" s="4" t="n"/>
      <c r="K262" s="4" t="n"/>
      <c r="L262" s="4" t="n"/>
      <c r="M262" s="4" t="n"/>
      <c r="N262" s="4" t="n"/>
      <c r="O262" s="4" t="n"/>
      <c r="P262" s="4" t="n"/>
      <c r="Q262" s="4" t="n"/>
      <c r="R262" s="4" t="n"/>
      <c r="S262" s="4" t="n"/>
      <c r="T262" s="6" t="n"/>
      <c r="U262" s="6" t="n"/>
      <c r="V262" s="6" t="n"/>
      <c r="W262" s="6" t="n"/>
      <c r="X262" s="6" t="n"/>
    </row>
    <row r="263" ht="14" customHeight="1" s="250">
      <c r="A263" s="4" t="n"/>
      <c r="B263" s="5" t="n"/>
      <c r="C263" s="4" t="n"/>
      <c r="D263" s="4" t="n"/>
      <c r="E263" s="4" t="n"/>
      <c r="F263" s="4" t="n"/>
      <c r="G263" s="4" t="n"/>
      <c r="H263" s="4" t="n"/>
      <c r="I263" s="4" t="n"/>
      <c r="J263" s="4" t="n"/>
      <c r="K263" s="4" t="n"/>
      <c r="L263" s="4" t="n"/>
      <c r="M263" s="4" t="n"/>
      <c r="N263" s="4" t="n"/>
      <c r="O263" s="4" t="n"/>
      <c r="P263" s="4" t="n"/>
      <c r="Q263" s="4" t="n"/>
      <c r="R263" s="4" t="n"/>
      <c r="S263" s="4" t="n"/>
      <c r="T263" s="6" t="n"/>
      <c r="U263" s="6" t="n"/>
      <c r="V263" s="6" t="n"/>
      <c r="W263" s="6" t="n"/>
      <c r="X263" s="6" t="n"/>
    </row>
    <row r="264" ht="14" customHeight="1" s="250">
      <c r="A264" s="4" t="n"/>
      <c r="B264" s="5" t="n"/>
      <c r="C264" s="4" t="n"/>
      <c r="D264" s="4" t="n"/>
      <c r="E264" s="4" t="n"/>
      <c r="F264" s="4" t="n"/>
      <c r="G264" s="4" t="n"/>
      <c r="H264" s="4" t="n"/>
      <c r="I264" s="4" t="n"/>
      <c r="J264" s="4" t="n"/>
      <c r="K264" s="4" t="n"/>
      <c r="L264" s="4" t="n"/>
      <c r="M264" s="4" t="n"/>
      <c r="N264" s="4" t="n"/>
      <c r="O264" s="4" t="n"/>
      <c r="P264" s="4" t="n"/>
      <c r="Q264" s="4" t="n"/>
      <c r="R264" s="4" t="n"/>
      <c r="S264" s="4" t="n"/>
      <c r="T264" s="6" t="n"/>
      <c r="U264" s="6" t="n"/>
      <c r="V264" s="6" t="n"/>
      <c r="W264" s="6" t="n"/>
      <c r="X264" s="6" t="n"/>
    </row>
    <row r="265" ht="14" customHeight="1" s="250">
      <c r="A265" s="4" t="n"/>
      <c r="B265" s="5" t="n"/>
      <c r="C265" s="4" t="n"/>
      <c r="D265" s="4" t="n"/>
      <c r="E265" s="4" t="n"/>
      <c r="F265" s="4" t="n"/>
      <c r="G265" s="4" t="n"/>
      <c r="H265" s="4" t="n"/>
      <c r="I265" s="4" t="n"/>
      <c r="J265" s="4" t="n"/>
      <c r="K265" s="4" t="n"/>
      <c r="L265" s="4" t="n"/>
      <c r="M265" s="4" t="n"/>
      <c r="N265" s="4" t="n"/>
      <c r="O265" s="4" t="n"/>
      <c r="P265" s="4" t="n"/>
      <c r="Q265" s="4" t="n"/>
      <c r="R265" s="4" t="n"/>
      <c r="S265" s="4" t="n"/>
      <c r="T265" s="6" t="n"/>
      <c r="U265" s="6" t="n"/>
      <c r="V265" s="6" t="n"/>
      <c r="W265" s="6" t="n"/>
      <c r="X265" s="6" t="n"/>
    </row>
    <row r="266" ht="14" customHeight="1" s="250">
      <c r="A266" s="4" t="n"/>
      <c r="B266" s="5" t="n"/>
      <c r="C266" s="4" t="n"/>
      <c r="D266" s="4" t="n"/>
      <c r="E266" s="4" t="n"/>
      <c r="F266" s="4" t="n"/>
      <c r="G266" s="4" t="n"/>
      <c r="H266" s="4" t="n"/>
      <c r="I266" s="4" t="n"/>
      <c r="J266" s="4" t="n"/>
      <c r="K266" s="4" t="n"/>
      <c r="L266" s="4" t="n"/>
      <c r="M266" s="4" t="n"/>
      <c r="N266" s="4" t="n"/>
      <c r="O266" s="4" t="n"/>
      <c r="P266" s="4" t="n"/>
      <c r="Q266" s="4" t="n"/>
      <c r="R266" s="4" t="n"/>
      <c r="S266" s="4" t="n"/>
      <c r="T266" s="6" t="n"/>
      <c r="U266" s="6" t="n"/>
      <c r="V266" s="6" t="n"/>
      <c r="W266" s="6" t="n"/>
      <c r="X266" s="6" t="n"/>
    </row>
    <row r="267" ht="14" customHeight="1" s="250">
      <c r="A267" s="4" t="n"/>
      <c r="B267" s="5" t="n"/>
      <c r="C267" s="4" t="n"/>
      <c r="D267" s="4" t="n"/>
      <c r="E267" s="4" t="n"/>
      <c r="F267" s="4" t="n"/>
      <c r="G267" s="4" t="n"/>
      <c r="H267" s="4" t="n"/>
      <c r="I267" s="4" t="n"/>
      <c r="J267" s="4" t="n"/>
      <c r="K267" s="4" t="n"/>
      <c r="L267" s="4" t="n"/>
      <c r="M267" s="4" t="n"/>
      <c r="N267" s="4" t="n"/>
      <c r="O267" s="4" t="n"/>
      <c r="P267" s="4" t="n"/>
      <c r="Q267" s="4" t="n"/>
      <c r="R267" s="4" t="n"/>
      <c r="S267" s="4" t="n"/>
      <c r="T267" s="6" t="n"/>
      <c r="U267" s="6" t="n"/>
      <c r="V267" s="6" t="n"/>
      <c r="W267" s="6" t="n"/>
      <c r="X267" s="6" t="n"/>
    </row>
    <row r="268" ht="14" customHeight="1" s="250">
      <c r="A268" s="4" t="n"/>
      <c r="B268" s="5" t="n"/>
      <c r="C268" s="4" t="n"/>
      <c r="D268" s="4" t="n"/>
      <c r="E268" s="4" t="n"/>
      <c r="F268" s="4" t="n"/>
      <c r="G268" s="4" t="n"/>
      <c r="H268" s="4" t="n"/>
      <c r="I268" s="4" t="n"/>
      <c r="J268" s="4" t="n"/>
      <c r="K268" s="4" t="n"/>
      <c r="L268" s="4" t="n"/>
      <c r="M268" s="4" t="n"/>
      <c r="N268" s="4" t="n"/>
      <c r="O268" s="4" t="n"/>
      <c r="P268" s="4" t="n"/>
      <c r="Q268" s="4" t="n"/>
      <c r="R268" s="4" t="n"/>
      <c r="S268" s="4" t="n"/>
      <c r="T268" s="6" t="n"/>
      <c r="U268" s="6" t="n"/>
      <c r="V268" s="6" t="n"/>
      <c r="W268" s="6" t="n"/>
      <c r="X268" s="6" t="n"/>
    </row>
    <row r="269" ht="14" customHeight="1" s="250">
      <c r="A269" s="4" t="n"/>
      <c r="B269" s="5" t="n"/>
      <c r="C269" s="4" t="n"/>
      <c r="D269" s="4" t="n"/>
      <c r="E269" s="4" t="n"/>
      <c r="F269" s="4" t="n"/>
      <c r="G269" s="4" t="n"/>
      <c r="H269" s="4" t="n"/>
      <c r="I269" s="4" t="n"/>
      <c r="J269" s="4" t="n"/>
      <c r="K269" s="4" t="n"/>
      <c r="L269" s="4" t="n"/>
      <c r="M269" s="4" t="n"/>
      <c r="N269" s="4" t="n"/>
      <c r="O269" s="4" t="n"/>
      <c r="P269" s="4" t="n"/>
      <c r="Q269" s="4" t="n"/>
      <c r="R269" s="4" t="n"/>
      <c r="S269" s="4" t="n"/>
      <c r="T269" s="6" t="n"/>
      <c r="U269" s="6" t="n"/>
      <c r="V269" s="6" t="n"/>
      <c r="W269" s="6" t="n"/>
      <c r="X269" s="6" t="n"/>
    </row>
    <row r="270" ht="14" customHeight="1" s="250">
      <c r="A270" s="4" t="n"/>
      <c r="B270" s="5" t="n"/>
      <c r="C270" s="4" t="n"/>
      <c r="D270" s="4" t="n"/>
      <c r="E270" s="4" t="n"/>
      <c r="F270" s="4" t="n"/>
      <c r="G270" s="4" t="n"/>
      <c r="H270" s="4" t="n"/>
      <c r="I270" s="4" t="n"/>
      <c r="J270" s="4" t="n"/>
      <c r="K270" s="4" t="n"/>
      <c r="L270" s="4" t="n"/>
      <c r="M270" s="4" t="n"/>
      <c r="N270" s="4" t="n"/>
      <c r="O270" s="4" t="n"/>
      <c r="P270" s="4" t="n"/>
      <c r="Q270" s="4" t="n"/>
      <c r="R270" s="4" t="n"/>
      <c r="S270" s="4" t="n"/>
      <c r="T270" s="6" t="n"/>
      <c r="U270" s="6" t="n"/>
      <c r="V270" s="6" t="n"/>
      <c r="W270" s="6" t="n"/>
      <c r="X270" s="6" t="n"/>
    </row>
    <row r="271" ht="14" customHeight="1" s="250">
      <c r="A271" s="4" t="n"/>
      <c r="B271" s="5" t="n"/>
      <c r="C271" s="4" t="n"/>
      <c r="D271" s="4" t="n"/>
      <c r="E271" s="4" t="n"/>
      <c r="F271" s="4" t="n"/>
      <c r="G271" s="4" t="n"/>
      <c r="H271" s="4" t="n"/>
      <c r="I271" s="4" t="n"/>
      <c r="J271" s="4" t="n"/>
      <c r="K271" s="4" t="n"/>
      <c r="L271" s="4" t="n"/>
      <c r="M271" s="4" t="n"/>
      <c r="N271" s="4" t="n"/>
      <c r="O271" s="4" t="n"/>
      <c r="P271" s="4" t="n"/>
      <c r="Q271" s="4" t="n"/>
      <c r="R271" s="4" t="n"/>
      <c r="S271" s="4" t="n"/>
      <c r="T271" s="6" t="n"/>
      <c r="U271" s="6" t="n"/>
      <c r="V271" s="6" t="n"/>
      <c r="W271" s="6" t="n"/>
      <c r="X271" s="6" t="n"/>
    </row>
    <row r="272" ht="14" customHeight="1" s="250">
      <c r="A272" s="4" t="n"/>
      <c r="B272" s="5" t="n"/>
      <c r="C272" s="4" t="n"/>
      <c r="D272" s="4" t="n"/>
      <c r="E272" s="4" t="n"/>
      <c r="F272" s="4" t="n"/>
      <c r="G272" s="4" t="n"/>
      <c r="H272" s="4" t="n"/>
      <c r="I272" s="4" t="n"/>
      <c r="J272" s="4" t="n"/>
      <c r="K272" s="4" t="n"/>
      <c r="L272" s="4" t="n"/>
      <c r="M272" s="4" t="n"/>
      <c r="N272" s="4" t="n"/>
      <c r="O272" s="4" t="n"/>
      <c r="P272" s="4" t="n"/>
      <c r="Q272" s="4" t="n"/>
      <c r="R272" s="4" t="n"/>
      <c r="S272" s="4" t="n"/>
      <c r="T272" s="6" t="n"/>
      <c r="U272" s="6" t="n"/>
      <c r="V272" s="6" t="n"/>
      <c r="W272" s="6" t="n"/>
      <c r="X272" s="6" t="n"/>
    </row>
    <row r="273" ht="14" customHeight="1" s="250">
      <c r="A273" s="4" t="n"/>
      <c r="B273" s="5" t="n"/>
      <c r="C273" s="4" t="n"/>
      <c r="D273" s="4" t="n"/>
      <c r="E273" s="4" t="n"/>
      <c r="F273" s="4" t="n"/>
      <c r="G273" s="4" t="n"/>
      <c r="H273" s="4" t="n"/>
      <c r="I273" s="4" t="n"/>
      <c r="J273" s="4" t="n"/>
      <c r="K273" s="4" t="n"/>
      <c r="L273" s="4" t="n"/>
      <c r="M273" s="4" t="n"/>
      <c r="N273" s="4" t="n"/>
      <c r="O273" s="4" t="n"/>
      <c r="P273" s="4" t="n"/>
      <c r="Q273" s="4" t="n"/>
      <c r="R273" s="4" t="n"/>
      <c r="S273" s="4" t="n"/>
      <c r="T273" s="6" t="n"/>
      <c r="U273" s="6" t="n"/>
      <c r="V273" s="6" t="n"/>
      <c r="W273" s="6" t="n"/>
      <c r="X273" s="6" t="n"/>
    </row>
    <row r="274" ht="14" customHeight="1" s="250">
      <c r="A274" s="4" t="n"/>
      <c r="B274" s="5" t="n"/>
      <c r="C274" s="4" t="n"/>
      <c r="D274" s="4" t="n"/>
      <c r="E274" s="4" t="n"/>
      <c r="F274" s="4" t="n"/>
      <c r="G274" s="4" t="n"/>
      <c r="H274" s="4" t="n"/>
      <c r="I274" s="4" t="n"/>
      <c r="J274" s="4" t="n"/>
      <c r="K274" s="4" t="n"/>
      <c r="L274" s="4" t="n"/>
      <c r="M274" s="4" t="n"/>
      <c r="N274" s="4" t="n"/>
      <c r="O274" s="4" t="n"/>
      <c r="P274" s="4" t="n"/>
      <c r="Q274" s="4" t="n"/>
      <c r="R274" s="4" t="n"/>
      <c r="S274" s="4" t="n"/>
      <c r="T274" s="6" t="n"/>
      <c r="U274" s="6" t="n"/>
      <c r="V274" s="6" t="n"/>
      <c r="W274" s="6" t="n"/>
      <c r="X274" s="6" t="n"/>
    </row>
    <row r="275" ht="14" customHeight="1" s="250">
      <c r="A275" s="4" t="n"/>
      <c r="B275" s="5" t="n"/>
      <c r="C275" s="4" t="n"/>
      <c r="D275" s="4" t="n"/>
      <c r="E275" s="4" t="n"/>
      <c r="F275" s="4" t="n"/>
      <c r="G275" s="4" t="n"/>
      <c r="H275" s="4" t="n"/>
      <c r="I275" s="4" t="n"/>
      <c r="J275" s="4" t="n"/>
      <c r="K275" s="4" t="n"/>
      <c r="L275" s="4" t="n"/>
      <c r="M275" s="4" t="n"/>
      <c r="N275" s="4" t="n"/>
      <c r="O275" s="4" t="n"/>
      <c r="P275" s="4" t="n"/>
      <c r="Q275" s="4" t="n"/>
      <c r="R275" s="4" t="n"/>
      <c r="S275" s="4" t="n"/>
      <c r="T275" s="6" t="n"/>
      <c r="U275" s="6" t="n"/>
      <c r="V275" s="6" t="n"/>
      <c r="W275" s="6" t="n"/>
      <c r="X275" s="6" t="n"/>
    </row>
    <row r="276" ht="14" customHeight="1" s="250">
      <c r="A276" s="4" t="n"/>
      <c r="B276" s="5" t="n"/>
      <c r="C276" s="4" t="n"/>
      <c r="D276" s="4" t="n"/>
      <c r="E276" s="4" t="n"/>
      <c r="F276" s="4" t="n"/>
      <c r="G276" s="4" t="n"/>
      <c r="H276" s="4" t="n"/>
      <c r="I276" s="4" t="n"/>
      <c r="J276" s="4" t="n"/>
      <c r="K276" s="4" t="n"/>
      <c r="L276" s="4" t="n"/>
      <c r="M276" s="4" t="n"/>
      <c r="N276" s="4" t="n"/>
      <c r="O276" s="4" t="n"/>
      <c r="P276" s="4" t="n"/>
      <c r="Q276" s="4" t="n"/>
      <c r="R276" s="4" t="n"/>
      <c r="S276" s="4" t="n"/>
      <c r="T276" s="6" t="n"/>
      <c r="U276" s="6" t="n"/>
      <c r="V276" s="6" t="n"/>
      <c r="W276" s="6" t="n"/>
      <c r="X276" s="6" t="n"/>
    </row>
    <row r="277" ht="14" customHeight="1" s="250">
      <c r="A277" s="4" t="n"/>
      <c r="B277" s="5" t="n"/>
      <c r="C277" s="4" t="n"/>
      <c r="D277" s="4" t="n"/>
      <c r="E277" s="4" t="n"/>
      <c r="F277" s="4" t="n"/>
      <c r="G277" s="4" t="n"/>
      <c r="H277" s="4" t="n"/>
      <c r="I277" s="4" t="n"/>
      <c r="J277" s="4" t="n"/>
      <c r="K277" s="4" t="n"/>
      <c r="L277" s="4" t="n"/>
      <c r="M277" s="4" t="n"/>
      <c r="N277" s="4" t="n"/>
      <c r="O277" s="4" t="n"/>
      <c r="P277" s="4" t="n"/>
      <c r="Q277" s="4" t="n"/>
      <c r="R277" s="4" t="n"/>
      <c r="S277" s="4" t="n"/>
      <c r="T277" s="6" t="n"/>
      <c r="U277" s="6" t="n"/>
      <c r="V277" s="6" t="n"/>
      <c r="W277" s="6" t="n"/>
      <c r="X277" s="6" t="n"/>
    </row>
    <row r="278" ht="14" customHeight="1" s="250">
      <c r="A278" s="4" t="n"/>
      <c r="B278" s="5" t="n"/>
      <c r="C278" s="4" t="n"/>
      <c r="D278" s="4" t="n"/>
      <c r="E278" s="4" t="n"/>
      <c r="F278" s="4" t="n"/>
      <c r="G278" s="4" t="n"/>
      <c r="H278" s="4" t="n"/>
      <c r="I278" s="4" t="n"/>
      <c r="J278" s="4" t="n"/>
      <c r="K278" s="4" t="n"/>
      <c r="L278" s="4" t="n"/>
      <c r="M278" s="4" t="n"/>
      <c r="N278" s="4" t="n"/>
      <c r="O278" s="4" t="n"/>
      <c r="P278" s="4" t="n"/>
      <c r="Q278" s="4" t="n"/>
      <c r="R278" s="4" t="n"/>
      <c r="S278" s="4" t="n"/>
      <c r="T278" s="6" t="n"/>
      <c r="U278" s="6" t="n"/>
      <c r="V278" s="6" t="n"/>
      <c r="W278" s="6" t="n"/>
      <c r="X278" s="6" t="n"/>
    </row>
    <row r="279" ht="14" customHeight="1" s="250">
      <c r="A279" s="4" t="n"/>
      <c r="B279" s="5" t="n"/>
      <c r="C279" s="4" t="n"/>
      <c r="D279" s="4" t="n"/>
      <c r="E279" s="4" t="n"/>
      <c r="F279" s="4" t="n"/>
      <c r="G279" s="4" t="n"/>
      <c r="H279" s="4" t="n"/>
      <c r="I279" s="4" t="n"/>
      <c r="J279" s="4" t="n"/>
      <c r="K279" s="4" t="n"/>
      <c r="L279" s="4" t="n"/>
      <c r="M279" s="4" t="n"/>
      <c r="N279" s="4" t="n"/>
      <c r="O279" s="4" t="n"/>
      <c r="P279" s="4" t="n"/>
      <c r="Q279" s="4" t="n"/>
      <c r="R279" s="4" t="n"/>
      <c r="S279" s="4" t="n"/>
      <c r="T279" s="6" t="n"/>
      <c r="U279" s="6" t="n"/>
      <c r="V279" s="6" t="n"/>
      <c r="W279" s="6" t="n"/>
      <c r="X279" s="6" t="n"/>
    </row>
    <row r="280" ht="14" customHeight="1" s="250">
      <c r="A280" s="4" t="n"/>
      <c r="B280" s="5" t="n"/>
      <c r="C280" s="4" t="n"/>
      <c r="D280" s="4" t="n"/>
      <c r="E280" s="4" t="n"/>
      <c r="F280" s="4" t="n"/>
      <c r="G280" s="4" t="n"/>
      <c r="H280" s="4" t="n"/>
      <c r="I280" s="4" t="n"/>
      <c r="J280" s="4" t="n"/>
      <c r="K280" s="4" t="n"/>
      <c r="L280" s="4" t="n"/>
      <c r="M280" s="4" t="n"/>
      <c r="N280" s="4" t="n"/>
      <c r="O280" s="4" t="n"/>
      <c r="P280" s="4" t="n"/>
      <c r="Q280" s="4" t="n"/>
      <c r="R280" s="4" t="n"/>
      <c r="S280" s="4" t="n"/>
      <c r="T280" s="6" t="n"/>
      <c r="U280" s="6" t="n"/>
      <c r="V280" s="6" t="n"/>
      <c r="W280" s="6" t="n"/>
      <c r="X280" s="6" t="n"/>
    </row>
    <row r="281" ht="14" customHeight="1" s="250">
      <c r="A281" s="4" t="n"/>
      <c r="B281" s="5" t="n"/>
      <c r="C281" s="4" t="n"/>
      <c r="D281" s="4" t="n"/>
      <c r="E281" s="4" t="n"/>
      <c r="F281" s="4" t="n"/>
      <c r="G281" s="4" t="n"/>
      <c r="H281" s="4" t="n"/>
      <c r="I281" s="4" t="n"/>
      <c r="J281" s="4" t="n"/>
      <c r="K281" s="4" t="n"/>
      <c r="L281" s="4" t="n"/>
      <c r="M281" s="4" t="n"/>
      <c r="N281" s="4" t="n"/>
      <c r="O281" s="4" t="n"/>
      <c r="P281" s="4" t="n"/>
      <c r="Q281" s="4" t="n"/>
      <c r="R281" s="4" t="n"/>
      <c r="S281" s="4" t="n"/>
      <c r="T281" s="6" t="n"/>
      <c r="U281" s="6" t="n"/>
      <c r="V281" s="6" t="n"/>
      <c r="W281" s="6" t="n"/>
      <c r="X281" s="6" t="n"/>
    </row>
    <row r="282" ht="14" customHeight="1" s="250">
      <c r="A282" s="4" t="n"/>
      <c r="B282" s="5" t="n"/>
      <c r="C282" s="4" t="n"/>
      <c r="D282" s="4" t="n"/>
      <c r="E282" s="4" t="n"/>
      <c r="F282" s="4" t="n"/>
      <c r="G282" s="4" t="n"/>
      <c r="H282" s="4" t="n"/>
      <c r="I282" s="4" t="n"/>
      <c r="J282" s="4" t="n"/>
      <c r="K282" s="4" t="n"/>
      <c r="L282" s="4" t="n"/>
      <c r="M282" s="4" t="n"/>
      <c r="N282" s="4" t="n"/>
      <c r="O282" s="4" t="n"/>
      <c r="P282" s="4" t="n"/>
      <c r="Q282" s="4" t="n"/>
      <c r="R282" s="4" t="n"/>
      <c r="S282" s="4" t="n"/>
      <c r="T282" s="6" t="n"/>
      <c r="U282" s="6" t="n"/>
      <c r="V282" s="6" t="n"/>
      <c r="W282" s="6" t="n"/>
      <c r="X282" s="6" t="n"/>
    </row>
    <row r="283" ht="14" customHeight="1" s="250">
      <c r="A283" s="4" t="n"/>
      <c r="B283" s="5" t="n"/>
      <c r="C283" s="4" t="n"/>
      <c r="D283" s="4" t="n"/>
      <c r="E283" s="4" t="n"/>
      <c r="F283" s="4" t="n"/>
      <c r="G283" s="4" t="n"/>
      <c r="H283" s="4" t="n"/>
      <c r="I283" s="4" t="n"/>
      <c r="J283" s="4" t="n"/>
      <c r="K283" s="4" t="n"/>
      <c r="L283" s="4" t="n"/>
      <c r="M283" s="4" t="n"/>
      <c r="N283" s="4" t="n"/>
      <c r="O283" s="4" t="n"/>
      <c r="P283" s="4" t="n"/>
      <c r="Q283" s="4" t="n"/>
      <c r="R283" s="4" t="n"/>
      <c r="S283" s="4" t="n"/>
      <c r="T283" s="6" t="n"/>
      <c r="U283" s="6" t="n"/>
      <c r="V283" s="6" t="n"/>
      <c r="W283" s="6" t="n"/>
      <c r="X283" s="6" t="n"/>
    </row>
    <row r="284" ht="14" customHeight="1" s="250">
      <c r="A284" s="4" t="n"/>
      <c r="B284" s="5" t="n"/>
      <c r="C284" s="4" t="n"/>
      <c r="D284" s="4" t="n"/>
      <c r="E284" s="4" t="n"/>
      <c r="F284" s="4" t="n"/>
      <c r="G284" s="4" t="n"/>
      <c r="H284" s="4" t="n"/>
      <c r="I284" s="4" t="n"/>
      <c r="J284" s="4" t="n"/>
      <c r="K284" s="4" t="n"/>
      <c r="L284" s="4" t="n"/>
      <c r="M284" s="4" t="n"/>
      <c r="N284" s="4" t="n"/>
      <c r="O284" s="4" t="n"/>
      <c r="P284" s="4" t="n"/>
      <c r="Q284" s="4" t="n"/>
      <c r="R284" s="4" t="n"/>
      <c r="S284" s="4" t="n"/>
      <c r="T284" s="6" t="n"/>
      <c r="U284" s="6" t="n"/>
      <c r="V284" s="6" t="n"/>
      <c r="W284" s="6" t="n"/>
      <c r="X284" s="6" t="n"/>
    </row>
    <row r="285" ht="14" customHeight="1" s="250">
      <c r="A285" s="4" t="n"/>
      <c r="B285" s="5" t="n"/>
      <c r="C285" s="4" t="n"/>
      <c r="D285" s="4" t="n"/>
      <c r="E285" s="4" t="n"/>
      <c r="F285" s="4" t="n"/>
      <c r="G285" s="4" t="n"/>
      <c r="H285" s="4" t="n"/>
      <c r="I285" s="4" t="n"/>
      <c r="J285" s="4" t="n"/>
      <c r="K285" s="4" t="n"/>
      <c r="L285" s="4" t="n"/>
      <c r="M285" s="4" t="n"/>
      <c r="N285" s="4" t="n"/>
      <c r="O285" s="4" t="n"/>
      <c r="P285" s="4" t="n"/>
      <c r="Q285" s="4" t="n"/>
      <c r="R285" s="4" t="n"/>
      <c r="S285" s="4" t="n"/>
      <c r="T285" s="6" t="n"/>
      <c r="U285" s="6" t="n"/>
      <c r="V285" s="6" t="n"/>
      <c r="W285" s="6" t="n"/>
      <c r="X285" s="6" t="n"/>
    </row>
    <row r="286" ht="14" customHeight="1" s="250">
      <c r="A286" s="4" t="n"/>
      <c r="B286" s="5" t="n"/>
      <c r="C286" s="4" t="n"/>
      <c r="D286" s="4" t="n"/>
      <c r="E286" s="4" t="n"/>
      <c r="F286" s="4" t="n"/>
      <c r="G286" s="4" t="n"/>
      <c r="H286" s="4" t="n"/>
      <c r="I286" s="4" t="n"/>
      <c r="J286" s="4" t="n"/>
      <c r="K286" s="4" t="n"/>
      <c r="L286" s="4" t="n"/>
      <c r="M286" s="4" t="n"/>
      <c r="N286" s="4" t="n"/>
      <c r="O286" s="4" t="n"/>
      <c r="P286" s="4" t="n"/>
      <c r="Q286" s="4" t="n"/>
      <c r="R286" s="4" t="n"/>
      <c r="S286" s="4" t="n"/>
      <c r="T286" s="6" t="n"/>
      <c r="U286" s="6" t="n"/>
      <c r="V286" s="6" t="n"/>
      <c r="W286" s="6" t="n"/>
      <c r="X286" s="6" t="n"/>
    </row>
    <row r="287" ht="14" customHeight="1" s="250">
      <c r="A287" s="4" t="n"/>
      <c r="B287" s="5" t="n"/>
      <c r="C287" s="4" t="n"/>
      <c r="D287" s="4" t="n"/>
      <c r="E287" s="4" t="n"/>
      <c r="F287" s="4" t="n"/>
      <c r="G287" s="4" t="n"/>
      <c r="H287" s="4" t="n"/>
      <c r="I287" s="4" t="n"/>
      <c r="J287" s="4" t="n"/>
      <c r="K287" s="4" t="n"/>
      <c r="L287" s="4" t="n"/>
      <c r="M287" s="4" t="n"/>
      <c r="N287" s="4" t="n"/>
      <c r="O287" s="4" t="n"/>
      <c r="P287" s="4" t="n"/>
      <c r="Q287" s="4" t="n"/>
      <c r="R287" s="4" t="n"/>
      <c r="S287" s="4" t="n"/>
      <c r="T287" s="6" t="n"/>
      <c r="U287" s="6" t="n"/>
      <c r="V287" s="6" t="n"/>
      <c r="W287" s="6" t="n"/>
      <c r="X287" s="6" t="n"/>
    </row>
    <row r="288" ht="14" customHeight="1" s="250">
      <c r="A288" s="4" t="n"/>
      <c r="B288" s="5" t="n"/>
      <c r="C288" s="4" t="n"/>
      <c r="D288" s="4" t="n"/>
      <c r="E288" s="4" t="n"/>
      <c r="F288" s="4" t="n"/>
      <c r="G288" s="4" t="n"/>
      <c r="H288" s="4" t="n"/>
      <c r="I288" s="4" t="n"/>
      <c r="J288" s="4" t="n"/>
      <c r="K288" s="4" t="n"/>
      <c r="L288" s="4" t="n"/>
      <c r="M288" s="4" t="n"/>
      <c r="N288" s="4" t="n"/>
      <c r="O288" s="4" t="n"/>
      <c r="P288" s="4" t="n"/>
      <c r="Q288" s="4" t="n"/>
      <c r="R288" s="4" t="n"/>
      <c r="S288" s="4" t="n"/>
      <c r="T288" s="6" t="n"/>
      <c r="U288" s="6" t="n"/>
      <c r="V288" s="6" t="n"/>
      <c r="W288" s="6" t="n"/>
      <c r="X288" s="6" t="n"/>
    </row>
    <row r="289" ht="14" customHeight="1" s="250">
      <c r="A289" s="4" t="n"/>
      <c r="B289" s="5" t="n"/>
      <c r="C289" s="4" t="n"/>
      <c r="D289" s="4" t="n"/>
      <c r="E289" s="4" t="n"/>
      <c r="F289" s="4" t="n"/>
      <c r="G289" s="4" t="n"/>
      <c r="H289" s="4" t="n"/>
      <c r="I289" s="4" t="n"/>
      <c r="J289" s="4" t="n"/>
      <c r="K289" s="4" t="n"/>
      <c r="L289" s="4" t="n"/>
      <c r="M289" s="4" t="n"/>
      <c r="N289" s="4" t="n"/>
      <c r="O289" s="4" t="n"/>
      <c r="P289" s="4" t="n"/>
      <c r="Q289" s="4" t="n"/>
      <c r="R289" s="4" t="n"/>
      <c r="S289" s="4" t="n"/>
      <c r="T289" s="6" t="n"/>
      <c r="U289" s="6" t="n"/>
      <c r="V289" s="6" t="n"/>
      <c r="W289" s="6" t="n"/>
      <c r="X289" s="6" t="n"/>
    </row>
    <row r="290" ht="14" customHeight="1" s="250">
      <c r="A290" s="4" t="n"/>
      <c r="B290" s="5" t="n"/>
      <c r="C290" s="4" t="n"/>
      <c r="D290" s="4" t="n"/>
      <c r="E290" s="4" t="n"/>
      <c r="F290" s="4" t="n"/>
      <c r="G290" s="4" t="n"/>
      <c r="H290" s="4" t="n"/>
      <c r="I290" s="4" t="n"/>
      <c r="J290" s="4" t="n"/>
      <c r="K290" s="4" t="n"/>
      <c r="L290" s="4" t="n"/>
      <c r="M290" s="4" t="n"/>
      <c r="N290" s="4" t="n"/>
      <c r="O290" s="4" t="n"/>
      <c r="P290" s="4" t="n"/>
      <c r="Q290" s="4" t="n"/>
      <c r="R290" s="4" t="n"/>
      <c r="S290" s="4" t="n"/>
      <c r="T290" s="6" t="n"/>
      <c r="U290" s="6" t="n"/>
      <c r="V290" s="6" t="n"/>
      <c r="W290" s="6" t="n"/>
      <c r="X290" s="6" t="n"/>
    </row>
    <row r="291" ht="14" customHeight="1" s="250">
      <c r="A291" s="4" t="n"/>
      <c r="B291" s="5" t="n"/>
      <c r="C291" s="4" t="n"/>
      <c r="D291" s="4" t="n"/>
      <c r="E291" s="4" t="n"/>
      <c r="F291" s="4" t="n"/>
      <c r="G291" s="4" t="n"/>
      <c r="H291" s="4" t="n"/>
      <c r="I291" s="4" t="n"/>
      <c r="J291" s="4" t="n"/>
      <c r="K291" s="4" t="n"/>
      <c r="L291" s="4" t="n"/>
      <c r="M291" s="4" t="n"/>
      <c r="N291" s="4" t="n"/>
      <c r="O291" s="4" t="n"/>
      <c r="P291" s="4" t="n"/>
      <c r="Q291" s="4" t="n"/>
      <c r="R291" s="4" t="n"/>
      <c r="S291" s="4" t="n"/>
      <c r="T291" s="6" t="n"/>
      <c r="U291" s="6" t="n"/>
      <c r="V291" s="6" t="n"/>
      <c r="W291" s="6" t="n"/>
      <c r="X291" s="6" t="n"/>
    </row>
    <row r="292" ht="14" customHeight="1" s="250">
      <c r="A292" s="4" t="n"/>
      <c r="B292" s="5" t="n"/>
      <c r="C292" s="4" t="n"/>
      <c r="D292" s="4" t="n"/>
      <c r="E292" s="4" t="n"/>
      <c r="F292" s="4" t="n"/>
      <c r="G292" s="4" t="n"/>
      <c r="H292" s="4" t="n"/>
      <c r="I292" s="4" t="n"/>
      <c r="J292" s="4" t="n"/>
      <c r="K292" s="4" t="n"/>
      <c r="L292" s="4" t="n"/>
      <c r="M292" s="4" t="n"/>
      <c r="N292" s="4" t="n"/>
      <c r="O292" s="4" t="n"/>
      <c r="P292" s="4" t="n"/>
      <c r="Q292" s="4" t="n"/>
      <c r="R292" s="4" t="n"/>
      <c r="S292" s="4" t="n"/>
      <c r="T292" s="6" t="n"/>
      <c r="U292" s="6" t="n"/>
      <c r="V292" s="6" t="n"/>
      <c r="W292" s="6" t="n"/>
      <c r="X292" s="6" t="n"/>
    </row>
    <row r="293" ht="14" customHeight="1" s="250">
      <c r="A293" s="4" t="n"/>
      <c r="B293" s="5" t="n"/>
      <c r="C293" s="4" t="n"/>
      <c r="D293" s="4" t="n"/>
      <c r="E293" s="4" t="n"/>
      <c r="F293" s="4" t="n"/>
      <c r="G293" s="4" t="n"/>
      <c r="H293" s="4" t="n"/>
      <c r="I293" s="4" t="n"/>
      <c r="J293" s="4" t="n"/>
      <c r="K293" s="4" t="n"/>
      <c r="L293" s="4" t="n"/>
      <c r="M293" s="4" t="n"/>
      <c r="N293" s="4" t="n"/>
      <c r="O293" s="4" t="n"/>
      <c r="P293" s="4" t="n"/>
      <c r="Q293" s="4" t="n"/>
      <c r="R293" s="4" t="n"/>
      <c r="S293" s="4" t="n"/>
      <c r="T293" s="6" t="n"/>
      <c r="U293" s="6" t="n"/>
      <c r="V293" s="6" t="n"/>
      <c r="W293" s="6" t="n"/>
      <c r="X293" s="6" t="n"/>
    </row>
    <row r="294" ht="14" customHeight="1" s="250">
      <c r="A294" s="4" t="n"/>
      <c r="B294" s="5" t="n"/>
      <c r="C294" s="4" t="n"/>
      <c r="D294" s="4" t="n"/>
      <c r="E294" s="4" t="n"/>
      <c r="F294" s="4" t="n"/>
      <c r="G294" s="4" t="n"/>
      <c r="H294" s="4" t="n"/>
      <c r="I294" s="4" t="n"/>
      <c r="J294" s="4" t="n"/>
      <c r="K294" s="4" t="n"/>
      <c r="L294" s="4" t="n"/>
      <c r="M294" s="4" t="n"/>
      <c r="N294" s="4" t="n"/>
      <c r="O294" s="4" t="n"/>
      <c r="P294" s="4" t="n"/>
      <c r="Q294" s="4" t="n"/>
      <c r="R294" s="4" t="n"/>
      <c r="S294" s="4" t="n"/>
      <c r="T294" s="6" t="n"/>
      <c r="U294" s="6" t="n"/>
      <c r="V294" s="6" t="n"/>
      <c r="W294" s="6" t="n"/>
      <c r="X294" s="6" t="n"/>
    </row>
    <row r="295" ht="14" customHeight="1" s="250">
      <c r="A295" s="4" t="n"/>
      <c r="B295" s="5" t="n"/>
      <c r="C295" s="4" t="n"/>
      <c r="D295" s="4" t="n"/>
      <c r="E295" s="4" t="n"/>
      <c r="F295" s="4" t="n"/>
      <c r="G295" s="4" t="n"/>
      <c r="H295" s="4" t="n"/>
      <c r="I295" s="4" t="n"/>
      <c r="J295" s="4" t="n"/>
      <c r="K295" s="4" t="n"/>
      <c r="L295" s="4" t="n"/>
      <c r="M295" s="4" t="n"/>
      <c r="N295" s="4" t="n"/>
      <c r="O295" s="4" t="n"/>
      <c r="P295" s="4" t="n"/>
      <c r="Q295" s="4" t="n"/>
      <c r="R295" s="4" t="n"/>
      <c r="S295" s="4" t="n"/>
      <c r="T295" s="6" t="n"/>
      <c r="U295" s="6" t="n"/>
      <c r="V295" s="6" t="n"/>
      <c r="W295" s="6" t="n"/>
      <c r="X295" s="6" t="n"/>
    </row>
    <row r="296" ht="14" customHeight="1" s="250">
      <c r="A296" s="4" t="n"/>
      <c r="B296" s="5" t="n"/>
      <c r="C296" s="4" t="n"/>
      <c r="D296" s="4" t="n"/>
      <c r="E296" s="4" t="n"/>
      <c r="F296" s="4" t="n"/>
      <c r="G296" s="4" t="n"/>
      <c r="H296" s="4" t="n"/>
      <c r="I296" s="4" t="n"/>
      <c r="J296" s="4" t="n"/>
      <c r="K296" s="4" t="n"/>
      <c r="L296" s="4" t="n"/>
      <c r="M296" s="4" t="n"/>
      <c r="N296" s="4" t="n"/>
      <c r="O296" s="4" t="n"/>
      <c r="P296" s="4" t="n"/>
      <c r="Q296" s="4" t="n"/>
      <c r="R296" s="4" t="n"/>
      <c r="S296" s="4" t="n"/>
      <c r="T296" s="6" t="n"/>
      <c r="U296" s="6" t="n"/>
      <c r="V296" s="6" t="n"/>
      <c r="W296" s="6" t="n"/>
      <c r="X296" s="6" t="n"/>
    </row>
    <row r="297" ht="14" customHeight="1" s="250">
      <c r="A297" s="4" t="n"/>
      <c r="B297" s="5" t="n"/>
      <c r="C297" s="4" t="n"/>
      <c r="D297" s="4" t="n"/>
      <c r="E297" s="4" t="n"/>
      <c r="F297" s="4" t="n"/>
      <c r="G297" s="4" t="n"/>
      <c r="H297" s="4" t="n"/>
      <c r="I297" s="4" t="n"/>
      <c r="J297" s="4" t="n"/>
      <c r="K297" s="4" t="n"/>
      <c r="L297" s="4" t="n"/>
      <c r="M297" s="4" t="n"/>
      <c r="N297" s="4" t="n"/>
      <c r="O297" s="4" t="n"/>
      <c r="P297" s="4" t="n"/>
      <c r="Q297" s="4" t="n"/>
      <c r="R297" s="4" t="n"/>
      <c r="S297" s="4" t="n"/>
      <c r="T297" s="6" t="n"/>
      <c r="U297" s="6" t="n"/>
      <c r="V297" s="6" t="n"/>
      <c r="W297" s="6" t="n"/>
      <c r="X297" s="6" t="n"/>
    </row>
    <row r="298" ht="14" customHeight="1" s="250">
      <c r="A298" s="4" t="n"/>
      <c r="B298" s="5" t="n"/>
      <c r="C298" s="4" t="n"/>
      <c r="D298" s="4" t="n"/>
      <c r="E298" s="4" t="n"/>
      <c r="F298" s="4" t="n"/>
      <c r="G298" s="4" t="n"/>
      <c r="H298" s="4" t="n"/>
      <c r="I298" s="4" t="n"/>
      <c r="J298" s="4" t="n"/>
      <c r="K298" s="4" t="n"/>
      <c r="L298" s="4" t="n"/>
      <c r="M298" s="4" t="n"/>
      <c r="N298" s="4" t="n"/>
      <c r="O298" s="4" t="n"/>
      <c r="P298" s="4" t="n"/>
      <c r="Q298" s="4" t="n"/>
      <c r="R298" s="4" t="n"/>
      <c r="S298" s="4" t="n"/>
      <c r="T298" s="6" t="n"/>
      <c r="U298" s="6" t="n"/>
      <c r="V298" s="6" t="n"/>
      <c r="W298" s="6" t="n"/>
      <c r="X298" s="6" t="n"/>
    </row>
    <row r="299" ht="14" customHeight="1" s="250">
      <c r="A299" s="4" t="n"/>
      <c r="B299" s="5" t="n"/>
      <c r="C299" s="4" t="n"/>
      <c r="D299" s="4" t="n"/>
      <c r="E299" s="4" t="n"/>
      <c r="F299" s="4" t="n"/>
      <c r="G299" s="4" t="n"/>
      <c r="H299" s="4" t="n"/>
      <c r="I299" s="4" t="n"/>
      <c r="J299" s="4" t="n"/>
      <c r="K299" s="4" t="n"/>
      <c r="L299" s="4" t="n"/>
      <c r="M299" s="4" t="n"/>
      <c r="N299" s="4" t="n"/>
      <c r="O299" s="4" t="n"/>
      <c r="P299" s="4" t="n"/>
      <c r="Q299" s="4" t="n"/>
      <c r="R299" s="4" t="n"/>
      <c r="S299" s="4" t="n"/>
      <c r="T299" s="6" t="n"/>
      <c r="U299" s="6" t="n"/>
      <c r="V299" s="6" t="n"/>
      <c r="W299" s="6" t="n"/>
      <c r="X299" s="6" t="n"/>
    </row>
    <row r="300" ht="14" customHeight="1" s="250">
      <c r="A300" s="4" t="n"/>
      <c r="B300" s="5" t="n"/>
      <c r="C300" s="4" t="n"/>
      <c r="D300" s="4" t="n"/>
      <c r="E300" s="4" t="n"/>
      <c r="F300" s="4" t="n"/>
      <c r="G300" s="4" t="n"/>
      <c r="H300" s="4" t="n"/>
      <c r="I300" s="4" t="n"/>
      <c r="J300" s="4" t="n"/>
      <c r="K300" s="4" t="n"/>
      <c r="L300" s="4" t="n"/>
      <c r="M300" s="4" t="n"/>
      <c r="N300" s="4" t="n"/>
      <c r="O300" s="4" t="n"/>
      <c r="P300" s="4" t="n"/>
      <c r="Q300" s="4" t="n"/>
      <c r="R300" s="4" t="n"/>
      <c r="S300" s="4" t="n"/>
      <c r="T300" s="6" t="n"/>
      <c r="U300" s="6" t="n"/>
      <c r="V300" s="6" t="n"/>
      <c r="W300" s="6" t="n"/>
      <c r="X300" s="6" t="n"/>
    </row>
    <row r="301" ht="14" customHeight="1" s="250">
      <c r="A301" s="4" t="n"/>
      <c r="B301" s="5" t="n"/>
      <c r="C301" s="4" t="n"/>
      <c r="D301" s="4" t="n"/>
      <c r="E301" s="4" t="n"/>
      <c r="F301" s="4" t="n"/>
      <c r="G301" s="4" t="n"/>
      <c r="H301" s="4" t="n"/>
      <c r="I301" s="4" t="n"/>
      <c r="J301" s="4" t="n"/>
      <c r="K301" s="4" t="n"/>
      <c r="L301" s="4" t="n"/>
      <c r="M301" s="4" t="n"/>
      <c r="N301" s="4" t="n"/>
      <c r="O301" s="4" t="n"/>
      <c r="P301" s="4" t="n"/>
      <c r="Q301" s="4" t="n"/>
      <c r="R301" s="4" t="n"/>
      <c r="S301" s="4" t="n"/>
      <c r="T301" s="6" t="n"/>
      <c r="U301" s="6" t="n"/>
      <c r="V301" s="6" t="n"/>
      <c r="W301" s="6" t="n"/>
      <c r="X301" s="6" t="n"/>
    </row>
    <row r="302" ht="14" customHeight="1" s="250">
      <c r="A302" s="4" t="n"/>
      <c r="B302" s="5" t="n"/>
      <c r="C302" s="4" t="n"/>
      <c r="D302" s="4" t="n"/>
      <c r="E302" s="4" t="n"/>
      <c r="F302" s="4" t="n"/>
      <c r="G302" s="4" t="n"/>
      <c r="H302" s="4" t="n"/>
      <c r="I302" s="4" t="n"/>
      <c r="J302" s="4" t="n"/>
      <c r="K302" s="4" t="n"/>
      <c r="L302" s="4" t="n"/>
      <c r="M302" s="4" t="n"/>
      <c r="N302" s="4" t="n"/>
      <c r="O302" s="4" t="n"/>
      <c r="P302" s="4" t="n"/>
      <c r="Q302" s="4" t="n"/>
      <c r="R302" s="4" t="n"/>
      <c r="S302" s="4" t="n"/>
      <c r="T302" s="6" t="n"/>
      <c r="U302" s="6" t="n"/>
      <c r="V302" s="6" t="n"/>
      <c r="W302" s="6" t="n"/>
      <c r="X302" s="6" t="n"/>
    </row>
    <row r="303" ht="14" customHeight="1" s="250">
      <c r="A303" s="4" t="n"/>
      <c r="B303" s="5" t="n"/>
      <c r="C303" s="4" t="n"/>
      <c r="D303" s="4" t="n"/>
      <c r="E303" s="4" t="n"/>
      <c r="F303" s="4" t="n"/>
      <c r="G303" s="4" t="n"/>
      <c r="H303" s="4" t="n"/>
      <c r="I303" s="4" t="n"/>
      <c r="J303" s="4" t="n"/>
      <c r="K303" s="4" t="n"/>
      <c r="L303" s="4" t="n"/>
      <c r="M303" s="4" t="n"/>
      <c r="N303" s="4" t="n"/>
      <c r="O303" s="4" t="n"/>
      <c r="P303" s="4" t="n"/>
      <c r="Q303" s="4" t="n"/>
      <c r="R303" s="4" t="n"/>
      <c r="S303" s="4" t="n"/>
      <c r="T303" s="6" t="n"/>
      <c r="U303" s="6" t="n"/>
      <c r="V303" s="6" t="n"/>
      <c r="W303" s="6" t="n"/>
      <c r="X303" s="6" t="n"/>
    </row>
    <row r="304" ht="14" customHeight="1" s="250">
      <c r="A304" s="4" t="n"/>
      <c r="B304" s="5" t="n"/>
      <c r="C304" s="4" t="n"/>
      <c r="D304" s="4" t="n"/>
      <c r="E304" s="4" t="n"/>
      <c r="F304" s="4" t="n"/>
      <c r="G304" s="4" t="n"/>
      <c r="H304" s="4" t="n"/>
      <c r="I304" s="4" t="n"/>
      <c r="J304" s="4" t="n"/>
      <c r="K304" s="4" t="n"/>
      <c r="L304" s="4" t="n"/>
      <c r="M304" s="4" t="n"/>
      <c r="N304" s="4" t="n"/>
      <c r="O304" s="4" t="n"/>
      <c r="P304" s="4" t="n"/>
      <c r="Q304" s="4" t="n"/>
      <c r="R304" s="4" t="n"/>
      <c r="S304" s="4" t="n"/>
      <c r="T304" s="6" t="n"/>
      <c r="U304" s="6" t="n"/>
      <c r="V304" s="6" t="n"/>
      <c r="W304" s="6" t="n"/>
      <c r="X304" s="6" t="n"/>
    </row>
    <row r="305" ht="14" customHeight="1" s="250">
      <c r="A305" s="4" t="n"/>
      <c r="B305" s="5" t="n"/>
      <c r="C305" s="4" t="n"/>
      <c r="D305" s="4" t="n"/>
      <c r="E305" s="4" t="n"/>
      <c r="F305" s="4" t="n"/>
      <c r="G305" s="4" t="n"/>
      <c r="H305" s="4" t="n"/>
      <c r="I305" s="4" t="n"/>
      <c r="J305" s="4" t="n"/>
      <c r="K305" s="4" t="n"/>
      <c r="L305" s="4" t="n"/>
      <c r="M305" s="4" t="n"/>
      <c r="N305" s="4" t="n"/>
      <c r="O305" s="4" t="n"/>
      <c r="P305" s="4" t="n"/>
      <c r="Q305" s="4" t="n"/>
      <c r="R305" s="4" t="n"/>
      <c r="S305" s="4" t="n"/>
      <c r="T305" s="6" t="n"/>
      <c r="U305" s="6" t="n"/>
      <c r="V305" s="6" t="n"/>
      <c r="W305" s="6" t="n"/>
      <c r="X305" s="6" t="n"/>
    </row>
    <row r="306" ht="14" customHeight="1" s="250">
      <c r="A306" s="4" t="n"/>
      <c r="B306" s="5" t="n"/>
      <c r="C306" s="4" t="n"/>
      <c r="D306" s="4" t="n"/>
      <c r="E306" s="4" t="n"/>
      <c r="F306" s="4" t="n"/>
      <c r="G306" s="4" t="n"/>
      <c r="H306" s="4" t="n"/>
      <c r="I306" s="4" t="n"/>
      <c r="J306" s="4" t="n"/>
      <c r="K306" s="4" t="n"/>
      <c r="L306" s="4" t="n"/>
      <c r="M306" s="4" t="n"/>
      <c r="N306" s="4" t="n"/>
      <c r="O306" s="4" t="n"/>
      <c r="P306" s="4" t="n"/>
      <c r="Q306" s="4" t="n"/>
      <c r="R306" s="4" t="n"/>
      <c r="S306" s="4" t="n"/>
      <c r="T306" s="6" t="n"/>
      <c r="U306" s="6" t="n"/>
      <c r="V306" s="6" t="n"/>
      <c r="W306" s="6" t="n"/>
      <c r="X306" s="6" t="n"/>
    </row>
    <row r="307" ht="14" customHeight="1" s="250">
      <c r="A307" s="4" t="n"/>
      <c r="B307" s="5" t="n"/>
      <c r="C307" s="4" t="n"/>
      <c r="D307" s="4" t="n"/>
      <c r="E307" s="4" t="n"/>
      <c r="F307" s="4" t="n"/>
      <c r="G307" s="4" t="n"/>
      <c r="H307" s="4" t="n"/>
      <c r="I307" s="4" t="n"/>
      <c r="J307" s="4" t="n"/>
      <c r="K307" s="4" t="n"/>
      <c r="L307" s="4" t="n"/>
      <c r="M307" s="4" t="n"/>
      <c r="N307" s="4" t="n"/>
      <c r="O307" s="4" t="n"/>
      <c r="P307" s="4" t="n"/>
      <c r="Q307" s="4" t="n"/>
      <c r="R307" s="4" t="n"/>
      <c r="S307" s="4" t="n"/>
      <c r="T307" s="6" t="n"/>
      <c r="U307" s="6" t="n"/>
      <c r="V307" s="6" t="n"/>
      <c r="W307" s="6" t="n"/>
      <c r="X307" s="6" t="n"/>
    </row>
    <row r="308" ht="14" customHeight="1" s="250">
      <c r="A308" s="4" t="n"/>
      <c r="B308" s="5" t="n"/>
      <c r="C308" s="4" t="n"/>
      <c r="D308" s="4" t="n"/>
      <c r="E308" s="4" t="n"/>
      <c r="F308" s="4" t="n"/>
      <c r="G308" s="4" t="n"/>
      <c r="H308" s="4" t="n"/>
      <c r="I308" s="4" t="n"/>
      <c r="J308" s="4" t="n"/>
      <c r="K308" s="4" t="n"/>
      <c r="L308" s="4" t="n"/>
      <c r="M308" s="4" t="n"/>
      <c r="N308" s="4" t="n"/>
      <c r="O308" s="4" t="n"/>
      <c r="P308" s="4" t="n"/>
      <c r="Q308" s="4" t="n"/>
      <c r="R308" s="4" t="n"/>
      <c r="S308" s="4" t="n"/>
      <c r="T308" s="6" t="n"/>
      <c r="U308" s="6" t="n"/>
      <c r="V308" s="6" t="n"/>
      <c r="W308" s="6" t="n"/>
      <c r="X308" s="6" t="n"/>
    </row>
    <row r="309" ht="14" customHeight="1" s="250">
      <c r="A309" s="4" t="n"/>
      <c r="B309" s="5" t="n"/>
      <c r="C309" s="4" t="n"/>
      <c r="D309" s="4" t="n"/>
      <c r="E309" s="4" t="n"/>
      <c r="F309" s="4" t="n"/>
      <c r="G309" s="4" t="n"/>
      <c r="H309" s="4" t="n"/>
      <c r="I309" s="4" t="n"/>
      <c r="J309" s="4" t="n"/>
      <c r="K309" s="4" t="n"/>
      <c r="L309" s="4" t="n"/>
      <c r="M309" s="4" t="n"/>
      <c r="N309" s="4" t="n"/>
      <c r="O309" s="4" t="n"/>
      <c r="P309" s="4" t="n"/>
      <c r="Q309" s="4" t="n"/>
      <c r="R309" s="4" t="n"/>
      <c r="S309" s="4" t="n"/>
      <c r="T309" s="6" t="n"/>
      <c r="U309" s="6" t="n"/>
      <c r="V309" s="6" t="n"/>
      <c r="W309" s="6" t="n"/>
      <c r="X309" s="6" t="n"/>
    </row>
    <row r="310" ht="14" customHeight="1" s="250">
      <c r="A310" s="4" t="n"/>
      <c r="B310" s="5" t="n"/>
      <c r="C310" s="4" t="n"/>
      <c r="D310" s="4" t="n"/>
      <c r="E310" s="4" t="n"/>
      <c r="F310" s="4" t="n"/>
      <c r="G310" s="4" t="n"/>
      <c r="H310" s="4" t="n"/>
      <c r="I310" s="4" t="n"/>
      <c r="J310" s="4" t="n"/>
      <c r="K310" s="4" t="n"/>
      <c r="L310" s="4" t="n"/>
      <c r="M310" s="4" t="n"/>
      <c r="N310" s="4" t="n"/>
      <c r="O310" s="4" t="n"/>
      <c r="P310" s="4" t="n"/>
      <c r="Q310" s="4" t="n"/>
      <c r="R310" s="4" t="n"/>
      <c r="S310" s="4" t="n"/>
      <c r="T310" s="6" t="n"/>
      <c r="U310" s="6" t="n"/>
      <c r="V310" s="6" t="n"/>
      <c r="W310" s="6" t="n"/>
      <c r="X310" s="6" t="n"/>
    </row>
    <row r="311" ht="14" customHeight="1" s="250">
      <c r="A311" s="4" t="n"/>
      <c r="B311" s="5" t="n"/>
      <c r="C311" s="4" t="n"/>
      <c r="D311" s="4" t="n"/>
      <c r="E311" s="4" t="n"/>
      <c r="F311" s="4" t="n"/>
      <c r="G311" s="4" t="n"/>
      <c r="H311" s="4" t="n"/>
      <c r="I311" s="4" t="n"/>
      <c r="J311" s="4" t="n"/>
      <c r="K311" s="4" t="n"/>
      <c r="L311" s="4" t="n"/>
      <c r="M311" s="4" t="n"/>
      <c r="N311" s="4" t="n"/>
      <c r="O311" s="4" t="n"/>
      <c r="P311" s="4" t="n"/>
      <c r="Q311" s="4" t="n"/>
      <c r="R311" s="4" t="n"/>
      <c r="S311" s="4" t="n"/>
      <c r="T311" s="6" t="n"/>
      <c r="U311" s="6" t="n"/>
      <c r="V311" s="6" t="n"/>
      <c r="W311" s="6" t="n"/>
      <c r="X311" s="6" t="n"/>
    </row>
    <row r="312" ht="14" customHeight="1" s="250">
      <c r="A312" s="4" t="n"/>
      <c r="B312" s="5" t="n"/>
      <c r="C312" s="4" t="n"/>
      <c r="D312" s="4" t="n"/>
      <c r="E312" s="4" t="n"/>
      <c r="F312" s="4" t="n"/>
      <c r="G312" s="4" t="n"/>
      <c r="H312" s="4" t="n"/>
      <c r="I312" s="4" t="n"/>
      <c r="J312" s="4" t="n"/>
      <c r="K312" s="4" t="n"/>
      <c r="L312" s="4" t="n"/>
      <c r="M312" s="4" t="n"/>
      <c r="N312" s="4" t="n"/>
      <c r="O312" s="4" t="n"/>
      <c r="P312" s="4" t="n"/>
      <c r="Q312" s="4" t="n"/>
      <c r="R312" s="4" t="n"/>
      <c r="S312" s="4" t="n"/>
      <c r="T312" s="6" t="n"/>
      <c r="U312" s="6" t="n"/>
      <c r="V312" s="6" t="n"/>
      <c r="W312" s="6" t="n"/>
      <c r="X312" s="6" t="n"/>
    </row>
    <row r="313" ht="14" customHeight="1" s="250">
      <c r="A313" s="4" t="n"/>
      <c r="B313" s="5" t="n"/>
      <c r="C313" s="4" t="n"/>
      <c r="D313" s="4" t="n"/>
      <c r="E313" s="4" t="n"/>
      <c r="F313" s="4" t="n"/>
      <c r="G313" s="4" t="n"/>
      <c r="H313" s="4" t="n"/>
      <c r="I313" s="4" t="n"/>
      <c r="J313" s="4" t="n"/>
      <c r="K313" s="4" t="n"/>
      <c r="L313" s="4" t="n"/>
      <c r="M313" s="4" t="n"/>
      <c r="N313" s="4" t="n"/>
      <c r="O313" s="4" t="n"/>
      <c r="P313" s="4" t="n"/>
      <c r="Q313" s="4" t="n"/>
      <c r="R313" s="4" t="n"/>
      <c r="S313" s="4" t="n"/>
      <c r="T313" s="6" t="n"/>
      <c r="U313" s="6" t="n"/>
      <c r="V313" s="6" t="n"/>
      <c r="W313" s="6" t="n"/>
      <c r="X313" s="6" t="n"/>
    </row>
    <row r="314" ht="14" customHeight="1" s="250">
      <c r="A314" s="4" t="n"/>
      <c r="B314" s="5" t="n"/>
      <c r="C314" s="4" t="n"/>
      <c r="D314" s="4" t="n"/>
      <c r="E314" s="4" t="n"/>
      <c r="F314" s="4" t="n"/>
      <c r="G314" s="4" t="n"/>
      <c r="H314" s="4" t="n"/>
      <c r="I314" s="4" t="n"/>
      <c r="J314" s="4" t="n"/>
      <c r="K314" s="4" t="n"/>
      <c r="L314" s="4" t="n"/>
      <c r="M314" s="4" t="n"/>
      <c r="N314" s="4" t="n"/>
      <c r="O314" s="4" t="n"/>
      <c r="P314" s="4" t="n"/>
      <c r="Q314" s="4" t="n"/>
      <c r="R314" s="4" t="n"/>
      <c r="S314" s="4" t="n"/>
      <c r="T314" s="6" t="n"/>
      <c r="U314" s="6" t="n"/>
      <c r="V314" s="6" t="n"/>
      <c r="W314" s="6" t="n"/>
      <c r="X314" s="6" t="n"/>
    </row>
    <row r="315" ht="14" customHeight="1" s="250">
      <c r="A315" s="4" t="n"/>
      <c r="B315" s="5" t="n"/>
      <c r="C315" s="4" t="n"/>
      <c r="D315" s="4" t="n"/>
      <c r="E315" s="4" t="n"/>
      <c r="F315" s="4" t="n"/>
      <c r="G315" s="4" t="n"/>
      <c r="H315" s="4" t="n"/>
      <c r="I315" s="4" t="n"/>
      <c r="J315" s="4" t="n"/>
      <c r="K315" s="4" t="n"/>
      <c r="L315" s="4" t="n"/>
      <c r="M315" s="4" t="n"/>
      <c r="N315" s="4" t="n"/>
      <c r="O315" s="4" t="n"/>
      <c r="P315" s="4" t="n"/>
      <c r="Q315" s="4" t="n"/>
      <c r="R315" s="4" t="n"/>
      <c r="S315" s="4" t="n"/>
      <c r="T315" s="6" t="n"/>
      <c r="U315" s="6" t="n"/>
      <c r="V315" s="6" t="n"/>
      <c r="W315" s="6" t="n"/>
      <c r="X315" s="6" t="n"/>
    </row>
    <row r="316" ht="14" customHeight="1" s="250">
      <c r="A316" s="4" t="n"/>
      <c r="B316" s="5" t="n"/>
      <c r="C316" s="4" t="n"/>
      <c r="D316" s="4" t="n"/>
      <c r="E316" s="4" t="n"/>
      <c r="F316" s="4" t="n"/>
      <c r="G316" s="4" t="n"/>
      <c r="H316" s="4" t="n"/>
      <c r="I316" s="4" t="n"/>
      <c r="J316" s="4" t="n"/>
      <c r="K316" s="4" t="n"/>
      <c r="L316" s="4" t="n"/>
      <c r="M316" s="4" t="n"/>
      <c r="N316" s="4" t="n"/>
      <c r="O316" s="4" t="n"/>
      <c r="P316" s="4" t="n"/>
      <c r="Q316" s="4" t="n"/>
      <c r="R316" s="4" t="n"/>
      <c r="S316" s="4" t="n"/>
      <c r="T316" s="6" t="n"/>
      <c r="U316" s="6" t="n"/>
      <c r="V316" s="6" t="n"/>
      <c r="W316" s="6" t="n"/>
      <c r="X316" s="6" t="n"/>
    </row>
    <row r="317" ht="14" customHeight="1" s="250">
      <c r="A317" s="4" t="n"/>
      <c r="B317" s="5" t="n"/>
      <c r="C317" s="4" t="n"/>
      <c r="D317" s="4" t="n"/>
      <c r="E317" s="4" t="n"/>
      <c r="F317" s="4" t="n"/>
      <c r="G317" s="4" t="n"/>
      <c r="H317" s="4" t="n"/>
      <c r="I317" s="4" t="n"/>
      <c r="J317" s="4" t="n"/>
      <c r="K317" s="4" t="n"/>
      <c r="L317" s="4" t="n"/>
      <c r="M317" s="4" t="n"/>
      <c r="N317" s="4" t="n"/>
      <c r="O317" s="4" t="n"/>
      <c r="P317" s="4" t="n"/>
      <c r="Q317" s="4" t="n"/>
      <c r="R317" s="4" t="n"/>
      <c r="S317" s="4" t="n"/>
      <c r="T317" s="6" t="n"/>
      <c r="U317" s="6" t="n"/>
      <c r="V317" s="6" t="n"/>
      <c r="W317" s="6" t="n"/>
      <c r="X317" s="6" t="n"/>
    </row>
    <row r="318" ht="14" customHeight="1" s="250">
      <c r="A318" s="4" t="n"/>
      <c r="B318" s="5" t="n"/>
      <c r="C318" s="4" t="n"/>
      <c r="D318" s="4" t="n"/>
      <c r="E318" s="4" t="n"/>
      <c r="F318" s="4" t="n"/>
      <c r="G318" s="4" t="n"/>
      <c r="H318" s="4" t="n"/>
      <c r="I318" s="4" t="n"/>
      <c r="J318" s="4" t="n"/>
      <c r="K318" s="4" t="n"/>
      <c r="L318" s="4" t="n"/>
      <c r="M318" s="4" t="n"/>
      <c r="N318" s="4" t="n"/>
      <c r="O318" s="4" t="n"/>
      <c r="P318" s="4" t="n"/>
      <c r="Q318" s="4" t="n"/>
      <c r="R318" s="4" t="n"/>
      <c r="S318" s="4" t="n"/>
      <c r="T318" s="6" t="n"/>
      <c r="U318" s="6" t="n"/>
      <c r="V318" s="6" t="n"/>
      <c r="W318" s="6" t="n"/>
      <c r="X318" s="6" t="n"/>
    </row>
    <row r="319" ht="14" customHeight="1" s="250">
      <c r="A319" s="4" t="n"/>
      <c r="B319" s="5" t="n"/>
      <c r="C319" s="4" t="n"/>
      <c r="D319" s="4" t="n"/>
      <c r="E319" s="4" t="n"/>
      <c r="F319" s="4" t="n"/>
      <c r="G319" s="4" t="n"/>
      <c r="H319" s="4" t="n"/>
      <c r="I319" s="4" t="n"/>
      <c r="J319" s="4" t="n"/>
      <c r="K319" s="4" t="n"/>
      <c r="L319" s="4" t="n"/>
      <c r="M319" s="4" t="n"/>
      <c r="N319" s="4" t="n"/>
      <c r="O319" s="4" t="n"/>
      <c r="P319" s="4" t="n"/>
      <c r="Q319" s="4" t="n"/>
      <c r="R319" s="4" t="n"/>
      <c r="S319" s="4" t="n"/>
      <c r="T319" s="6" t="n"/>
      <c r="U319" s="6" t="n"/>
      <c r="V319" s="6" t="n"/>
      <c r="W319" s="6" t="n"/>
      <c r="X319" s="6" t="n"/>
    </row>
    <row r="320" ht="14" customHeight="1" s="250">
      <c r="A320" s="4" t="n"/>
      <c r="B320" s="5" t="n"/>
      <c r="C320" s="4" t="n"/>
      <c r="D320" s="4" t="n"/>
      <c r="E320" s="4" t="n"/>
      <c r="F320" s="4" t="n"/>
      <c r="G320" s="4" t="n"/>
      <c r="H320" s="4" t="n"/>
      <c r="I320" s="4" t="n"/>
      <c r="J320" s="4" t="n"/>
      <c r="K320" s="4" t="n"/>
      <c r="L320" s="4" t="n"/>
      <c r="M320" s="4" t="n"/>
      <c r="N320" s="4" t="n"/>
      <c r="O320" s="4" t="n"/>
      <c r="P320" s="4" t="n"/>
      <c r="Q320" s="4" t="n"/>
      <c r="R320" s="4" t="n"/>
      <c r="S320" s="4" t="n"/>
      <c r="T320" s="6" t="n"/>
      <c r="U320" s="6" t="n"/>
      <c r="V320" s="6" t="n"/>
      <c r="W320" s="6" t="n"/>
      <c r="X320" s="6" t="n"/>
    </row>
    <row r="321" ht="14" customHeight="1" s="250">
      <c r="A321" s="4" t="n"/>
      <c r="B321" s="5" t="n"/>
      <c r="C321" s="4" t="n"/>
      <c r="D321" s="4" t="n"/>
      <c r="E321" s="4" t="n"/>
      <c r="F321" s="4" t="n"/>
      <c r="G321" s="4" t="n"/>
      <c r="H321" s="4" t="n"/>
      <c r="I321" s="4" t="n"/>
      <c r="J321" s="4" t="n"/>
      <c r="K321" s="4" t="n"/>
      <c r="L321" s="4" t="n"/>
      <c r="M321" s="4" t="n"/>
      <c r="N321" s="4" t="n"/>
      <c r="O321" s="4" t="n"/>
      <c r="P321" s="4" t="n"/>
      <c r="Q321" s="4" t="n"/>
      <c r="R321" s="4" t="n"/>
      <c r="S321" s="4" t="n"/>
      <c r="T321" s="6" t="n"/>
      <c r="U321" s="6" t="n"/>
      <c r="V321" s="6" t="n"/>
      <c r="W321" s="6" t="n"/>
      <c r="X321" s="6" t="n"/>
    </row>
    <row r="322" ht="14" customHeight="1" s="250">
      <c r="A322" s="4" t="n"/>
      <c r="B322" s="5" t="n"/>
      <c r="C322" s="4" t="n"/>
      <c r="D322" s="4" t="n"/>
      <c r="E322" s="4" t="n"/>
      <c r="F322" s="4" t="n"/>
      <c r="G322" s="4" t="n"/>
      <c r="H322" s="4" t="n"/>
      <c r="I322" s="4" t="n"/>
      <c r="J322" s="4" t="n"/>
      <c r="K322" s="4" t="n"/>
      <c r="L322" s="4" t="n"/>
      <c r="M322" s="4" t="n"/>
      <c r="N322" s="4" t="n"/>
      <c r="O322" s="4" t="n"/>
      <c r="P322" s="4" t="n"/>
      <c r="Q322" s="4" t="n"/>
      <c r="R322" s="4" t="n"/>
      <c r="S322" s="4" t="n"/>
      <c r="T322" s="6" t="n"/>
      <c r="U322" s="6" t="n"/>
      <c r="V322" s="6" t="n"/>
      <c r="W322" s="6" t="n"/>
      <c r="X322" s="6" t="n"/>
    </row>
    <row r="323" ht="14" customHeight="1" s="250">
      <c r="A323" s="4" t="n"/>
      <c r="B323" s="5" t="n"/>
      <c r="C323" s="4" t="n"/>
      <c r="D323" s="4" t="n"/>
      <c r="E323" s="4" t="n"/>
      <c r="F323" s="4" t="n"/>
      <c r="G323" s="4" t="n"/>
      <c r="H323" s="4" t="n"/>
      <c r="I323" s="4" t="n"/>
      <c r="J323" s="4" t="n"/>
      <c r="K323" s="4" t="n"/>
      <c r="L323" s="4" t="n"/>
      <c r="M323" s="4" t="n"/>
      <c r="N323" s="4" t="n"/>
      <c r="O323" s="4" t="n"/>
      <c r="P323" s="4" t="n"/>
      <c r="Q323" s="4" t="n"/>
      <c r="R323" s="4" t="n"/>
      <c r="S323" s="4" t="n"/>
      <c r="T323" s="6" t="n"/>
      <c r="U323" s="6" t="n"/>
      <c r="V323" s="6" t="n"/>
      <c r="W323" s="6" t="n"/>
      <c r="X323" s="6" t="n"/>
    </row>
    <row r="324" ht="14" customHeight="1" s="250">
      <c r="A324" s="4" t="n"/>
      <c r="B324" s="5" t="n"/>
      <c r="C324" s="4" t="n"/>
      <c r="D324" s="4" t="n"/>
      <c r="E324" s="4" t="n"/>
      <c r="F324" s="4" t="n"/>
      <c r="G324" s="4" t="n"/>
      <c r="H324" s="4" t="n"/>
      <c r="I324" s="4" t="n"/>
      <c r="J324" s="4" t="n"/>
      <c r="K324" s="4" t="n"/>
      <c r="L324" s="4" t="n"/>
      <c r="M324" s="4" t="n"/>
      <c r="N324" s="4" t="n"/>
      <c r="O324" s="4" t="n"/>
      <c r="P324" s="4" t="n"/>
      <c r="Q324" s="4" t="n"/>
      <c r="R324" s="4" t="n"/>
      <c r="S324" s="4" t="n"/>
      <c r="T324" s="6" t="n"/>
      <c r="U324" s="6" t="n"/>
      <c r="V324" s="6" t="n"/>
      <c r="W324" s="6" t="n"/>
      <c r="X324" s="6" t="n"/>
    </row>
    <row r="325" ht="14" customHeight="1" s="250">
      <c r="A325" s="4" t="n"/>
      <c r="B325" s="5" t="n"/>
      <c r="C325" s="4" t="n"/>
      <c r="D325" s="4" t="n"/>
      <c r="E325" s="4" t="n"/>
      <c r="F325" s="4" t="n"/>
      <c r="G325" s="4" t="n"/>
      <c r="H325" s="4" t="n"/>
      <c r="I325" s="4" t="n"/>
      <c r="J325" s="4" t="n"/>
      <c r="K325" s="4" t="n"/>
      <c r="L325" s="4" t="n"/>
      <c r="M325" s="4" t="n"/>
      <c r="N325" s="4" t="n"/>
      <c r="O325" s="4" t="n"/>
      <c r="P325" s="4" t="n"/>
      <c r="Q325" s="4" t="n"/>
      <c r="R325" s="4" t="n"/>
      <c r="S325" s="4" t="n"/>
      <c r="T325" s="6" t="n"/>
      <c r="U325" s="6" t="n"/>
      <c r="V325" s="6" t="n"/>
      <c r="W325" s="6" t="n"/>
      <c r="X325" s="6" t="n"/>
    </row>
    <row r="326" ht="14" customHeight="1" s="250">
      <c r="A326" s="4" t="n"/>
      <c r="B326" s="5" t="n"/>
      <c r="C326" s="4" t="n"/>
      <c r="D326" s="4" t="n"/>
      <c r="E326" s="4" t="n"/>
      <c r="F326" s="4" t="n"/>
      <c r="G326" s="4" t="n"/>
      <c r="H326" s="4" t="n"/>
      <c r="I326" s="4" t="n"/>
      <c r="J326" s="4" t="n"/>
      <c r="K326" s="4" t="n"/>
      <c r="L326" s="4" t="n"/>
      <c r="M326" s="4" t="n"/>
      <c r="N326" s="4" t="n"/>
      <c r="O326" s="4" t="n"/>
      <c r="P326" s="4" t="n"/>
      <c r="Q326" s="4" t="n"/>
      <c r="R326" s="4" t="n"/>
      <c r="S326" s="4" t="n"/>
      <c r="T326" s="6" t="n"/>
      <c r="U326" s="6" t="n"/>
      <c r="V326" s="6" t="n"/>
      <c r="W326" s="6" t="n"/>
      <c r="X326" s="6" t="n"/>
    </row>
    <row r="327" ht="14" customHeight="1" s="250">
      <c r="A327" s="4" t="n"/>
      <c r="B327" s="5" t="n"/>
      <c r="C327" s="4" t="n"/>
      <c r="D327" s="4" t="n"/>
      <c r="E327" s="4" t="n"/>
      <c r="F327" s="4" t="n"/>
      <c r="G327" s="4" t="n"/>
      <c r="H327" s="4" t="n"/>
      <c r="I327" s="4" t="n"/>
      <c r="J327" s="4" t="n"/>
      <c r="K327" s="4" t="n"/>
      <c r="L327" s="4" t="n"/>
      <c r="M327" s="4" t="n"/>
      <c r="N327" s="4" t="n"/>
      <c r="O327" s="4" t="n"/>
      <c r="P327" s="4" t="n"/>
      <c r="Q327" s="4" t="n"/>
      <c r="R327" s="4" t="n"/>
      <c r="S327" s="4" t="n"/>
      <c r="T327" s="6" t="n"/>
      <c r="U327" s="6" t="n"/>
      <c r="V327" s="6" t="n"/>
      <c r="W327" s="6" t="n"/>
      <c r="X327" s="6" t="n"/>
    </row>
    <row r="328" ht="14" customHeight="1" s="250">
      <c r="A328" s="4" t="n"/>
      <c r="B328" s="5" t="n"/>
      <c r="C328" s="4" t="n"/>
      <c r="D328" s="4" t="n"/>
      <c r="E328" s="4" t="n"/>
      <c r="F328" s="4" t="n"/>
      <c r="G328" s="4" t="n"/>
      <c r="H328" s="4" t="n"/>
      <c r="I328" s="4" t="n"/>
      <c r="J328" s="4" t="n"/>
      <c r="K328" s="4" t="n"/>
      <c r="L328" s="4" t="n"/>
      <c r="M328" s="4" t="n"/>
      <c r="N328" s="4" t="n"/>
      <c r="O328" s="4" t="n"/>
      <c r="P328" s="4" t="n"/>
      <c r="Q328" s="4" t="n"/>
      <c r="R328" s="4" t="n"/>
      <c r="S328" s="4" t="n"/>
      <c r="T328" s="6" t="n"/>
      <c r="U328" s="6" t="n"/>
      <c r="V328" s="6" t="n"/>
      <c r="W328" s="6" t="n"/>
      <c r="X328" s="6" t="n"/>
    </row>
    <row r="329" ht="14" customHeight="1" s="250">
      <c r="A329" s="4" t="n"/>
      <c r="B329" s="5" t="n"/>
      <c r="C329" s="4" t="n"/>
      <c r="D329" s="4" t="n"/>
      <c r="E329" s="4" t="n"/>
      <c r="F329" s="4" t="n"/>
      <c r="G329" s="4" t="n"/>
      <c r="H329" s="4" t="n"/>
      <c r="I329" s="4" t="n"/>
      <c r="J329" s="4" t="n"/>
      <c r="K329" s="4" t="n"/>
      <c r="L329" s="4" t="n"/>
      <c r="M329" s="4" t="n"/>
      <c r="N329" s="4" t="n"/>
      <c r="O329" s="4" t="n"/>
      <c r="P329" s="4" t="n"/>
      <c r="Q329" s="4" t="n"/>
      <c r="R329" s="4" t="n"/>
      <c r="S329" s="4" t="n"/>
      <c r="T329" s="6" t="n"/>
      <c r="U329" s="6" t="n"/>
      <c r="V329" s="6" t="n"/>
      <c r="W329" s="6" t="n"/>
      <c r="X329" s="6" t="n"/>
    </row>
    <row r="330" ht="14" customHeight="1" s="250">
      <c r="A330" s="4" t="n"/>
      <c r="B330" s="5" t="n"/>
      <c r="C330" s="4" t="n"/>
      <c r="D330" s="4" t="n"/>
      <c r="E330" s="4" t="n"/>
      <c r="F330" s="4" t="n"/>
      <c r="G330" s="4" t="n"/>
      <c r="H330" s="4" t="n"/>
      <c r="I330" s="4" t="n"/>
      <c r="J330" s="4" t="n"/>
      <c r="K330" s="4" t="n"/>
      <c r="L330" s="4" t="n"/>
      <c r="M330" s="4" t="n"/>
      <c r="N330" s="4" t="n"/>
      <c r="O330" s="4" t="n"/>
      <c r="P330" s="4" t="n"/>
      <c r="Q330" s="4" t="n"/>
      <c r="R330" s="4" t="n"/>
      <c r="S330" s="4" t="n"/>
      <c r="T330" s="6" t="n"/>
      <c r="U330" s="6" t="n"/>
      <c r="V330" s="6" t="n"/>
      <c r="W330" s="6" t="n"/>
      <c r="X330" s="6" t="n"/>
    </row>
    <row r="331" ht="14" customHeight="1" s="250">
      <c r="A331" s="4" t="n"/>
      <c r="B331" s="5" t="n"/>
      <c r="C331" s="4" t="n"/>
      <c r="D331" s="4" t="n"/>
      <c r="E331" s="4" t="n"/>
      <c r="F331" s="4" t="n"/>
      <c r="G331" s="4" t="n"/>
      <c r="H331" s="4" t="n"/>
      <c r="I331" s="4" t="n"/>
      <c r="J331" s="4" t="n"/>
      <c r="K331" s="4" t="n"/>
      <c r="L331" s="4" t="n"/>
      <c r="M331" s="4" t="n"/>
      <c r="N331" s="4" t="n"/>
      <c r="O331" s="4" t="n"/>
      <c r="P331" s="4" t="n"/>
      <c r="Q331" s="4" t="n"/>
      <c r="R331" s="4" t="n"/>
      <c r="S331" s="4" t="n"/>
      <c r="T331" s="6" t="n"/>
      <c r="U331" s="6" t="n"/>
      <c r="V331" s="6" t="n"/>
      <c r="W331" s="6" t="n"/>
      <c r="X331" s="6" t="n"/>
    </row>
    <row r="332" ht="14" customHeight="1" s="250">
      <c r="A332" s="4" t="n"/>
      <c r="B332" s="5" t="n"/>
      <c r="C332" s="4" t="n"/>
      <c r="D332" s="4" t="n"/>
      <c r="E332" s="4" t="n"/>
      <c r="F332" s="4" t="n"/>
      <c r="G332" s="4" t="n"/>
      <c r="H332" s="4" t="n"/>
      <c r="I332" s="4" t="n"/>
      <c r="J332" s="4" t="n"/>
      <c r="K332" s="4" t="n"/>
      <c r="L332" s="4" t="n"/>
      <c r="M332" s="4" t="n"/>
      <c r="N332" s="4" t="n"/>
      <c r="O332" s="4" t="n"/>
      <c r="P332" s="4" t="n"/>
      <c r="Q332" s="4" t="n"/>
      <c r="R332" s="4" t="n"/>
      <c r="S332" s="4" t="n"/>
      <c r="T332" s="6" t="n"/>
      <c r="U332" s="6" t="n"/>
      <c r="V332" s="6" t="n"/>
      <c r="W332" s="6" t="n"/>
      <c r="X332" s="6" t="n"/>
    </row>
    <row r="333" ht="14" customHeight="1" s="250">
      <c r="A333" s="4" t="n"/>
      <c r="B333" s="5" t="n"/>
      <c r="C333" s="4" t="n"/>
      <c r="D333" s="4" t="n"/>
      <c r="E333" s="4" t="n"/>
      <c r="F333" s="4" t="n"/>
      <c r="G333" s="4" t="n"/>
      <c r="H333" s="4" t="n"/>
      <c r="I333" s="4" t="n"/>
      <c r="J333" s="4" t="n"/>
      <c r="K333" s="4" t="n"/>
      <c r="L333" s="4" t="n"/>
      <c r="M333" s="4" t="n"/>
      <c r="N333" s="4" t="n"/>
      <c r="O333" s="4" t="n"/>
      <c r="P333" s="4" t="n"/>
      <c r="Q333" s="4" t="n"/>
      <c r="R333" s="4" t="n"/>
      <c r="S333" s="4" t="n"/>
      <c r="T333" s="6" t="n"/>
      <c r="U333" s="6" t="n"/>
      <c r="V333" s="6" t="n"/>
      <c r="W333" s="6" t="n"/>
      <c r="X333" s="6" t="n"/>
    </row>
    <row r="334" ht="14" customHeight="1" s="250">
      <c r="A334" s="4" t="n"/>
      <c r="B334" s="5" t="n"/>
      <c r="C334" s="4" t="n"/>
      <c r="D334" s="4" t="n"/>
      <c r="E334" s="4" t="n"/>
      <c r="F334" s="4" t="n"/>
      <c r="G334" s="4" t="n"/>
      <c r="H334" s="4" t="n"/>
      <c r="I334" s="4" t="n"/>
      <c r="J334" s="4" t="n"/>
      <c r="K334" s="4" t="n"/>
      <c r="L334" s="4" t="n"/>
      <c r="M334" s="4" t="n"/>
      <c r="N334" s="4" t="n"/>
      <c r="O334" s="4" t="n"/>
      <c r="P334" s="4" t="n"/>
      <c r="Q334" s="4" t="n"/>
      <c r="R334" s="4" t="n"/>
      <c r="S334" s="4" t="n"/>
      <c r="T334" s="6" t="n"/>
      <c r="U334" s="6" t="n"/>
      <c r="V334" s="6" t="n"/>
      <c r="W334" s="6" t="n"/>
      <c r="X334" s="6" t="n"/>
    </row>
    <row r="335" ht="14" customHeight="1" s="250">
      <c r="A335" s="4" t="n"/>
      <c r="B335" s="5" t="n"/>
      <c r="C335" s="4" t="n"/>
      <c r="D335" s="4" t="n"/>
      <c r="E335" s="4" t="n"/>
      <c r="F335" s="4" t="n"/>
      <c r="G335" s="4" t="n"/>
      <c r="H335" s="4" t="n"/>
      <c r="I335" s="4" t="n"/>
      <c r="J335" s="4" t="n"/>
      <c r="K335" s="4" t="n"/>
      <c r="L335" s="4" t="n"/>
      <c r="M335" s="4" t="n"/>
      <c r="N335" s="4" t="n"/>
      <c r="O335" s="4" t="n"/>
      <c r="P335" s="4" t="n"/>
      <c r="Q335" s="4" t="n"/>
      <c r="R335" s="4" t="n"/>
      <c r="S335" s="4" t="n"/>
      <c r="T335" s="6" t="n"/>
      <c r="U335" s="6" t="n"/>
      <c r="V335" s="6" t="n"/>
      <c r="W335" s="6" t="n"/>
      <c r="X335" s="6" t="n"/>
    </row>
    <row r="336" ht="14" customHeight="1" s="250">
      <c r="A336" s="4" t="n"/>
      <c r="B336" s="5" t="n"/>
      <c r="C336" s="4" t="n"/>
      <c r="D336" s="4" t="n"/>
      <c r="E336" s="4" t="n"/>
      <c r="F336" s="4" t="n"/>
      <c r="G336" s="4" t="n"/>
      <c r="H336" s="4" t="n"/>
      <c r="I336" s="4" t="n"/>
      <c r="J336" s="4" t="n"/>
      <c r="K336" s="4" t="n"/>
      <c r="L336" s="4" t="n"/>
      <c r="M336" s="4" t="n"/>
      <c r="N336" s="4" t="n"/>
      <c r="O336" s="4" t="n"/>
      <c r="P336" s="4" t="n"/>
      <c r="Q336" s="4" t="n"/>
      <c r="R336" s="4" t="n"/>
      <c r="S336" s="4" t="n"/>
      <c r="T336" s="6" t="n"/>
      <c r="U336" s="6" t="n"/>
      <c r="V336" s="6" t="n"/>
      <c r="W336" s="6" t="n"/>
      <c r="X336" s="6" t="n"/>
    </row>
    <row r="337" ht="14" customHeight="1" s="250">
      <c r="A337" s="4" t="n"/>
      <c r="B337" s="5" t="n"/>
      <c r="C337" s="4" t="n"/>
      <c r="D337" s="4" t="n"/>
      <c r="E337" s="4" t="n"/>
      <c r="F337" s="4" t="n"/>
      <c r="G337" s="4" t="n"/>
      <c r="H337" s="4" t="n"/>
      <c r="I337" s="4" t="n"/>
      <c r="J337" s="4" t="n"/>
      <c r="K337" s="4" t="n"/>
      <c r="L337" s="4" t="n"/>
      <c r="M337" s="4" t="n"/>
      <c r="N337" s="4" t="n"/>
      <c r="O337" s="4" t="n"/>
      <c r="P337" s="4" t="n"/>
      <c r="Q337" s="4" t="n"/>
      <c r="R337" s="4" t="n"/>
      <c r="S337" s="4" t="n"/>
      <c r="T337" s="6" t="n"/>
      <c r="U337" s="6" t="n"/>
      <c r="V337" s="6" t="n"/>
      <c r="W337" s="6" t="n"/>
      <c r="X337" s="6" t="n"/>
    </row>
    <row r="338" ht="14" customHeight="1" s="250">
      <c r="A338" s="4" t="n"/>
      <c r="B338" s="5" t="n"/>
      <c r="C338" s="4" t="n"/>
      <c r="D338" s="4" t="n"/>
      <c r="E338" s="4" t="n"/>
      <c r="F338" s="4" t="n"/>
      <c r="G338" s="4" t="n"/>
      <c r="H338" s="4" t="n"/>
      <c r="I338" s="4" t="n"/>
      <c r="J338" s="4" t="n"/>
      <c r="K338" s="4" t="n"/>
      <c r="L338" s="4" t="n"/>
      <c r="M338" s="4" t="n"/>
      <c r="N338" s="4" t="n"/>
      <c r="O338" s="4" t="n"/>
      <c r="P338" s="4" t="n"/>
      <c r="Q338" s="4" t="n"/>
      <c r="R338" s="4" t="n"/>
      <c r="S338" s="4" t="n"/>
      <c r="T338" s="6" t="n"/>
      <c r="U338" s="6" t="n"/>
      <c r="V338" s="6" t="n"/>
      <c r="W338" s="6" t="n"/>
      <c r="X338" s="6" t="n"/>
    </row>
    <row r="339" ht="14" customHeight="1" s="250">
      <c r="A339" s="4" t="n"/>
      <c r="B339" s="5" t="n"/>
      <c r="C339" s="4" t="n"/>
      <c r="D339" s="4" t="n"/>
      <c r="E339" s="4" t="n"/>
      <c r="F339" s="4" t="n"/>
      <c r="G339" s="4" t="n"/>
      <c r="H339" s="4" t="n"/>
      <c r="I339" s="4" t="n"/>
      <c r="J339" s="4" t="n"/>
      <c r="K339" s="4" t="n"/>
      <c r="L339" s="4" t="n"/>
      <c r="M339" s="4" t="n"/>
      <c r="N339" s="4" t="n"/>
      <c r="O339" s="4" t="n"/>
      <c r="P339" s="4" t="n"/>
      <c r="Q339" s="4" t="n"/>
      <c r="R339" s="4" t="n"/>
      <c r="S339" s="4" t="n"/>
      <c r="T339" s="6" t="n"/>
      <c r="U339" s="6" t="n"/>
      <c r="V339" s="6" t="n"/>
      <c r="W339" s="6" t="n"/>
      <c r="X339" s="6" t="n"/>
    </row>
    <row r="340" ht="14" customHeight="1" s="250">
      <c r="A340" s="4" t="n"/>
      <c r="B340" s="5" t="n"/>
      <c r="C340" s="4" t="n"/>
      <c r="D340" s="4" t="n"/>
      <c r="E340" s="4" t="n"/>
      <c r="F340" s="4" t="n"/>
      <c r="G340" s="4" t="n"/>
      <c r="H340" s="4" t="n"/>
      <c r="I340" s="4" t="n"/>
      <c r="J340" s="4" t="n"/>
      <c r="K340" s="4" t="n"/>
      <c r="L340" s="4" t="n"/>
      <c r="M340" s="4" t="n"/>
      <c r="N340" s="4" t="n"/>
      <c r="O340" s="4" t="n"/>
      <c r="P340" s="4" t="n"/>
      <c r="Q340" s="4" t="n"/>
      <c r="R340" s="4" t="n"/>
      <c r="S340" s="4" t="n"/>
      <c r="T340" s="6" t="n"/>
      <c r="U340" s="6" t="n"/>
      <c r="V340" s="6" t="n"/>
      <c r="W340" s="6" t="n"/>
      <c r="X340" s="6" t="n"/>
    </row>
    <row r="341" ht="14" customHeight="1" s="250">
      <c r="A341" s="4" t="n"/>
      <c r="B341" s="5" t="n"/>
      <c r="C341" s="4" t="n"/>
      <c r="D341" s="4" t="n"/>
      <c r="E341" s="4" t="n"/>
      <c r="F341" s="4" t="n"/>
      <c r="G341" s="4" t="n"/>
      <c r="H341" s="4" t="n"/>
      <c r="I341" s="4" t="n"/>
      <c r="J341" s="4" t="n"/>
      <c r="K341" s="4" t="n"/>
      <c r="L341" s="4" t="n"/>
      <c r="M341" s="4" t="n"/>
      <c r="N341" s="4" t="n"/>
      <c r="O341" s="4" t="n"/>
      <c r="P341" s="4" t="n"/>
      <c r="Q341" s="4" t="n"/>
      <c r="R341" s="4" t="n"/>
      <c r="S341" s="4" t="n"/>
      <c r="T341" s="6" t="n"/>
      <c r="U341" s="6" t="n"/>
      <c r="V341" s="6" t="n"/>
      <c r="W341" s="6" t="n"/>
      <c r="X341" s="6" t="n"/>
    </row>
    <row r="342" ht="14" customHeight="1" s="250">
      <c r="A342" s="4" t="n"/>
      <c r="B342" s="5" t="n"/>
      <c r="C342" s="4" t="n"/>
      <c r="D342" s="4" t="n"/>
      <c r="E342" s="4" t="n"/>
      <c r="F342" s="4" t="n"/>
      <c r="G342" s="4" t="n"/>
      <c r="H342" s="4" t="n"/>
      <c r="I342" s="4" t="n"/>
      <c r="J342" s="4" t="n"/>
      <c r="K342" s="4" t="n"/>
      <c r="L342" s="4" t="n"/>
      <c r="M342" s="4" t="n"/>
      <c r="N342" s="4" t="n"/>
      <c r="O342" s="4" t="n"/>
      <c r="P342" s="4" t="n"/>
      <c r="Q342" s="4" t="n"/>
      <c r="R342" s="4" t="n"/>
      <c r="S342" s="4" t="n"/>
      <c r="T342" s="6" t="n"/>
      <c r="U342" s="6" t="n"/>
      <c r="V342" s="6" t="n"/>
      <c r="W342" s="6" t="n"/>
      <c r="X342" s="6" t="n"/>
    </row>
    <row r="343" ht="14" customHeight="1" s="250">
      <c r="A343" s="4" t="n"/>
      <c r="B343" s="5" t="n"/>
      <c r="C343" s="4" t="n"/>
      <c r="D343" s="4" t="n"/>
      <c r="E343" s="4" t="n"/>
      <c r="F343" s="4" t="n"/>
      <c r="G343" s="4" t="n"/>
      <c r="H343" s="4" t="n"/>
      <c r="I343" s="4" t="n"/>
      <c r="J343" s="4" t="n"/>
      <c r="K343" s="4" t="n"/>
      <c r="L343" s="4" t="n"/>
      <c r="M343" s="4" t="n"/>
      <c r="N343" s="4" t="n"/>
      <c r="O343" s="4" t="n"/>
      <c r="P343" s="4" t="n"/>
      <c r="Q343" s="4" t="n"/>
      <c r="R343" s="4" t="n"/>
      <c r="S343" s="4" t="n"/>
      <c r="T343" s="6" t="n"/>
      <c r="U343" s="6" t="n"/>
      <c r="V343" s="6" t="n"/>
      <c r="W343" s="6" t="n"/>
      <c r="X343" s="6" t="n"/>
    </row>
    <row r="344" ht="14" customHeight="1" s="250">
      <c r="A344" s="4" t="n"/>
      <c r="B344" s="5" t="n"/>
      <c r="C344" s="4" t="n"/>
      <c r="D344" s="4" t="n"/>
      <c r="E344" s="4" t="n"/>
      <c r="F344" s="4" t="n"/>
      <c r="G344" s="4" t="n"/>
      <c r="H344" s="4" t="n"/>
      <c r="I344" s="4" t="n"/>
      <c r="J344" s="4" t="n"/>
      <c r="K344" s="4" t="n"/>
      <c r="L344" s="4" t="n"/>
      <c r="M344" s="4" t="n"/>
      <c r="N344" s="4" t="n"/>
      <c r="O344" s="4" t="n"/>
      <c r="P344" s="4" t="n"/>
      <c r="Q344" s="4" t="n"/>
      <c r="R344" s="4" t="n"/>
      <c r="S344" s="4" t="n"/>
      <c r="T344" s="6" t="n"/>
      <c r="U344" s="6" t="n"/>
      <c r="V344" s="6" t="n"/>
      <c r="W344" s="6" t="n"/>
      <c r="X344" s="6" t="n"/>
    </row>
    <row r="345" ht="14" customHeight="1" s="250">
      <c r="A345" s="4" t="n"/>
      <c r="B345" s="5" t="n"/>
      <c r="C345" s="4" t="n"/>
      <c r="D345" s="4" t="n"/>
      <c r="E345" s="4" t="n"/>
      <c r="F345" s="4" t="n"/>
      <c r="G345" s="4" t="n"/>
      <c r="H345" s="4" t="n"/>
      <c r="I345" s="4" t="n"/>
      <c r="J345" s="4" t="n"/>
      <c r="K345" s="4" t="n"/>
      <c r="L345" s="4" t="n"/>
      <c r="M345" s="4" t="n"/>
      <c r="N345" s="4" t="n"/>
      <c r="O345" s="4" t="n"/>
      <c r="P345" s="4" t="n"/>
      <c r="Q345" s="4" t="n"/>
      <c r="R345" s="4" t="n"/>
      <c r="S345" s="4" t="n"/>
      <c r="T345" s="6" t="n"/>
      <c r="U345" s="6" t="n"/>
      <c r="V345" s="6" t="n"/>
      <c r="W345" s="6" t="n"/>
      <c r="X345" s="6" t="n"/>
    </row>
    <row r="346" ht="14" customHeight="1" s="250">
      <c r="A346" s="4" t="n"/>
      <c r="B346" s="5" t="n"/>
      <c r="C346" s="4" t="n"/>
      <c r="D346" s="4" t="n"/>
      <c r="E346" s="4" t="n"/>
      <c r="F346" s="4" t="n"/>
      <c r="G346" s="4" t="n"/>
      <c r="H346" s="4" t="n"/>
      <c r="I346" s="4" t="n"/>
      <c r="J346" s="4" t="n"/>
      <c r="K346" s="4" t="n"/>
      <c r="L346" s="4" t="n"/>
      <c r="M346" s="4" t="n"/>
      <c r="N346" s="4" t="n"/>
      <c r="O346" s="4" t="n"/>
      <c r="P346" s="4" t="n"/>
      <c r="Q346" s="4" t="n"/>
      <c r="R346" s="4" t="n"/>
      <c r="S346" s="4" t="n"/>
      <c r="T346" s="6" t="n"/>
      <c r="U346" s="6" t="n"/>
      <c r="V346" s="6" t="n"/>
      <c r="W346" s="6" t="n"/>
      <c r="X346" s="6" t="n"/>
    </row>
    <row r="347" ht="14" customHeight="1" s="250">
      <c r="A347" s="4" t="n"/>
      <c r="B347" s="5" t="n"/>
      <c r="C347" s="4" t="n"/>
      <c r="D347" s="4" t="n"/>
      <c r="E347" s="4" t="n"/>
      <c r="F347" s="4" t="n"/>
      <c r="G347" s="4" t="n"/>
      <c r="H347" s="4" t="n"/>
      <c r="I347" s="4" t="n"/>
      <c r="J347" s="4" t="n"/>
      <c r="K347" s="4" t="n"/>
      <c r="L347" s="4" t="n"/>
      <c r="M347" s="4" t="n"/>
      <c r="N347" s="4" t="n"/>
      <c r="O347" s="4" t="n"/>
      <c r="P347" s="4" t="n"/>
      <c r="Q347" s="4" t="n"/>
      <c r="R347" s="4" t="n"/>
      <c r="S347" s="4" t="n"/>
      <c r="T347" s="6" t="n"/>
      <c r="U347" s="6" t="n"/>
      <c r="V347" s="6" t="n"/>
      <c r="W347" s="6" t="n"/>
      <c r="X347" s="6" t="n"/>
    </row>
    <row r="348" ht="14" customHeight="1" s="250">
      <c r="A348" s="4" t="n"/>
      <c r="B348" s="5" t="n"/>
      <c r="C348" s="4" t="n"/>
      <c r="D348" s="4" t="n"/>
      <c r="E348" s="4" t="n"/>
      <c r="F348" s="4" t="n"/>
      <c r="G348" s="4" t="n"/>
      <c r="H348" s="4" t="n"/>
      <c r="I348" s="4" t="n"/>
      <c r="J348" s="4" t="n"/>
      <c r="K348" s="4" t="n"/>
      <c r="L348" s="4" t="n"/>
      <c r="M348" s="4" t="n"/>
      <c r="N348" s="4" t="n"/>
      <c r="O348" s="4" t="n"/>
      <c r="P348" s="4" t="n"/>
      <c r="Q348" s="4" t="n"/>
      <c r="R348" s="4" t="n"/>
      <c r="S348" s="4" t="n"/>
      <c r="T348" s="6" t="n"/>
      <c r="U348" s="6" t="n"/>
      <c r="V348" s="6" t="n"/>
      <c r="W348" s="6" t="n"/>
      <c r="X348" s="6" t="n"/>
    </row>
    <row r="349" ht="14" customHeight="1" s="250">
      <c r="A349" s="4" t="n"/>
      <c r="B349" s="5" t="n"/>
      <c r="C349" s="4" t="n"/>
      <c r="D349" s="4" t="n"/>
      <c r="E349" s="4" t="n"/>
      <c r="F349" s="4" t="n"/>
      <c r="G349" s="4" t="n"/>
      <c r="H349" s="4" t="n"/>
      <c r="I349" s="4" t="n"/>
      <c r="J349" s="4" t="n"/>
      <c r="K349" s="4" t="n"/>
      <c r="L349" s="4" t="n"/>
      <c r="M349" s="4" t="n"/>
      <c r="N349" s="4" t="n"/>
      <c r="O349" s="4" t="n"/>
      <c r="P349" s="4" t="n"/>
      <c r="Q349" s="4" t="n"/>
      <c r="R349" s="4" t="n"/>
      <c r="S349" s="4" t="n"/>
      <c r="T349" s="6" t="n"/>
      <c r="U349" s="6" t="n"/>
      <c r="V349" s="6" t="n"/>
      <c r="W349" s="6" t="n"/>
      <c r="X349" s="6" t="n"/>
    </row>
    <row r="350" ht="14" customHeight="1" s="250">
      <c r="A350" s="4" t="n"/>
      <c r="B350" s="5" t="n"/>
      <c r="C350" s="4" t="n"/>
      <c r="D350" s="4" t="n"/>
      <c r="E350" s="4" t="n"/>
      <c r="F350" s="4" t="n"/>
      <c r="G350" s="4" t="n"/>
      <c r="H350" s="4" t="n"/>
      <c r="I350" s="4" t="n"/>
      <c r="J350" s="4" t="n"/>
      <c r="K350" s="4" t="n"/>
      <c r="L350" s="4" t="n"/>
      <c r="M350" s="4" t="n"/>
      <c r="N350" s="4" t="n"/>
      <c r="O350" s="4" t="n"/>
      <c r="P350" s="4" t="n"/>
      <c r="Q350" s="4" t="n"/>
      <c r="R350" s="4" t="n"/>
      <c r="S350" s="4" t="n"/>
      <c r="T350" s="6" t="n"/>
      <c r="U350" s="6" t="n"/>
      <c r="V350" s="6" t="n"/>
      <c r="W350" s="6" t="n"/>
      <c r="X350" s="6" t="n"/>
    </row>
    <row r="351" ht="14" customHeight="1" s="250">
      <c r="A351" s="4" t="n"/>
      <c r="B351" s="5" t="n"/>
      <c r="C351" s="4" t="n"/>
      <c r="D351" s="4" t="n"/>
      <c r="E351" s="4" t="n"/>
      <c r="F351" s="4" t="n"/>
      <c r="G351" s="4" t="n"/>
      <c r="H351" s="4" t="n"/>
      <c r="I351" s="4" t="n"/>
      <c r="J351" s="4" t="n"/>
      <c r="K351" s="4" t="n"/>
      <c r="L351" s="4" t="n"/>
      <c r="M351" s="4" t="n"/>
      <c r="N351" s="4" t="n"/>
      <c r="O351" s="4" t="n"/>
      <c r="P351" s="4" t="n"/>
      <c r="Q351" s="4" t="n"/>
      <c r="R351" s="4" t="n"/>
      <c r="S351" s="4" t="n"/>
      <c r="T351" s="6" t="n"/>
      <c r="U351" s="6" t="n"/>
      <c r="V351" s="6" t="n"/>
      <c r="W351" s="6" t="n"/>
      <c r="X351" s="6" t="n"/>
    </row>
    <row r="352" ht="14" customHeight="1" s="250">
      <c r="A352" s="4" t="n"/>
      <c r="B352" s="5" t="n"/>
      <c r="C352" s="4" t="n"/>
      <c r="D352" s="4" t="n"/>
      <c r="E352" s="4" t="n"/>
      <c r="F352" s="4" t="n"/>
      <c r="G352" s="4" t="n"/>
      <c r="H352" s="4" t="n"/>
      <c r="I352" s="4" t="n"/>
      <c r="J352" s="4" t="n"/>
      <c r="K352" s="4" t="n"/>
      <c r="L352" s="4" t="n"/>
      <c r="M352" s="4" t="n"/>
      <c r="N352" s="4" t="n"/>
      <c r="O352" s="4" t="n"/>
      <c r="P352" s="4" t="n"/>
      <c r="Q352" s="4" t="n"/>
      <c r="R352" s="4" t="n"/>
      <c r="S352" s="4" t="n"/>
      <c r="T352" s="6" t="n"/>
      <c r="U352" s="6" t="n"/>
      <c r="V352" s="6" t="n"/>
      <c r="W352" s="6" t="n"/>
      <c r="X352" s="6" t="n"/>
    </row>
    <row r="353" ht="14" customHeight="1" s="250">
      <c r="A353" s="4" t="n"/>
      <c r="B353" s="5" t="n"/>
      <c r="C353" s="4" t="n"/>
      <c r="D353" s="4" t="n"/>
      <c r="E353" s="4" t="n"/>
      <c r="F353" s="4" t="n"/>
      <c r="G353" s="4" t="n"/>
      <c r="H353" s="4" t="n"/>
      <c r="I353" s="4" t="n"/>
      <c r="J353" s="4" t="n"/>
      <c r="K353" s="4" t="n"/>
      <c r="L353" s="4" t="n"/>
      <c r="M353" s="4" t="n"/>
      <c r="N353" s="4" t="n"/>
      <c r="O353" s="4" t="n"/>
      <c r="P353" s="4" t="n"/>
      <c r="Q353" s="4" t="n"/>
      <c r="R353" s="4" t="n"/>
      <c r="S353" s="4" t="n"/>
      <c r="T353" s="6" t="n"/>
      <c r="U353" s="6" t="n"/>
      <c r="V353" s="6" t="n"/>
      <c r="W353" s="6" t="n"/>
      <c r="X353" s="6" t="n"/>
    </row>
    <row r="354" ht="14" customHeight="1" s="250">
      <c r="A354" s="4" t="n"/>
      <c r="B354" s="5" t="n"/>
      <c r="C354" s="4" t="n"/>
      <c r="D354" s="4" t="n"/>
      <c r="E354" s="4" t="n"/>
      <c r="F354" s="4" t="n"/>
      <c r="G354" s="4" t="n"/>
      <c r="H354" s="4" t="n"/>
      <c r="I354" s="4" t="n"/>
      <c r="J354" s="4" t="n"/>
      <c r="K354" s="4" t="n"/>
      <c r="L354" s="4" t="n"/>
      <c r="M354" s="4" t="n"/>
      <c r="N354" s="4" t="n"/>
      <c r="O354" s="4" t="n"/>
      <c r="P354" s="4" t="n"/>
      <c r="Q354" s="4" t="n"/>
      <c r="R354" s="4" t="n"/>
      <c r="S354" s="4" t="n"/>
      <c r="T354" s="6" t="n"/>
      <c r="U354" s="6" t="n"/>
      <c r="V354" s="6" t="n"/>
      <c r="W354" s="6" t="n"/>
      <c r="X354" s="6" t="n"/>
    </row>
    <row r="355" ht="14" customHeight="1" s="250">
      <c r="A355" s="4" t="n"/>
      <c r="B355" s="5" t="n"/>
      <c r="C355" s="4" t="n"/>
      <c r="D355" s="4" t="n"/>
      <c r="E355" s="4" t="n"/>
      <c r="F355" s="4" t="n"/>
      <c r="G355" s="4" t="n"/>
      <c r="H355" s="4" t="n"/>
      <c r="I355" s="4" t="n"/>
      <c r="J355" s="4" t="n"/>
      <c r="K355" s="4" t="n"/>
      <c r="L355" s="4" t="n"/>
      <c r="M355" s="4" t="n"/>
      <c r="N355" s="4" t="n"/>
      <c r="O355" s="4" t="n"/>
      <c r="P355" s="4" t="n"/>
      <c r="Q355" s="4" t="n"/>
      <c r="R355" s="4" t="n"/>
      <c r="S355" s="4" t="n"/>
      <c r="T355" s="6" t="n"/>
      <c r="U355" s="6" t="n"/>
      <c r="V355" s="6" t="n"/>
      <c r="W355" s="6" t="n"/>
      <c r="X355" s="6" t="n"/>
    </row>
    <row r="356" ht="14" customHeight="1" s="250">
      <c r="A356" s="4" t="n"/>
      <c r="B356" s="5" t="n"/>
      <c r="C356" s="4" t="n"/>
      <c r="D356" s="4" t="n"/>
      <c r="E356" s="4" t="n"/>
      <c r="F356" s="4" t="n"/>
      <c r="G356" s="4" t="n"/>
      <c r="H356" s="4" t="n"/>
      <c r="I356" s="4" t="n"/>
      <c r="J356" s="4" t="n"/>
      <c r="K356" s="4" t="n"/>
      <c r="L356" s="4" t="n"/>
      <c r="M356" s="4" t="n"/>
      <c r="N356" s="4" t="n"/>
      <c r="O356" s="4" t="n"/>
      <c r="P356" s="4" t="n"/>
      <c r="Q356" s="4" t="n"/>
      <c r="R356" s="4" t="n"/>
      <c r="S356" s="4" t="n"/>
      <c r="T356" s="6" t="n"/>
      <c r="U356" s="6" t="n"/>
      <c r="V356" s="6" t="n"/>
      <c r="W356" s="6" t="n"/>
      <c r="X356" s="6" t="n"/>
    </row>
    <row r="357" ht="14" customHeight="1" s="250">
      <c r="A357" s="4" t="n"/>
      <c r="B357" s="5" t="n"/>
      <c r="C357" s="4" t="n"/>
      <c r="D357" s="4" t="n"/>
      <c r="E357" s="4" t="n"/>
      <c r="F357" s="4" t="n"/>
      <c r="G357" s="4" t="n"/>
      <c r="H357" s="4" t="n"/>
      <c r="I357" s="4" t="n"/>
      <c r="J357" s="4" t="n"/>
      <c r="K357" s="4" t="n"/>
      <c r="L357" s="4" t="n"/>
      <c r="M357" s="4" t="n"/>
      <c r="N357" s="4" t="n"/>
      <c r="O357" s="4" t="n"/>
      <c r="P357" s="4" t="n"/>
      <c r="Q357" s="4" t="n"/>
      <c r="R357" s="4" t="n"/>
      <c r="S357" s="4" t="n"/>
      <c r="T357" s="6" t="n"/>
      <c r="U357" s="6" t="n"/>
      <c r="V357" s="6" t="n"/>
      <c r="W357" s="6" t="n"/>
      <c r="X357" s="6" t="n"/>
    </row>
    <row r="358" ht="14" customHeight="1" s="250">
      <c r="A358" s="4" t="n"/>
      <c r="B358" s="5" t="n"/>
      <c r="C358" s="4" t="n"/>
      <c r="D358" s="4" t="n"/>
      <c r="E358" s="4" t="n"/>
      <c r="F358" s="4" t="n"/>
      <c r="G358" s="4" t="n"/>
      <c r="H358" s="4" t="n"/>
      <c r="I358" s="4" t="n"/>
      <c r="J358" s="4" t="n"/>
      <c r="K358" s="4" t="n"/>
      <c r="L358" s="4" t="n"/>
      <c r="M358" s="4" t="n"/>
      <c r="N358" s="4" t="n"/>
      <c r="O358" s="4" t="n"/>
      <c r="P358" s="4" t="n"/>
      <c r="Q358" s="4" t="n"/>
      <c r="R358" s="4" t="n"/>
      <c r="S358" s="4" t="n"/>
      <c r="T358" s="6" t="n"/>
      <c r="U358" s="6" t="n"/>
      <c r="V358" s="6" t="n"/>
      <c r="W358" s="6" t="n"/>
      <c r="X358" s="6" t="n"/>
    </row>
    <row r="359" ht="14" customHeight="1" s="250">
      <c r="A359" s="4" t="n"/>
      <c r="B359" s="5" t="n"/>
      <c r="C359" s="4" t="n"/>
      <c r="D359" s="4" t="n"/>
      <c r="E359" s="4" t="n"/>
      <c r="F359" s="4" t="n"/>
      <c r="G359" s="4" t="n"/>
      <c r="H359" s="4" t="n"/>
      <c r="I359" s="4" t="n"/>
      <c r="J359" s="4" t="n"/>
      <c r="K359" s="4" t="n"/>
      <c r="L359" s="4" t="n"/>
      <c r="M359" s="4" t="n"/>
      <c r="N359" s="4" t="n"/>
      <c r="O359" s="4" t="n"/>
      <c r="P359" s="4" t="n"/>
      <c r="Q359" s="4" t="n"/>
      <c r="R359" s="4" t="n"/>
      <c r="S359" s="4" t="n"/>
      <c r="T359" s="6" t="n"/>
      <c r="U359" s="6" t="n"/>
      <c r="V359" s="6" t="n"/>
      <c r="W359" s="6" t="n"/>
      <c r="X359" s="6" t="n"/>
    </row>
    <row r="360" ht="14" customHeight="1" s="250">
      <c r="A360" s="4" t="n"/>
      <c r="B360" s="5" t="n"/>
      <c r="C360" s="4" t="n"/>
      <c r="D360" s="4" t="n"/>
      <c r="E360" s="4" t="n"/>
      <c r="F360" s="4" t="n"/>
      <c r="G360" s="4" t="n"/>
      <c r="H360" s="4" t="n"/>
      <c r="I360" s="4" t="n"/>
      <c r="J360" s="4" t="n"/>
      <c r="K360" s="4" t="n"/>
      <c r="L360" s="4" t="n"/>
      <c r="M360" s="4" t="n"/>
      <c r="N360" s="4" t="n"/>
      <c r="O360" s="4" t="n"/>
      <c r="P360" s="4" t="n"/>
      <c r="Q360" s="4" t="n"/>
      <c r="R360" s="4" t="n"/>
      <c r="S360" s="4" t="n"/>
      <c r="T360" s="6" t="n"/>
      <c r="U360" s="6" t="n"/>
      <c r="V360" s="6" t="n"/>
      <c r="W360" s="6" t="n"/>
      <c r="X360" s="6" t="n"/>
    </row>
    <row r="361" ht="14" customHeight="1" s="250">
      <c r="A361" s="4" t="n"/>
      <c r="B361" s="5" t="n"/>
      <c r="C361" s="4" t="n"/>
      <c r="D361" s="4" t="n"/>
      <c r="E361" s="4" t="n"/>
      <c r="F361" s="4" t="n"/>
      <c r="G361" s="4" t="n"/>
      <c r="H361" s="4" t="n"/>
      <c r="I361" s="4" t="n"/>
      <c r="J361" s="4" t="n"/>
      <c r="K361" s="4" t="n"/>
      <c r="L361" s="4" t="n"/>
      <c r="M361" s="4" t="n"/>
      <c r="N361" s="4" t="n"/>
      <c r="O361" s="4" t="n"/>
      <c r="P361" s="4" t="n"/>
      <c r="Q361" s="4" t="n"/>
      <c r="R361" s="4" t="n"/>
      <c r="S361" s="4" t="n"/>
      <c r="T361" s="6" t="n"/>
      <c r="U361" s="6" t="n"/>
      <c r="V361" s="6" t="n"/>
      <c r="W361" s="6" t="n"/>
      <c r="X361" s="6" t="n"/>
    </row>
    <row r="362" ht="14" customHeight="1" s="250">
      <c r="A362" s="4" t="n"/>
      <c r="B362" s="5" t="n"/>
      <c r="C362" s="4" t="n"/>
      <c r="D362" s="4" t="n"/>
      <c r="E362" s="4" t="n"/>
      <c r="F362" s="4" t="n"/>
      <c r="G362" s="4" t="n"/>
      <c r="H362" s="4" t="n"/>
      <c r="I362" s="4" t="n"/>
      <c r="J362" s="4" t="n"/>
      <c r="K362" s="4" t="n"/>
      <c r="L362" s="4" t="n"/>
      <c r="M362" s="4" t="n"/>
      <c r="N362" s="4" t="n"/>
      <c r="O362" s="4" t="n"/>
      <c r="P362" s="4" t="n"/>
      <c r="Q362" s="4" t="n"/>
      <c r="R362" s="4" t="n"/>
      <c r="S362" s="4" t="n"/>
      <c r="T362" s="6" t="n"/>
      <c r="U362" s="6" t="n"/>
      <c r="V362" s="6" t="n"/>
      <c r="W362" s="6" t="n"/>
      <c r="X362" s="6" t="n"/>
    </row>
    <row r="363" ht="14" customHeight="1" s="250">
      <c r="A363" s="4" t="n"/>
      <c r="B363" s="5" t="n"/>
      <c r="C363" s="4" t="n"/>
      <c r="D363" s="4" t="n"/>
      <c r="E363" s="4" t="n"/>
      <c r="F363" s="4" t="n"/>
      <c r="G363" s="4" t="n"/>
      <c r="H363" s="4" t="n"/>
      <c r="I363" s="4" t="n"/>
      <c r="J363" s="4" t="n"/>
      <c r="K363" s="4" t="n"/>
      <c r="L363" s="4" t="n"/>
      <c r="M363" s="4" t="n"/>
      <c r="N363" s="4" t="n"/>
      <c r="O363" s="4" t="n"/>
      <c r="P363" s="4" t="n"/>
      <c r="Q363" s="4" t="n"/>
      <c r="R363" s="4" t="n"/>
      <c r="S363" s="4" t="n"/>
      <c r="T363" s="6" t="n"/>
      <c r="U363" s="6" t="n"/>
      <c r="V363" s="6" t="n"/>
      <c r="W363" s="6" t="n"/>
      <c r="X363" s="6" t="n"/>
    </row>
    <row r="364" ht="14" customHeight="1" s="250">
      <c r="A364" s="4" t="n"/>
      <c r="B364" s="5" t="n"/>
      <c r="C364" s="4" t="n"/>
      <c r="D364" s="4" t="n"/>
      <c r="E364" s="4" t="n"/>
      <c r="F364" s="4" t="n"/>
      <c r="G364" s="4" t="n"/>
      <c r="H364" s="4" t="n"/>
      <c r="I364" s="4" t="n"/>
      <c r="J364" s="4" t="n"/>
      <c r="K364" s="4" t="n"/>
      <c r="L364" s="4" t="n"/>
      <c r="M364" s="4" t="n"/>
      <c r="N364" s="4" t="n"/>
      <c r="O364" s="4" t="n"/>
      <c r="P364" s="4" t="n"/>
      <c r="Q364" s="4" t="n"/>
      <c r="R364" s="4" t="n"/>
      <c r="S364" s="4" t="n"/>
      <c r="T364" s="6" t="n"/>
      <c r="U364" s="6" t="n"/>
      <c r="V364" s="6" t="n"/>
      <c r="W364" s="6" t="n"/>
      <c r="X364" s="6" t="n"/>
    </row>
    <row r="365" ht="14" customHeight="1" s="250">
      <c r="A365" s="4" t="n"/>
      <c r="B365" s="5" t="n"/>
      <c r="C365" s="4" t="n"/>
      <c r="D365" s="4" t="n"/>
      <c r="E365" s="4" t="n"/>
      <c r="F365" s="4" t="n"/>
      <c r="G365" s="4" t="n"/>
      <c r="H365" s="4" t="n"/>
      <c r="I365" s="4" t="n"/>
      <c r="J365" s="4" t="n"/>
      <c r="K365" s="4" t="n"/>
      <c r="L365" s="4" t="n"/>
      <c r="M365" s="4" t="n"/>
      <c r="N365" s="4" t="n"/>
      <c r="O365" s="4" t="n"/>
      <c r="P365" s="4" t="n"/>
      <c r="Q365" s="4" t="n"/>
      <c r="R365" s="4" t="n"/>
      <c r="S365" s="4" t="n"/>
      <c r="T365" s="6" t="n"/>
      <c r="U365" s="6" t="n"/>
      <c r="V365" s="6" t="n"/>
      <c r="W365" s="6" t="n"/>
      <c r="X365" s="6" t="n"/>
    </row>
    <row r="366" ht="14" customHeight="1" s="250">
      <c r="A366" s="4" t="n"/>
      <c r="B366" s="5" t="n"/>
      <c r="C366" s="4" t="n"/>
      <c r="D366" s="4" t="n"/>
      <c r="E366" s="4" t="n"/>
      <c r="F366" s="4" t="n"/>
      <c r="G366" s="4" t="n"/>
      <c r="H366" s="4" t="n"/>
      <c r="I366" s="4" t="n"/>
      <c r="J366" s="4" t="n"/>
      <c r="K366" s="4" t="n"/>
      <c r="L366" s="4" t="n"/>
      <c r="M366" s="4" t="n"/>
      <c r="N366" s="4" t="n"/>
      <c r="O366" s="4" t="n"/>
      <c r="P366" s="4" t="n"/>
      <c r="Q366" s="4" t="n"/>
      <c r="R366" s="4" t="n"/>
      <c r="S366" s="4" t="n"/>
      <c r="T366" s="6" t="n"/>
      <c r="U366" s="6" t="n"/>
      <c r="V366" s="6" t="n"/>
      <c r="W366" s="6" t="n"/>
      <c r="X366" s="6" t="n"/>
    </row>
    <row r="367" ht="14" customHeight="1" s="250">
      <c r="A367" s="4" t="n"/>
      <c r="B367" s="5" t="n"/>
      <c r="C367" s="4" t="n"/>
      <c r="D367" s="4" t="n"/>
      <c r="E367" s="4" t="n"/>
      <c r="F367" s="4" t="n"/>
      <c r="G367" s="4" t="n"/>
      <c r="H367" s="4" t="n"/>
      <c r="I367" s="4" t="n"/>
      <c r="J367" s="4" t="n"/>
      <c r="K367" s="4" t="n"/>
      <c r="L367" s="4" t="n"/>
      <c r="M367" s="4" t="n"/>
      <c r="N367" s="4" t="n"/>
      <c r="O367" s="4" t="n"/>
      <c r="P367" s="4" t="n"/>
      <c r="Q367" s="4" t="n"/>
      <c r="R367" s="4" t="n"/>
      <c r="S367" s="4" t="n"/>
      <c r="T367" s="6" t="n"/>
      <c r="U367" s="6" t="n"/>
      <c r="V367" s="6" t="n"/>
      <c r="W367" s="6" t="n"/>
      <c r="X367" s="6" t="n"/>
    </row>
    <row r="368" ht="14" customHeight="1" s="250">
      <c r="A368" s="4" t="n"/>
      <c r="B368" s="5" t="n"/>
      <c r="C368" s="4" t="n"/>
      <c r="D368" s="4" t="n"/>
      <c r="E368" s="4" t="n"/>
      <c r="F368" s="4" t="n"/>
      <c r="G368" s="4" t="n"/>
      <c r="H368" s="4" t="n"/>
      <c r="I368" s="4" t="n"/>
      <c r="J368" s="4" t="n"/>
      <c r="K368" s="4" t="n"/>
      <c r="L368" s="4" t="n"/>
      <c r="M368" s="4" t="n"/>
      <c r="N368" s="4" t="n"/>
      <c r="O368" s="4" t="n"/>
      <c r="P368" s="4" t="n"/>
      <c r="Q368" s="4" t="n"/>
      <c r="R368" s="4" t="n"/>
      <c r="S368" s="4" t="n"/>
      <c r="T368" s="6" t="n"/>
      <c r="U368" s="6" t="n"/>
      <c r="V368" s="6" t="n"/>
      <c r="W368" s="6" t="n"/>
      <c r="X368" s="6" t="n"/>
    </row>
    <row r="369" ht="14" customHeight="1" s="250">
      <c r="A369" s="4" t="n"/>
      <c r="B369" s="5" t="n"/>
      <c r="C369" s="4" t="n"/>
      <c r="D369" s="4" t="n"/>
      <c r="E369" s="4" t="n"/>
      <c r="F369" s="4" t="n"/>
      <c r="G369" s="4" t="n"/>
      <c r="H369" s="4" t="n"/>
      <c r="I369" s="4" t="n"/>
      <c r="J369" s="4" t="n"/>
      <c r="K369" s="4" t="n"/>
      <c r="L369" s="4" t="n"/>
      <c r="M369" s="4" t="n"/>
      <c r="N369" s="4" t="n"/>
      <c r="O369" s="4" t="n"/>
      <c r="P369" s="4" t="n"/>
      <c r="Q369" s="4" t="n"/>
      <c r="R369" s="4" t="n"/>
      <c r="S369" s="4" t="n"/>
      <c r="T369" s="6" t="n"/>
      <c r="U369" s="6" t="n"/>
      <c r="V369" s="6" t="n"/>
      <c r="W369" s="6" t="n"/>
      <c r="X369" s="6" t="n"/>
    </row>
    <row r="370" ht="14" customHeight="1" s="250">
      <c r="A370" s="4" t="n"/>
      <c r="B370" s="5" t="n"/>
      <c r="C370" s="4" t="n"/>
      <c r="D370" s="4" t="n"/>
      <c r="E370" s="4" t="n"/>
      <c r="F370" s="4" t="n"/>
      <c r="G370" s="4" t="n"/>
      <c r="H370" s="4" t="n"/>
      <c r="I370" s="4" t="n"/>
      <c r="J370" s="4" t="n"/>
      <c r="K370" s="4" t="n"/>
      <c r="L370" s="4" t="n"/>
      <c r="M370" s="4" t="n"/>
      <c r="N370" s="4" t="n"/>
      <c r="O370" s="4" t="n"/>
      <c r="P370" s="4" t="n"/>
      <c r="Q370" s="4" t="n"/>
      <c r="R370" s="4" t="n"/>
      <c r="S370" s="4" t="n"/>
      <c r="T370" s="6" t="n"/>
      <c r="U370" s="6" t="n"/>
      <c r="V370" s="6" t="n"/>
      <c r="W370" s="6" t="n"/>
      <c r="X370" s="6" t="n"/>
    </row>
    <row r="371" ht="14" customHeight="1" s="250">
      <c r="A371" s="4" t="n"/>
      <c r="B371" s="5" t="n"/>
      <c r="C371" s="4" t="n"/>
      <c r="D371" s="4" t="n"/>
      <c r="E371" s="4" t="n"/>
      <c r="F371" s="4" t="n"/>
      <c r="G371" s="4" t="n"/>
      <c r="H371" s="4" t="n"/>
      <c r="I371" s="4" t="n"/>
      <c r="J371" s="4" t="n"/>
      <c r="K371" s="4" t="n"/>
      <c r="L371" s="4" t="n"/>
      <c r="M371" s="4" t="n"/>
      <c r="N371" s="4" t="n"/>
      <c r="O371" s="4" t="n"/>
      <c r="P371" s="4" t="n"/>
      <c r="Q371" s="4" t="n"/>
      <c r="R371" s="4" t="n"/>
      <c r="S371" s="4" t="n"/>
      <c r="T371" s="6" t="n"/>
      <c r="U371" s="6" t="n"/>
      <c r="V371" s="6" t="n"/>
      <c r="W371" s="6" t="n"/>
      <c r="X371" s="6" t="n"/>
    </row>
    <row r="372" ht="14" customHeight="1" s="250">
      <c r="A372" s="4" t="n"/>
      <c r="B372" s="5" t="n"/>
      <c r="C372" s="4" t="n"/>
      <c r="D372" s="4" t="n"/>
      <c r="E372" s="4" t="n"/>
      <c r="F372" s="4" t="n"/>
      <c r="G372" s="4" t="n"/>
      <c r="H372" s="4" t="n"/>
      <c r="I372" s="4" t="n"/>
      <c r="J372" s="4" t="n"/>
      <c r="K372" s="4" t="n"/>
      <c r="L372" s="4" t="n"/>
      <c r="M372" s="4" t="n"/>
      <c r="N372" s="4" t="n"/>
      <c r="O372" s="4" t="n"/>
      <c r="P372" s="4" t="n"/>
      <c r="Q372" s="4" t="n"/>
      <c r="R372" s="4" t="n"/>
      <c r="S372" s="4" t="n"/>
      <c r="T372" s="6" t="n"/>
      <c r="U372" s="6" t="n"/>
      <c r="V372" s="6" t="n"/>
      <c r="W372" s="6" t="n"/>
      <c r="X372" s="6" t="n"/>
    </row>
    <row r="373" ht="14" customHeight="1" s="250">
      <c r="A373" s="4" t="n"/>
      <c r="B373" s="5" t="n"/>
      <c r="C373" s="4" t="n"/>
      <c r="D373" s="4" t="n"/>
      <c r="E373" s="4" t="n"/>
      <c r="F373" s="4" t="n"/>
      <c r="G373" s="4" t="n"/>
      <c r="H373" s="4" t="n"/>
      <c r="I373" s="4" t="n"/>
      <c r="J373" s="4" t="n"/>
      <c r="K373" s="4" t="n"/>
      <c r="L373" s="4" t="n"/>
      <c r="M373" s="4" t="n"/>
      <c r="N373" s="4" t="n"/>
      <c r="O373" s="4" t="n"/>
      <c r="P373" s="4" t="n"/>
      <c r="Q373" s="4" t="n"/>
      <c r="R373" s="4" t="n"/>
      <c r="S373" s="4" t="n"/>
      <c r="T373" s="6" t="n"/>
      <c r="U373" s="6" t="n"/>
      <c r="V373" s="6" t="n"/>
      <c r="W373" s="6" t="n"/>
      <c r="X373" s="6" t="n"/>
    </row>
    <row r="374" ht="14" customHeight="1" s="250">
      <c r="A374" s="4" t="n"/>
      <c r="B374" s="5" t="n"/>
      <c r="C374" s="4" t="n"/>
      <c r="D374" s="4" t="n"/>
      <c r="E374" s="4" t="n"/>
      <c r="F374" s="4" t="n"/>
      <c r="G374" s="4" t="n"/>
      <c r="H374" s="4" t="n"/>
      <c r="I374" s="4" t="n"/>
      <c r="J374" s="4" t="n"/>
      <c r="K374" s="4" t="n"/>
      <c r="L374" s="4" t="n"/>
      <c r="M374" s="4" t="n"/>
      <c r="N374" s="4" t="n"/>
      <c r="O374" s="4" t="n"/>
      <c r="P374" s="4" t="n"/>
      <c r="Q374" s="4" t="n"/>
      <c r="R374" s="4" t="n"/>
      <c r="S374" s="4" t="n"/>
      <c r="T374" s="6" t="n"/>
      <c r="U374" s="6" t="n"/>
      <c r="V374" s="6" t="n"/>
      <c r="W374" s="6" t="n"/>
      <c r="X374" s="6" t="n"/>
    </row>
    <row r="375" ht="14" customHeight="1" s="250">
      <c r="A375" s="4" t="n"/>
      <c r="B375" s="5" t="n"/>
      <c r="C375" s="4" t="n"/>
      <c r="D375" s="4" t="n"/>
      <c r="E375" s="4" t="n"/>
      <c r="F375" s="4" t="n"/>
      <c r="G375" s="4" t="n"/>
      <c r="H375" s="4" t="n"/>
      <c r="I375" s="4" t="n"/>
      <c r="J375" s="4" t="n"/>
      <c r="K375" s="4" t="n"/>
      <c r="L375" s="4" t="n"/>
      <c r="M375" s="4" t="n"/>
      <c r="N375" s="4" t="n"/>
      <c r="O375" s="4" t="n"/>
      <c r="P375" s="4" t="n"/>
      <c r="Q375" s="4" t="n"/>
      <c r="R375" s="4" t="n"/>
      <c r="S375" s="4" t="n"/>
      <c r="T375" s="6" t="n"/>
      <c r="U375" s="6" t="n"/>
      <c r="V375" s="6" t="n"/>
      <c r="W375" s="6" t="n"/>
      <c r="X375" s="6" t="n"/>
    </row>
    <row r="376" ht="14" customHeight="1" s="250">
      <c r="A376" s="4" t="n"/>
      <c r="B376" s="5" t="n"/>
      <c r="C376" s="4" t="n"/>
      <c r="D376" s="4" t="n"/>
      <c r="E376" s="4" t="n"/>
      <c r="F376" s="4" t="n"/>
      <c r="G376" s="4" t="n"/>
      <c r="H376" s="4" t="n"/>
      <c r="I376" s="4" t="n"/>
      <c r="J376" s="4" t="n"/>
      <c r="K376" s="4" t="n"/>
      <c r="L376" s="4" t="n"/>
      <c r="M376" s="4" t="n"/>
      <c r="N376" s="4" t="n"/>
      <c r="O376" s="4" t="n"/>
      <c r="P376" s="4" t="n"/>
      <c r="Q376" s="4" t="n"/>
      <c r="R376" s="4" t="n"/>
      <c r="S376" s="4" t="n"/>
      <c r="T376" s="6" t="n"/>
      <c r="U376" s="6" t="n"/>
      <c r="V376" s="6" t="n"/>
      <c r="W376" s="6" t="n"/>
      <c r="X376" s="6" t="n"/>
    </row>
    <row r="377" ht="14" customHeight="1" s="250">
      <c r="A377" s="4" t="n"/>
      <c r="B377" s="5" t="n"/>
      <c r="C377" s="4" t="n"/>
      <c r="D377" s="4" t="n"/>
      <c r="E377" s="4" t="n"/>
      <c r="F377" s="4" t="n"/>
      <c r="G377" s="4" t="n"/>
      <c r="H377" s="4" t="n"/>
      <c r="I377" s="4" t="n"/>
      <c r="J377" s="4" t="n"/>
      <c r="K377" s="4" t="n"/>
      <c r="L377" s="4" t="n"/>
      <c r="M377" s="4" t="n"/>
      <c r="N377" s="4" t="n"/>
      <c r="O377" s="4" t="n"/>
      <c r="P377" s="4" t="n"/>
      <c r="Q377" s="4" t="n"/>
      <c r="R377" s="4" t="n"/>
      <c r="S377" s="4" t="n"/>
      <c r="T377" s="6" t="n"/>
      <c r="U377" s="6" t="n"/>
      <c r="V377" s="6" t="n"/>
      <c r="W377" s="6" t="n"/>
      <c r="X377" s="6" t="n"/>
    </row>
    <row r="378" ht="14" customHeight="1" s="250">
      <c r="A378" s="4" t="n"/>
      <c r="B378" s="5" t="n"/>
      <c r="C378" s="4" t="n"/>
      <c r="D378" s="4" t="n"/>
      <c r="E378" s="4" t="n"/>
      <c r="F378" s="4" t="n"/>
      <c r="G378" s="4" t="n"/>
      <c r="H378" s="4" t="n"/>
      <c r="I378" s="4" t="n"/>
      <c r="J378" s="4" t="n"/>
      <c r="K378" s="4" t="n"/>
      <c r="L378" s="4" t="n"/>
      <c r="M378" s="4" t="n"/>
      <c r="N378" s="4" t="n"/>
      <c r="O378" s="4" t="n"/>
      <c r="P378" s="4" t="n"/>
      <c r="Q378" s="4" t="n"/>
      <c r="R378" s="4" t="n"/>
      <c r="S378" s="4" t="n"/>
      <c r="T378" s="6" t="n"/>
      <c r="U378" s="6" t="n"/>
      <c r="V378" s="6" t="n"/>
      <c r="W378" s="6" t="n"/>
      <c r="X378" s="6" t="n"/>
    </row>
    <row r="379" ht="14" customHeight="1" s="250">
      <c r="A379" s="4" t="n"/>
      <c r="B379" s="5" t="n"/>
      <c r="C379" s="4" t="n"/>
      <c r="D379" s="4" t="n"/>
      <c r="E379" s="4" t="n"/>
      <c r="F379" s="4" t="n"/>
      <c r="G379" s="4" t="n"/>
      <c r="H379" s="4" t="n"/>
      <c r="I379" s="4" t="n"/>
      <c r="J379" s="4" t="n"/>
      <c r="K379" s="4" t="n"/>
      <c r="L379" s="4" t="n"/>
      <c r="M379" s="4" t="n"/>
      <c r="N379" s="4" t="n"/>
      <c r="O379" s="4" t="n"/>
      <c r="P379" s="4" t="n"/>
      <c r="Q379" s="4" t="n"/>
      <c r="R379" s="4" t="n"/>
      <c r="S379" s="4" t="n"/>
      <c r="T379" s="6" t="n"/>
      <c r="U379" s="6" t="n"/>
      <c r="V379" s="6" t="n"/>
      <c r="W379" s="6" t="n"/>
      <c r="X379" s="6" t="n"/>
    </row>
    <row r="380" ht="14" customHeight="1" s="250">
      <c r="A380" s="4" t="n"/>
      <c r="B380" s="5" t="n"/>
      <c r="C380" s="4" t="n"/>
      <c r="D380" s="4" t="n"/>
      <c r="E380" s="4" t="n"/>
      <c r="F380" s="4" t="n"/>
      <c r="G380" s="4" t="n"/>
      <c r="H380" s="4" t="n"/>
      <c r="I380" s="4" t="n"/>
      <c r="J380" s="4" t="n"/>
      <c r="K380" s="4" t="n"/>
      <c r="L380" s="4" t="n"/>
      <c r="M380" s="4" t="n"/>
      <c r="N380" s="4" t="n"/>
      <c r="O380" s="4" t="n"/>
      <c r="P380" s="4" t="n"/>
      <c r="Q380" s="4" t="n"/>
      <c r="R380" s="4" t="n"/>
      <c r="S380" s="4" t="n"/>
      <c r="T380" s="6" t="n"/>
      <c r="U380" s="6" t="n"/>
      <c r="V380" s="6" t="n"/>
      <c r="W380" s="6" t="n"/>
      <c r="X380" s="6" t="n"/>
    </row>
    <row r="381" ht="14" customHeight="1" s="250">
      <c r="A381" s="4" t="n"/>
      <c r="B381" s="5" t="n"/>
      <c r="C381" s="4" t="n"/>
      <c r="D381" s="4" t="n"/>
      <c r="E381" s="4" t="n"/>
      <c r="F381" s="4" t="n"/>
      <c r="G381" s="4" t="n"/>
      <c r="H381" s="4" t="n"/>
      <c r="I381" s="4" t="n"/>
      <c r="J381" s="4" t="n"/>
      <c r="K381" s="4" t="n"/>
      <c r="L381" s="4" t="n"/>
      <c r="M381" s="4" t="n"/>
      <c r="N381" s="4" t="n"/>
      <c r="O381" s="4" t="n"/>
      <c r="P381" s="4" t="n"/>
      <c r="Q381" s="4" t="n"/>
      <c r="R381" s="4" t="n"/>
      <c r="S381" s="4" t="n"/>
      <c r="T381" s="6" t="n"/>
      <c r="U381" s="6" t="n"/>
      <c r="V381" s="6" t="n"/>
      <c r="W381" s="6" t="n"/>
      <c r="X381" s="6" t="n"/>
    </row>
    <row r="382" ht="14" customHeight="1" s="250">
      <c r="A382" s="4" t="n"/>
      <c r="B382" s="5" t="n"/>
      <c r="C382" s="4" t="n"/>
      <c r="D382" s="4" t="n"/>
      <c r="E382" s="4" t="n"/>
      <c r="F382" s="4" t="n"/>
      <c r="G382" s="4" t="n"/>
      <c r="H382" s="4" t="n"/>
      <c r="I382" s="4" t="n"/>
      <c r="J382" s="4" t="n"/>
      <c r="K382" s="4" t="n"/>
      <c r="L382" s="4" t="n"/>
      <c r="M382" s="4" t="n"/>
      <c r="N382" s="4" t="n"/>
      <c r="O382" s="4" t="n"/>
      <c r="P382" s="4" t="n"/>
      <c r="Q382" s="4" t="n"/>
      <c r="R382" s="4" t="n"/>
      <c r="S382" s="4" t="n"/>
      <c r="T382" s="6" t="n"/>
      <c r="U382" s="6" t="n"/>
      <c r="V382" s="6" t="n"/>
      <c r="W382" s="6" t="n"/>
      <c r="X382" s="6" t="n"/>
    </row>
    <row r="383" ht="14" customHeight="1" s="250">
      <c r="A383" s="4" t="n"/>
      <c r="B383" s="5" t="n"/>
      <c r="C383" s="4" t="n"/>
      <c r="D383" s="4" t="n"/>
      <c r="E383" s="4" t="n"/>
      <c r="F383" s="4" t="n"/>
      <c r="G383" s="4" t="n"/>
      <c r="H383" s="4" t="n"/>
      <c r="I383" s="4" t="n"/>
      <c r="J383" s="4" t="n"/>
      <c r="K383" s="4" t="n"/>
      <c r="L383" s="4" t="n"/>
      <c r="M383" s="4" t="n"/>
      <c r="N383" s="4" t="n"/>
      <c r="O383" s="4" t="n"/>
      <c r="P383" s="4" t="n"/>
      <c r="Q383" s="4" t="n"/>
      <c r="R383" s="4" t="n"/>
      <c r="S383" s="4" t="n"/>
      <c r="T383" s="6" t="n"/>
      <c r="U383" s="6" t="n"/>
      <c r="V383" s="6" t="n"/>
      <c r="W383" s="6" t="n"/>
      <c r="X383" s="6" t="n"/>
    </row>
    <row r="384" ht="14" customHeight="1" s="250">
      <c r="A384" s="4" t="n"/>
      <c r="B384" s="5" t="n"/>
      <c r="C384" s="4" t="n"/>
      <c r="D384" s="4" t="n"/>
      <c r="E384" s="4" t="n"/>
      <c r="F384" s="4" t="n"/>
      <c r="G384" s="4" t="n"/>
      <c r="H384" s="4" t="n"/>
      <c r="I384" s="4" t="n"/>
      <c r="J384" s="4" t="n"/>
      <c r="K384" s="4" t="n"/>
      <c r="L384" s="4" t="n"/>
      <c r="M384" s="4" t="n"/>
      <c r="N384" s="4" t="n"/>
      <c r="O384" s="4" t="n"/>
      <c r="P384" s="4" t="n"/>
      <c r="Q384" s="4" t="n"/>
      <c r="R384" s="4" t="n"/>
      <c r="S384" s="4" t="n"/>
      <c r="T384" s="6" t="n"/>
      <c r="U384" s="6" t="n"/>
      <c r="V384" s="6" t="n"/>
      <c r="W384" s="6" t="n"/>
      <c r="X384" s="6" t="n"/>
    </row>
    <row r="385" ht="14" customHeight="1" s="250">
      <c r="A385" s="4" t="n"/>
      <c r="B385" s="5" t="n"/>
      <c r="C385" s="4" t="n"/>
      <c r="D385" s="4" t="n"/>
      <c r="E385" s="4" t="n"/>
      <c r="F385" s="4" t="n"/>
      <c r="G385" s="4" t="n"/>
      <c r="H385" s="4" t="n"/>
      <c r="I385" s="4" t="n"/>
      <c r="J385" s="4" t="n"/>
      <c r="K385" s="4" t="n"/>
      <c r="L385" s="4" t="n"/>
      <c r="M385" s="4" t="n"/>
      <c r="N385" s="4" t="n"/>
      <c r="O385" s="4" t="n"/>
      <c r="P385" s="4" t="n"/>
      <c r="Q385" s="4" t="n"/>
      <c r="R385" s="4" t="n"/>
      <c r="S385" s="4" t="n"/>
      <c r="T385" s="6" t="n"/>
      <c r="U385" s="6" t="n"/>
      <c r="V385" s="6" t="n"/>
      <c r="W385" s="6" t="n"/>
      <c r="X385" s="6" t="n"/>
    </row>
    <row r="386" ht="14" customHeight="1" s="250">
      <c r="A386" s="4" t="n"/>
      <c r="B386" s="5" t="n"/>
      <c r="C386" s="4" t="n"/>
      <c r="D386" s="4" t="n"/>
      <c r="E386" s="4" t="n"/>
      <c r="F386" s="4" t="n"/>
      <c r="G386" s="4" t="n"/>
      <c r="H386" s="4" t="n"/>
      <c r="I386" s="4" t="n"/>
      <c r="J386" s="4" t="n"/>
      <c r="K386" s="4" t="n"/>
      <c r="L386" s="4" t="n"/>
      <c r="M386" s="4" t="n"/>
      <c r="N386" s="4" t="n"/>
      <c r="O386" s="4" t="n"/>
      <c r="P386" s="4" t="n"/>
      <c r="Q386" s="4" t="n"/>
      <c r="R386" s="4" t="n"/>
      <c r="S386" s="4" t="n"/>
      <c r="T386" s="6" t="n"/>
      <c r="U386" s="6" t="n"/>
      <c r="V386" s="6" t="n"/>
      <c r="W386" s="6" t="n"/>
      <c r="X386" s="6" t="n"/>
    </row>
    <row r="387" ht="14" customHeight="1" s="250">
      <c r="A387" s="4" t="n"/>
      <c r="B387" s="5" t="n"/>
      <c r="C387" s="4" t="n"/>
      <c r="D387" s="4" t="n"/>
      <c r="E387" s="4" t="n"/>
      <c r="F387" s="4" t="n"/>
      <c r="G387" s="4" t="n"/>
      <c r="H387" s="4" t="n"/>
      <c r="I387" s="4" t="n"/>
      <c r="J387" s="4" t="n"/>
      <c r="K387" s="4" t="n"/>
      <c r="L387" s="4" t="n"/>
      <c r="M387" s="4" t="n"/>
      <c r="N387" s="4" t="n"/>
      <c r="O387" s="4" t="n"/>
      <c r="P387" s="4" t="n"/>
      <c r="Q387" s="4" t="n"/>
      <c r="R387" s="4" t="n"/>
      <c r="S387" s="4" t="n"/>
      <c r="T387" s="6" t="n"/>
      <c r="U387" s="6" t="n"/>
      <c r="V387" s="6" t="n"/>
      <c r="W387" s="6" t="n"/>
      <c r="X387" s="6" t="n"/>
    </row>
    <row r="388" ht="14" customHeight="1" s="250">
      <c r="A388" s="4" t="n"/>
      <c r="B388" s="5" t="n"/>
      <c r="C388" s="4" t="n"/>
      <c r="D388" s="4" t="n"/>
      <c r="E388" s="4" t="n"/>
      <c r="F388" s="4" t="n"/>
      <c r="G388" s="4" t="n"/>
      <c r="H388" s="4" t="n"/>
      <c r="I388" s="4" t="n"/>
      <c r="J388" s="4" t="n"/>
      <c r="K388" s="4" t="n"/>
      <c r="L388" s="4" t="n"/>
      <c r="M388" s="4" t="n"/>
      <c r="N388" s="4" t="n"/>
      <c r="O388" s="4" t="n"/>
      <c r="P388" s="4" t="n"/>
      <c r="Q388" s="4" t="n"/>
      <c r="R388" s="4" t="n"/>
      <c r="S388" s="4" t="n"/>
      <c r="T388" s="6" t="n"/>
      <c r="U388" s="6" t="n"/>
      <c r="V388" s="6" t="n"/>
      <c r="W388" s="6" t="n"/>
      <c r="X388" s="6" t="n"/>
    </row>
    <row r="389" ht="14" customHeight="1" s="250">
      <c r="A389" s="4" t="n"/>
      <c r="B389" s="5" t="n"/>
      <c r="C389" s="4" t="n"/>
      <c r="D389" s="4" t="n"/>
      <c r="E389" s="4" t="n"/>
      <c r="F389" s="4" t="n"/>
      <c r="G389" s="4" t="n"/>
      <c r="H389" s="4" t="n"/>
      <c r="I389" s="4" t="n"/>
      <c r="J389" s="4" t="n"/>
      <c r="K389" s="4" t="n"/>
      <c r="L389" s="4" t="n"/>
      <c r="M389" s="4" t="n"/>
      <c r="N389" s="4" t="n"/>
      <c r="O389" s="4" t="n"/>
      <c r="P389" s="4" t="n"/>
      <c r="Q389" s="4" t="n"/>
      <c r="R389" s="4" t="n"/>
      <c r="S389" s="4" t="n"/>
      <c r="T389" s="6" t="n"/>
      <c r="U389" s="6" t="n"/>
      <c r="V389" s="6" t="n"/>
      <c r="W389" s="6" t="n"/>
      <c r="X389" s="6" t="n"/>
    </row>
    <row r="390" ht="14" customHeight="1" s="250">
      <c r="A390" s="4" t="n"/>
      <c r="B390" s="5" t="n"/>
      <c r="C390" s="4" t="n"/>
      <c r="D390" s="4" t="n"/>
      <c r="E390" s="4" t="n"/>
      <c r="F390" s="4" t="n"/>
      <c r="G390" s="4" t="n"/>
      <c r="H390" s="4" t="n"/>
      <c r="I390" s="4" t="n"/>
      <c r="J390" s="4" t="n"/>
      <c r="K390" s="4" t="n"/>
      <c r="L390" s="4" t="n"/>
      <c r="M390" s="4" t="n"/>
      <c r="N390" s="4" t="n"/>
      <c r="O390" s="4" t="n"/>
      <c r="P390" s="4" t="n"/>
      <c r="Q390" s="4" t="n"/>
      <c r="R390" s="4" t="n"/>
      <c r="S390" s="4" t="n"/>
      <c r="T390" s="6" t="n"/>
      <c r="U390" s="6" t="n"/>
      <c r="V390" s="6" t="n"/>
      <c r="W390" s="6" t="n"/>
      <c r="X390" s="6" t="n"/>
    </row>
    <row r="391" ht="14" customHeight="1" s="250">
      <c r="A391" s="4" t="n"/>
      <c r="B391" s="5" t="n"/>
      <c r="C391" s="4" t="n"/>
      <c r="D391" s="4" t="n"/>
      <c r="E391" s="4" t="n"/>
      <c r="F391" s="4" t="n"/>
      <c r="G391" s="4" t="n"/>
      <c r="H391" s="4" t="n"/>
      <c r="I391" s="4" t="n"/>
      <c r="J391" s="4" t="n"/>
      <c r="K391" s="4" t="n"/>
      <c r="L391" s="4" t="n"/>
      <c r="M391" s="4" t="n"/>
      <c r="N391" s="4" t="n"/>
      <c r="O391" s="4" t="n"/>
      <c r="P391" s="4" t="n"/>
      <c r="Q391" s="4" t="n"/>
      <c r="R391" s="4" t="n"/>
      <c r="S391" s="4" t="n"/>
      <c r="T391" s="6" t="n"/>
      <c r="U391" s="6" t="n"/>
      <c r="V391" s="6" t="n"/>
      <c r="W391" s="6" t="n"/>
      <c r="X391" s="6" t="n"/>
    </row>
    <row r="392" ht="14" customHeight="1" s="250">
      <c r="A392" s="4" t="n"/>
      <c r="B392" s="5" t="n"/>
      <c r="C392" s="4" t="n"/>
      <c r="D392" s="4" t="n"/>
      <c r="E392" s="4" t="n"/>
      <c r="F392" s="4" t="n"/>
      <c r="G392" s="4" t="n"/>
      <c r="H392" s="4" t="n"/>
      <c r="I392" s="4" t="n"/>
      <c r="J392" s="4" t="n"/>
      <c r="K392" s="4" t="n"/>
      <c r="L392" s="4" t="n"/>
      <c r="M392" s="4" t="n"/>
      <c r="N392" s="4" t="n"/>
      <c r="O392" s="4" t="n"/>
      <c r="P392" s="4" t="n"/>
      <c r="Q392" s="4" t="n"/>
      <c r="R392" s="4" t="n"/>
      <c r="S392" s="4" t="n"/>
      <c r="T392" s="6" t="n"/>
      <c r="U392" s="6" t="n"/>
      <c r="V392" s="6" t="n"/>
      <c r="W392" s="6" t="n"/>
      <c r="X392" s="6" t="n"/>
    </row>
    <row r="393" ht="14" customHeight="1" s="250">
      <c r="A393" s="4" t="n"/>
      <c r="B393" s="5" t="n"/>
      <c r="C393" s="4" t="n"/>
      <c r="D393" s="4" t="n"/>
      <c r="E393" s="4" t="n"/>
      <c r="F393" s="4" t="n"/>
      <c r="G393" s="4" t="n"/>
      <c r="H393" s="4" t="n"/>
      <c r="I393" s="4" t="n"/>
      <c r="J393" s="4" t="n"/>
      <c r="K393" s="4" t="n"/>
      <c r="L393" s="4" t="n"/>
      <c r="M393" s="4" t="n"/>
      <c r="N393" s="4" t="n"/>
      <c r="O393" s="4" t="n"/>
      <c r="P393" s="4" t="n"/>
      <c r="Q393" s="4" t="n"/>
      <c r="R393" s="4" t="n"/>
      <c r="S393" s="4" t="n"/>
      <c r="T393" s="6" t="n"/>
      <c r="U393" s="6" t="n"/>
      <c r="V393" s="6" t="n"/>
      <c r="W393" s="6" t="n"/>
      <c r="X393" s="6" t="n"/>
    </row>
    <row r="394" ht="14" customHeight="1" s="250">
      <c r="A394" s="4" t="n"/>
      <c r="B394" s="5" t="n"/>
      <c r="C394" s="4" t="n"/>
      <c r="D394" s="4" t="n"/>
      <c r="E394" s="4" t="n"/>
      <c r="F394" s="4" t="n"/>
      <c r="G394" s="4" t="n"/>
      <c r="H394" s="4" t="n"/>
      <c r="I394" s="4" t="n"/>
      <c r="J394" s="4" t="n"/>
      <c r="K394" s="4" t="n"/>
      <c r="L394" s="4" t="n"/>
      <c r="M394" s="4" t="n"/>
      <c r="N394" s="4" t="n"/>
      <c r="O394" s="4" t="n"/>
      <c r="P394" s="4" t="n"/>
      <c r="Q394" s="4" t="n"/>
      <c r="R394" s="4" t="n"/>
      <c r="S394" s="4" t="n"/>
      <c r="T394" s="6" t="n"/>
      <c r="U394" s="6" t="n"/>
      <c r="V394" s="6" t="n"/>
      <c r="W394" s="6" t="n"/>
      <c r="X394" s="6" t="n"/>
    </row>
    <row r="395" ht="14" customHeight="1" s="250">
      <c r="A395" s="4" t="n"/>
      <c r="B395" s="5" t="n"/>
      <c r="C395" s="4" t="n"/>
      <c r="D395" s="4" t="n"/>
      <c r="E395" s="4" t="n"/>
      <c r="F395" s="4" t="n"/>
      <c r="G395" s="4" t="n"/>
      <c r="H395" s="4" t="n"/>
      <c r="I395" s="4" t="n"/>
      <c r="J395" s="4" t="n"/>
      <c r="K395" s="4" t="n"/>
      <c r="L395" s="4" t="n"/>
      <c r="M395" s="4" t="n"/>
      <c r="N395" s="4" t="n"/>
      <c r="O395" s="4" t="n"/>
      <c r="P395" s="4" t="n"/>
      <c r="Q395" s="4" t="n"/>
      <c r="R395" s="4" t="n"/>
      <c r="S395" s="4" t="n"/>
      <c r="T395" s="6" t="n"/>
      <c r="U395" s="6" t="n"/>
      <c r="V395" s="6" t="n"/>
      <c r="W395" s="6" t="n"/>
      <c r="X395" s="6" t="n"/>
    </row>
    <row r="396" ht="14" customHeight="1" s="250">
      <c r="A396" s="4" t="n"/>
      <c r="B396" s="5" t="n"/>
      <c r="C396" s="4" t="n"/>
      <c r="D396" s="4" t="n"/>
      <c r="E396" s="4" t="n"/>
      <c r="F396" s="4" t="n"/>
      <c r="G396" s="4" t="n"/>
      <c r="H396" s="4" t="n"/>
      <c r="I396" s="4" t="n"/>
      <c r="J396" s="4" t="n"/>
      <c r="K396" s="4" t="n"/>
      <c r="L396" s="4" t="n"/>
      <c r="M396" s="4" t="n"/>
      <c r="N396" s="4" t="n"/>
      <c r="O396" s="4" t="n"/>
      <c r="P396" s="4" t="n"/>
      <c r="Q396" s="4" t="n"/>
      <c r="R396" s="4" t="n"/>
      <c r="S396" s="4" t="n"/>
      <c r="T396" s="6" t="n"/>
      <c r="U396" s="6" t="n"/>
      <c r="V396" s="6" t="n"/>
      <c r="W396" s="6" t="n"/>
      <c r="X396" s="6" t="n"/>
    </row>
    <row r="397" ht="14" customHeight="1" s="250">
      <c r="A397" s="4" t="n"/>
      <c r="B397" s="5" t="n"/>
      <c r="C397" s="4" t="n"/>
      <c r="D397" s="4" t="n"/>
      <c r="E397" s="4" t="n"/>
      <c r="F397" s="4" t="n"/>
      <c r="G397" s="4" t="n"/>
      <c r="H397" s="4" t="n"/>
      <c r="I397" s="4" t="n"/>
      <c r="J397" s="4" t="n"/>
      <c r="K397" s="4" t="n"/>
      <c r="L397" s="4" t="n"/>
      <c r="M397" s="4" t="n"/>
      <c r="N397" s="4" t="n"/>
      <c r="O397" s="4" t="n"/>
      <c r="P397" s="4" t="n"/>
      <c r="Q397" s="4" t="n"/>
      <c r="R397" s="4" t="n"/>
      <c r="S397" s="4" t="n"/>
      <c r="T397" s="6" t="n"/>
      <c r="U397" s="6" t="n"/>
      <c r="V397" s="6" t="n"/>
      <c r="W397" s="6" t="n"/>
      <c r="X397" s="6" t="n"/>
    </row>
    <row r="398" ht="14" customHeight="1" s="250">
      <c r="A398" s="4" t="n"/>
      <c r="B398" s="5" t="n"/>
      <c r="C398" s="4" t="n"/>
      <c r="D398" s="4" t="n"/>
      <c r="E398" s="4" t="n"/>
      <c r="F398" s="4" t="n"/>
      <c r="G398" s="4" t="n"/>
      <c r="H398" s="4" t="n"/>
      <c r="I398" s="4" t="n"/>
      <c r="J398" s="4" t="n"/>
      <c r="K398" s="4" t="n"/>
      <c r="L398" s="4" t="n"/>
      <c r="M398" s="4" t="n"/>
      <c r="N398" s="4" t="n"/>
      <c r="O398" s="4" t="n"/>
      <c r="P398" s="4" t="n"/>
      <c r="Q398" s="4" t="n"/>
      <c r="R398" s="4" t="n"/>
      <c r="S398" s="4" t="n"/>
      <c r="T398" s="6" t="n"/>
      <c r="U398" s="6" t="n"/>
      <c r="V398" s="6" t="n"/>
      <c r="W398" s="6" t="n"/>
      <c r="X398" s="6" t="n"/>
    </row>
    <row r="399" ht="14" customHeight="1" s="250">
      <c r="A399" s="4" t="n"/>
      <c r="B399" s="5" t="n"/>
      <c r="C399" s="4" t="n"/>
      <c r="D399" s="4" t="n"/>
      <c r="E399" s="4" t="n"/>
      <c r="F399" s="4" t="n"/>
      <c r="G399" s="4" t="n"/>
      <c r="H399" s="4" t="n"/>
      <c r="I399" s="4" t="n"/>
      <c r="J399" s="4" t="n"/>
      <c r="K399" s="4" t="n"/>
      <c r="L399" s="4" t="n"/>
      <c r="M399" s="4" t="n"/>
      <c r="N399" s="4" t="n"/>
      <c r="O399" s="4" t="n"/>
      <c r="P399" s="4" t="n"/>
      <c r="Q399" s="4" t="n"/>
      <c r="R399" s="4" t="n"/>
      <c r="S399" s="4" t="n"/>
      <c r="T399" s="6" t="n"/>
      <c r="U399" s="6" t="n"/>
      <c r="V399" s="6" t="n"/>
      <c r="W399" s="6" t="n"/>
      <c r="X399" s="6" t="n"/>
    </row>
    <row r="400" ht="14" customHeight="1" s="250">
      <c r="A400" s="4" t="n"/>
      <c r="B400" s="5" t="n"/>
      <c r="C400" s="4" t="n"/>
      <c r="D400" s="4" t="n"/>
      <c r="E400" s="4" t="n"/>
      <c r="F400" s="4" t="n"/>
      <c r="G400" s="4" t="n"/>
      <c r="H400" s="4" t="n"/>
      <c r="I400" s="4" t="n"/>
      <c r="J400" s="4" t="n"/>
      <c r="K400" s="4" t="n"/>
      <c r="L400" s="4" t="n"/>
      <c r="M400" s="4" t="n"/>
      <c r="N400" s="4" t="n"/>
      <c r="O400" s="4" t="n"/>
      <c r="P400" s="4" t="n"/>
      <c r="Q400" s="4" t="n"/>
      <c r="R400" s="4" t="n"/>
      <c r="S400" s="4" t="n"/>
      <c r="T400" s="6" t="n"/>
      <c r="U400" s="6" t="n"/>
      <c r="V400" s="6" t="n"/>
      <c r="W400" s="6" t="n"/>
      <c r="X400" s="6" t="n"/>
    </row>
    <row r="401" ht="14" customHeight="1" s="250">
      <c r="A401" s="4" t="n"/>
      <c r="B401" s="5" t="n"/>
      <c r="C401" s="4" t="n"/>
      <c r="D401" s="4" t="n"/>
      <c r="E401" s="4" t="n"/>
      <c r="F401" s="4" t="n"/>
      <c r="G401" s="4" t="n"/>
      <c r="H401" s="4" t="n"/>
      <c r="I401" s="4" t="n"/>
      <c r="J401" s="4" t="n"/>
      <c r="K401" s="4" t="n"/>
      <c r="L401" s="4" t="n"/>
      <c r="M401" s="4" t="n"/>
      <c r="N401" s="4" t="n"/>
      <c r="O401" s="4" t="n"/>
      <c r="P401" s="4" t="n"/>
      <c r="Q401" s="4" t="n"/>
      <c r="R401" s="4" t="n"/>
      <c r="S401" s="4" t="n"/>
      <c r="T401" s="6" t="n"/>
      <c r="U401" s="6" t="n"/>
      <c r="V401" s="6" t="n"/>
      <c r="W401" s="6" t="n"/>
      <c r="X401" s="6" t="n"/>
    </row>
    <row r="402" ht="14" customHeight="1" s="250">
      <c r="A402" s="4" t="n"/>
      <c r="B402" s="5" t="n"/>
      <c r="C402" s="4" t="n"/>
      <c r="D402" s="4" t="n"/>
      <c r="E402" s="4" t="n"/>
      <c r="F402" s="4" t="n"/>
      <c r="G402" s="4" t="n"/>
      <c r="H402" s="4" t="n"/>
      <c r="I402" s="4" t="n"/>
      <c r="J402" s="4" t="n"/>
      <c r="K402" s="4" t="n"/>
      <c r="L402" s="4" t="n"/>
      <c r="M402" s="4" t="n"/>
      <c r="N402" s="4" t="n"/>
      <c r="O402" s="4" t="n"/>
      <c r="P402" s="4" t="n"/>
      <c r="Q402" s="4" t="n"/>
      <c r="R402" s="4" t="n"/>
      <c r="S402" s="4" t="n"/>
      <c r="T402" s="6" t="n"/>
      <c r="U402" s="6" t="n"/>
      <c r="V402" s="6" t="n"/>
      <c r="W402" s="6" t="n"/>
      <c r="X402" s="6" t="n"/>
    </row>
    <row r="403" ht="14" customHeight="1" s="250">
      <c r="A403" s="4" t="n"/>
      <c r="B403" s="5" t="n"/>
      <c r="C403" s="4" t="n"/>
      <c r="D403" s="4" t="n"/>
      <c r="E403" s="4" t="n"/>
      <c r="F403" s="4" t="n"/>
      <c r="G403" s="4" t="n"/>
      <c r="H403" s="4" t="n"/>
      <c r="I403" s="4" t="n"/>
      <c r="J403" s="4" t="n"/>
      <c r="K403" s="4" t="n"/>
      <c r="L403" s="4" t="n"/>
      <c r="M403" s="4" t="n"/>
      <c r="N403" s="4" t="n"/>
      <c r="O403" s="4" t="n"/>
      <c r="P403" s="4" t="n"/>
      <c r="Q403" s="4" t="n"/>
      <c r="R403" s="4" t="n"/>
      <c r="S403" s="4" t="n"/>
      <c r="T403" s="6" t="n"/>
      <c r="U403" s="6" t="n"/>
      <c r="V403" s="6" t="n"/>
      <c r="W403" s="6" t="n"/>
      <c r="X403" s="6" t="n"/>
    </row>
    <row r="404" ht="14" customHeight="1" s="250">
      <c r="A404" s="4" t="n"/>
      <c r="B404" s="5" t="n"/>
      <c r="C404" s="4" t="n"/>
      <c r="D404" s="4" t="n"/>
      <c r="E404" s="4" t="n"/>
      <c r="F404" s="4" t="n"/>
      <c r="G404" s="4" t="n"/>
      <c r="H404" s="4" t="n"/>
      <c r="I404" s="4" t="n"/>
      <c r="J404" s="4" t="n"/>
      <c r="K404" s="4" t="n"/>
      <c r="L404" s="4" t="n"/>
      <c r="M404" s="4" t="n"/>
      <c r="N404" s="4" t="n"/>
      <c r="O404" s="4" t="n"/>
      <c r="P404" s="4" t="n"/>
      <c r="Q404" s="4" t="n"/>
      <c r="R404" s="4" t="n"/>
      <c r="S404" s="4" t="n"/>
      <c r="T404" s="6" t="n"/>
      <c r="U404" s="6" t="n"/>
      <c r="V404" s="6" t="n"/>
      <c r="W404" s="6" t="n"/>
      <c r="X404" s="6" t="n"/>
    </row>
    <row r="405" ht="14" customHeight="1" s="250">
      <c r="A405" s="4" t="n"/>
      <c r="B405" s="5" t="n"/>
      <c r="C405" s="4" t="n"/>
      <c r="D405" s="4" t="n"/>
      <c r="E405" s="4" t="n"/>
      <c r="F405" s="4" t="n"/>
      <c r="G405" s="4" t="n"/>
      <c r="H405" s="4" t="n"/>
      <c r="I405" s="4" t="n"/>
      <c r="J405" s="4" t="n"/>
      <c r="K405" s="4" t="n"/>
      <c r="L405" s="4" t="n"/>
      <c r="M405" s="4" t="n"/>
      <c r="N405" s="4" t="n"/>
      <c r="O405" s="4" t="n"/>
      <c r="P405" s="4" t="n"/>
      <c r="Q405" s="4" t="n"/>
      <c r="R405" s="4" t="n"/>
      <c r="S405" s="4" t="n"/>
      <c r="T405" s="6" t="n"/>
      <c r="U405" s="6" t="n"/>
      <c r="V405" s="6" t="n"/>
      <c r="W405" s="6" t="n"/>
      <c r="X405" s="6" t="n"/>
    </row>
    <row r="406" ht="14" customHeight="1" s="250">
      <c r="A406" s="4" t="n"/>
      <c r="B406" s="5" t="n"/>
      <c r="C406" s="4" t="n"/>
      <c r="D406" s="4" t="n"/>
      <c r="E406" s="4" t="n"/>
      <c r="F406" s="4" t="n"/>
      <c r="G406" s="4" t="n"/>
      <c r="H406" s="4" t="n"/>
      <c r="I406" s="4" t="n"/>
      <c r="J406" s="4" t="n"/>
      <c r="K406" s="4" t="n"/>
      <c r="L406" s="4" t="n"/>
      <c r="M406" s="4" t="n"/>
      <c r="N406" s="4" t="n"/>
      <c r="O406" s="4" t="n"/>
      <c r="P406" s="4" t="n"/>
      <c r="Q406" s="4" t="n"/>
      <c r="R406" s="4" t="n"/>
      <c r="S406" s="4" t="n"/>
      <c r="T406" s="6" t="n"/>
      <c r="U406" s="6" t="n"/>
      <c r="V406" s="6" t="n"/>
      <c r="W406" s="6" t="n"/>
      <c r="X406" s="6" t="n"/>
    </row>
    <row r="407" ht="14" customHeight="1" s="250">
      <c r="A407" s="4" t="n"/>
      <c r="B407" s="5" t="n"/>
      <c r="C407" s="4" t="n"/>
      <c r="D407" s="4" t="n"/>
      <c r="E407" s="4" t="n"/>
      <c r="F407" s="4" t="n"/>
      <c r="G407" s="4" t="n"/>
      <c r="H407" s="4" t="n"/>
      <c r="I407" s="4" t="n"/>
      <c r="J407" s="4" t="n"/>
      <c r="K407" s="4" t="n"/>
      <c r="L407" s="4" t="n"/>
      <c r="M407" s="4" t="n"/>
      <c r="N407" s="4" t="n"/>
      <c r="O407" s="4" t="n"/>
      <c r="P407" s="4" t="n"/>
      <c r="Q407" s="4" t="n"/>
      <c r="R407" s="4" t="n"/>
      <c r="S407" s="4" t="n"/>
      <c r="T407" s="6" t="n"/>
      <c r="U407" s="6" t="n"/>
      <c r="V407" s="6" t="n"/>
      <c r="W407" s="6" t="n"/>
      <c r="X407" s="6" t="n"/>
    </row>
    <row r="408" ht="14" customHeight="1" s="250">
      <c r="A408" s="4" t="n"/>
      <c r="B408" s="5" t="n"/>
      <c r="C408" s="4" t="n"/>
      <c r="D408" s="4" t="n"/>
      <c r="E408" s="4" t="n"/>
      <c r="F408" s="4" t="n"/>
      <c r="G408" s="4" t="n"/>
      <c r="H408" s="4" t="n"/>
      <c r="I408" s="4" t="n"/>
      <c r="J408" s="4" t="n"/>
      <c r="K408" s="4" t="n"/>
      <c r="L408" s="4" t="n"/>
      <c r="M408" s="4" t="n"/>
      <c r="N408" s="4" t="n"/>
      <c r="O408" s="4" t="n"/>
      <c r="P408" s="4" t="n"/>
      <c r="Q408" s="4" t="n"/>
      <c r="R408" s="4" t="n"/>
      <c r="S408" s="4" t="n"/>
      <c r="T408" s="6" t="n"/>
      <c r="U408" s="6" t="n"/>
      <c r="V408" s="6" t="n"/>
      <c r="W408" s="6" t="n"/>
      <c r="X408" s="6" t="n"/>
    </row>
    <row r="409" ht="14" customHeight="1" s="250">
      <c r="A409" s="4" t="n"/>
      <c r="B409" s="5" t="n"/>
      <c r="C409" s="4" t="n"/>
      <c r="D409" s="4" t="n"/>
      <c r="E409" s="4" t="n"/>
      <c r="F409" s="4" t="n"/>
      <c r="G409" s="4" t="n"/>
      <c r="H409" s="4" t="n"/>
      <c r="I409" s="4" t="n"/>
      <c r="J409" s="4" t="n"/>
      <c r="K409" s="4" t="n"/>
      <c r="L409" s="4" t="n"/>
      <c r="M409" s="4" t="n"/>
      <c r="N409" s="4" t="n"/>
      <c r="O409" s="4" t="n"/>
      <c r="P409" s="4" t="n"/>
      <c r="Q409" s="4" t="n"/>
      <c r="R409" s="4" t="n"/>
      <c r="S409" s="4" t="n"/>
      <c r="T409" s="6" t="n"/>
      <c r="U409" s="6" t="n"/>
      <c r="V409" s="6" t="n"/>
      <c r="W409" s="6" t="n"/>
      <c r="X409" s="6" t="n"/>
    </row>
    <row r="410" ht="14" customHeight="1" s="250">
      <c r="A410" s="4" t="n"/>
      <c r="B410" s="5" t="n"/>
      <c r="C410" s="4" t="n"/>
      <c r="D410" s="4" t="n"/>
      <c r="E410" s="4" t="n"/>
      <c r="F410" s="4" t="n"/>
      <c r="G410" s="4" t="n"/>
      <c r="H410" s="4" t="n"/>
      <c r="I410" s="4" t="n"/>
      <c r="J410" s="4" t="n"/>
      <c r="K410" s="4" t="n"/>
      <c r="L410" s="4" t="n"/>
      <c r="M410" s="4" t="n"/>
      <c r="N410" s="4" t="n"/>
      <c r="O410" s="4" t="n"/>
      <c r="P410" s="4" t="n"/>
      <c r="Q410" s="4" t="n"/>
      <c r="R410" s="4" t="n"/>
      <c r="S410" s="4" t="n"/>
      <c r="T410" s="6" t="n"/>
      <c r="U410" s="6" t="n"/>
      <c r="V410" s="6" t="n"/>
      <c r="W410" s="6" t="n"/>
      <c r="X410" s="6" t="n"/>
    </row>
    <row r="411" ht="14" customHeight="1" s="250">
      <c r="A411" s="4" t="n"/>
      <c r="B411" s="5" t="n"/>
      <c r="C411" s="4" t="n"/>
      <c r="D411" s="4" t="n"/>
      <c r="E411" s="4" t="n"/>
      <c r="F411" s="4" t="n"/>
      <c r="G411" s="4" t="n"/>
      <c r="H411" s="4" t="n"/>
      <c r="I411" s="4" t="n"/>
      <c r="J411" s="4" t="n"/>
      <c r="K411" s="4" t="n"/>
      <c r="L411" s="4" t="n"/>
      <c r="M411" s="4" t="n"/>
      <c r="N411" s="4" t="n"/>
      <c r="O411" s="4" t="n"/>
      <c r="P411" s="4" t="n"/>
      <c r="Q411" s="4" t="n"/>
      <c r="R411" s="4" t="n"/>
      <c r="S411" s="4" t="n"/>
      <c r="T411" s="6" t="n"/>
      <c r="U411" s="6" t="n"/>
      <c r="V411" s="6" t="n"/>
      <c r="W411" s="6" t="n"/>
      <c r="X411" s="6" t="n"/>
    </row>
    <row r="412" ht="14" customHeight="1" s="250">
      <c r="A412" s="4" t="n"/>
      <c r="B412" s="5" t="n"/>
      <c r="C412" s="4" t="n"/>
      <c r="D412" s="4" t="n"/>
      <c r="E412" s="4" t="n"/>
      <c r="F412" s="4" t="n"/>
      <c r="G412" s="4" t="n"/>
      <c r="H412" s="4" t="n"/>
      <c r="I412" s="4" t="n"/>
      <c r="J412" s="4" t="n"/>
      <c r="K412" s="4" t="n"/>
      <c r="L412" s="4" t="n"/>
      <c r="M412" s="4" t="n"/>
      <c r="N412" s="4" t="n"/>
      <c r="O412" s="4" t="n"/>
      <c r="P412" s="4" t="n"/>
      <c r="Q412" s="4" t="n"/>
      <c r="R412" s="4" t="n"/>
      <c r="S412" s="4" t="n"/>
      <c r="T412" s="6" t="n"/>
      <c r="U412" s="6" t="n"/>
      <c r="V412" s="6" t="n"/>
      <c r="W412" s="6" t="n"/>
      <c r="X412" s="6" t="n"/>
    </row>
    <row r="413" ht="14" customHeight="1" s="250">
      <c r="A413" s="4" t="n"/>
      <c r="B413" s="5" t="n"/>
      <c r="C413" s="4" t="n"/>
      <c r="D413" s="4" t="n"/>
      <c r="E413" s="4" t="n"/>
      <c r="F413" s="4" t="n"/>
      <c r="G413" s="4" t="n"/>
      <c r="H413" s="4" t="n"/>
      <c r="I413" s="4" t="n"/>
      <c r="J413" s="4" t="n"/>
      <c r="K413" s="4" t="n"/>
      <c r="L413" s="4" t="n"/>
      <c r="M413" s="4" t="n"/>
      <c r="N413" s="4" t="n"/>
      <c r="O413" s="4" t="n"/>
      <c r="P413" s="4" t="n"/>
      <c r="Q413" s="4" t="n"/>
      <c r="R413" s="4" t="n"/>
      <c r="S413" s="4" t="n"/>
      <c r="T413" s="6" t="n"/>
      <c r="U413" s="6" t="n"/>
      <c r="V413" s="6" t="n"/>
      <c r="W413" s="6" t="n"/>
      <c r="X413" s="6" t="n"/>
    </row>
    <row r="414" ht="14" customHeight="1" s="250">
      <c r="A414" s="4" t="n"/>
      <c r="B414" s="5" t="n"/>
      <c r="C414" s="4" t="n"/>
      <c r="D414" s="4" t="n"/>
      <c r="E414" s="4" t="n"/>
      <c r="F414" s="4" t="n"/>
      <c r="G414" s="4" t="n"/>
      <c r="H414" s="4" t="n"/>
      <c r="I414" s="4" t="n"/>
      <c r="J414" s="4" t="n"/>
      <c r="K414" s="4" t="n"/>
      <c r="L414" s="4" t="n"/>
      <c r="M414" s="4" t="n"/>
      <c r="N414" s="4" t="n"/>
      <c r="O414" s="4" t="n"/>
      <c r="P414" s="4" t="n"/>
      <c r="Q414" s="4" t="n"/>
      <c r="R414" s="4" t="n"/>
      <c r="S414" s="4" t="n"/>
      <c r="T414" s="6" t="n"/>
      <c r="U414" s="6" t="n"/>
      <c r="V414" s="6" t="n"/>
      <c r="W414" s="6" t="n"/>
      <c r="X414" s="6" t="n"/>
    </row>
    <row r="415" ht="14" customHeight="1" s="250">
      <c r="A415" s="4" t="n"/>
      <c r="B415" s="5" t="n"/>
      <c r="C415" s="4" t="n"/>
      <c r="D415" s="4" t="n"/>
      <c r="E415" s="4" t="n"/>
      <c r="F415" s="4" t="n"/>
      <c r="G415" s="4" t="n"/>
      <c r="H415" s="4" t="n"/>
      <c r="I415" s="4" t="n"/>
      <c r="J415" s="4" t="n"/>
      <c r="K415" s="4" t="n"/>
      <c r="L415" s="4" t="n"/>
      <c r="M415" s="4" t="n"/>
      <c r="N415" s="4" t="n"/>
      <c r="O415" s="4" t="n"/>
      <c r="P415" s="4" t="n"/>
      <c r="Q415" s="4" t="n"/>
      <c r="R415" s="4" t="n"/>
      <c r="S415" s="4" t="n"/>
      <c r="T415" s="6" t="n"/>
      <c r="U415" s="6" t="n"/>
      <c r="V415" s="6" t="n"/>
      <c r="W415" s="6" t="n"/>
      <c r="X415" s="6" t="n"/>
    </row>
    <row r="416" ht="14" customHeight="1" s="250">
      <c r="A416" s="4" t="n"/>
      <c r="B416" s="5" t="n"/>
      <c r="C416" s="4" t="n"/>
      <c r="D416" s="4" t="n"/>
      <c r="E416" s="4" t="n"/>
      <c r="F416" s="4" t="n"/>
      <c r="G416" s="4" t="n"/>
      <c r="H416" s="4" t="n"/>
      <c r="I416" s="4" t="n"/>
      <c r="J416" s="4" t="n"/>
      <c r="K416" s="4" t="n"/>
      <c r="L416" s="4" t="n"/>
      <c r="M416" s="4" t="n"/>
      <c r="N416" s="4" t="n"/>
      <c r="O416" s="4" t="n"/>
      <c r="P416" s="4" t="n"/>
      <c r="Q416" s="4" t="n"/>
      <c r="R416" s="4" t="n"/>
      <c r="S416" s="4" t="n"/>
      <c r="T416" s="6" t="n"/>
      <c r="U416" s="6" t="n"/>
      <c r="V416" s="6" t="n"/>
      <c r="W416" s="6" t="n"/>
      <c r="X416" s="6" t="n"/>
    </row>
    <row r="417" ht="14" customHeight="1" s="250">
      <c r="A417" s="4" t="n"/>
      <c r="B417" s="5" t="n"/>
      <c r="C417" s="4" t="n"/>
      <c r="D417" s="4" t="n"/>
      <c r="E417" s="4" t="n"/>
      <c r="F417" s="4" t="n"/>
      <c r="G417" s="4" t="n"/>
      <c r="H417" s="4" t="n"/>
      <c r="I417" s="4" t="n"/>
      <c r="J417" s="4" t="n"/>
      <c r="K417" s="4" t="n"/>
      <c r="L417" s="4" t="n"/>
      <c r="M417" s="4" t="n"/>
      <c r="N417" s="4" t="n"/>
      <c r="O417" s="4" t="n"/>
      <c r="P417" s="4" t="n"/>
      <c r="Q417" s="4" t="n"/>
      <c r="R417" s="4" t="n"/>
      <c r="S417" s="4" t="n"/>
      <c r="T417" s="6" t="n"/>
      <c r="U417" s="6" t="n"/>
      <c r="V417" s="6" t="n"/>
      <c r="W417" s="6" t="n"/>
      <c r="X417" s="6" t="n"/>
    </row>
    <row r="418" ht="14" customHeight="1" s="250">
      <c r="A418" s="4" t="n"/>
      <c r="B418" s="5" t="n"/>
      <c r="C418" s="4" t="n"/>
      <c r="D418" s="4" t="n"/>
      <c r="E418" s="4" t="n"/>
      <c r="F418" s="4" t="n"/>
      <c r="G418" s="4" t="n"/>
      <c r="H418" s="4" t="n"/>
      <c r="I418" s="4" t="n"/>
      <c r="J418" s="4" t="n"/>
      <c r="K418" s="4" t="n"/>
      <c r="L418" s="4" t="n"/>
      <c r="M418" s="4" t="n"/>
      <c r="N418" s="4" t="n"/>
      <c r="O418" s="4" t="n"/>
      <c r="P418" s="4" t="n"/>
      <c r="Q418" s="4" t="n"/>
      <c r="R418" s="4" t="n"/>
      <c r="S418" s="4" t="n"/>
      <c r="T418" s="6" t="n"/>
      <c r="U418" s="6" t="n"/>
      <c r="V418" s="6" t="n"/>
      <c r="W418" s="6" t="n"/>
      <c r="X418" s="6" t="n"/>
    </row>
    <row r="419" ht="14" customHeight="1" s="250">
      <c r="A419" s="4" t="n"/>
      <c r="B419" s="5" t="n"/>
      <c r="C419" s="4" t="n"/>
      <c r="D419" s="4" t="n"/>
      <c r="E419" s="4" t="n"/>
      <c r="F419" s="4" t="n"/>
      <c r="G419" s="4" t="n"/>
      <c r="H419" s="4" t="n"/>
      <c r="I419" s="4" t="n"/>
      <c r="J419" s="4" t="n"/>
      <c r="K419" s="4" t="n"/>
      <c r="L419" s="4" t="n"/>
      <c r="M419" s="4" t="n"/>
      <c r="N419" s="4" t="n"/>
      <c r="O419" s="4" t="n"/>
      <c r="P419" s="4" t="n"/>
      <c r="Q419" s="4" t="n"/>
      <c r="R419" s="4" t="n"/>
      <c r="S419" s="4" t="n"/>
      <c r="T419" s="6" t="n"/>
      <c r="U419" s="6" t="n"/>
      <c r="V419" s="6" t="n"/>
      <c r="W419" s="6" t="n"/>
      <c r="X419" s="6" t="n"/>
    </row>
    <row r="420" ht="14" customHeight="1" s="250">
      <c r="A420" s="4" t="n"/>
      <c r="B420" s="5" t="n"/>
      <c r="C420" s="4" t="n"/>
      <c r="D420" s="4" t="n"/>
      <c r="E420" s="4" t="n"/>
      <c r="F420" s="4" t="n"/>
      <c r="G420" s="4" t="n"/>
      <c r="H420" s="4" t="n"/>
      <c r="I420" s="4" t="n"/>
      <c r="J420" s="4" t="n"/>
      <c r="K420" s="4" t="n"/>
      <c r="L420" s="4" t="n"/>
      <c r="M420" s="4" t="n"/>
      <c r="N420" s="4" t="n"/>
      <c r="O420" s="4" t="n"/>
      <c r="P420" s="4" t="n"/>
      <c r="Q420" s="4" t="n"/>
      <c r="R420" s="4" t="n"/>
      <c r="S420" s="4" t="n"/>
      <c r="T420" s="6" t="n"/>
      <c r="U420" s="6" t="n"/>
      <c r="V420" s="6" t="n"/>
      <c r="W420" s="6" t="n"/>
      <c r="X420" s="6" t="n"/>
    </row>
    <row r="421" ht="14" customHeight="1" s="250">
      <c r="A421" s="4" t="n"/>
      <c r="B421" s="5" t="n"/>
      <c r="C421" s="4" t="n"/>
      <c r="D421" s="4" t="n"/>
      <c r="E421" s="4" t="n"/>
      <c r="F421" s="4" t="n"/>
      <c r="G421" s="4" t="n"/>
      <c r="H421" s="4" t="n"/>
      <c r="I421" s="4" t="n"/>
      <c r="J421" s="4" t="n"/>
      <c r="K421" s="4" t="n"/>
      <c r="L421" s="4" t="n"/>
      <c r="M421" s="4" t="n"/>
      <c r="N421" s="4" t="n"/>
      <c r="O421" s="4" t="n"/>
      <c r="P421" s="4" t="n"/>
      <c r="Q421" s="4" t="n"/>
      <c r="R421" s="4" t="n"/>
      <c r="S421" s="4" t="n"/>
      <c r="T421" s="6" t="n"/>
      <c r="U421" s="6" t="n"/>
      <c r="V421" s="6" t="n"/>
      <c r="W421" s="6" t="n"/>
      <c r="X421" s="6" t="n"/>
    </row>
    <row r="422" ht="14" customHeight="1" s="250">
      <c r="A422" s="4" t="n"/>
      <c r="B422" s="5" t="n"/>
      <c r="C422" s="4" t="n"/>
      <c r="D422" s="4" t="n"/>
      <c r="E422" s="4" t="n"/>
      <c r="F422" s="4" t="n"/>
      <c r="G422" s="4" t="n"/>
      <c r="H422" s="4" t="n"/>
      <c r="I422" s="4" t="n"/>
      <c r="J422" s="4" t="n"/>
      <c r="K422" s="4" t="n"/>
      <c r="L422" s="4" t="n"/>
      <c r="M422" s="4" t="n"/>
      <c r="N422" s="4" t="n"/>
      <c r="O422" s="4" t="n"/>
      <c r="P422" s="4" t="n"/>
      <c r="Q422" s="4" t="n"/>
      <c r="R422" s="4" t="n"/>
      <c r="S422" s="4" t="n"/>
      <c r="T422" s="6" t="n"/>
      <c r="U422" s="6" t="n"/>
      <c r="V422" s="6" t="n"/>
      <c r="W422" s="6" t="n"/>
      <c r="X422" s="6" t="n"/>
    </row>
    <row r="423" ht="14" customHeight="1" s="250">
      <c r="A423" s="4" t="n"/>
      <c r="B423" s="5" t="n"/>
      <c r="C423" s="4" t="n"/>
      <c r="D423" s="4" t="n"/>
      <c r="E423" s="4" t="n"/>
      <c r="F423" s="4" t="n"/>
      <c r="G423" s="4" t="n"/>
      <c r="H423" s="4" t="n"/>
      <c r="I423" s="4" t="n"/>
      <c r="J423" s="4" t="n"/>
      <c r="K423" s="4" t="n"/>
      <c r="L423" s="4" t="n"/>
      <c r="M423" s="4" t="n"/>
      <c r="N423" s="4" t="n"/>
      <c r="O423" s="4" t="n"/>
      <c r="P423" s="4" t="n"/>
      <c r="Q423" s="4" t="n"/>
      <c r="R423" s="4" t="n"/>
      <c r="S423" s="4" t="n"/>
      <c r="T423" s="6" t="n"/>
      <c r="U423" s="6" t="n"/>
      <c r="V423" s="6" t="n"/>
      <c r="W423" s="6" t="n"/>
      <c r="X423" s="6" t="n"/>
    </row>
    <row r="424" ht="14" customHeight="1" s="250">
      <c r="A424" s="4" t="n"/>
      <c r="B424" s="5" t="n"/>
      <c r="C424" s="4" t="n"/>
      <c r="D424" s="4" t="n"/>
      <c r="E424" s="4" t="n"/>
      <c r="F424" s="4" t="n"/>
      <c r="G424" s="4" t="n"/>
      <c r="H424" s="4" t="n"/>
      <c r="I424" s="4" t="n"/>
      <c r="J424" s="4" t="n"/>
      <c r="K424" s="4" t="n"/>
      <c r="L424" s="4" t="n"/>
      <c r="M424" s="4" t="n"/>
      <c r="N424" s="4" t="n"/>
      <c r="O424" s="4" t="n"/>
      <c r="P424" s="4" t="n"/>
      <c r="Q424" s="4" t="n"/>
      <c r="R424" s="4" t="n"/>
      <c r="S424" s="4" t="n"/>
      <c r="T424" s="6" t="n"/>
      <c r="U424" s="6" t="n"/>
      <c r="V424" s="6" t="n"/>
      <c r="W424" s="6" t="n"/>
      <c r="X424" s="6" t="n"/>
    </row>
    <row r="425" ht="14" customHeight="1" s="250">
      <c r="A425" s="4" t="n"/>
      <c r="B425" s="5" t="n"/>
      <c r="C425" s="4" t="n"/>
      <c r="D425" s="4" t="n"/>
      <c r="E425" s="4" t="n"/>
      <c r="F425" s="4" t="n"/>
      <c r="G425" s="4" t="n"/>
      <c r="H425" s="4" t="n"/>
      <c r="I425" s="4" t="n"/>
      <c r="J425" s="4" t="n"/>
      <c r="K425" s="4" t="n"/>
      <c r="L425" s="4" t="n"/>
      <c r="M425" s="4" t="n"/>
      <c r="N425" s="4" t="n"/>
      <c r="O425" s="4" t="n"/>
      <c r="P425" s="4" t="n"/>
      <c r="Q425" s="4" t="n"/>
      <c r="R425" s="4" t="n"/>
      <c r="S425" s="4" t="n"/>
      <c r="T425" s="6" t="n"/>
      <c r="U425" s="6" t="n"/>
      <c r="V425" s="6" t="n"/>
      <c r="W425" s="6" t="n"/>
      <c r="X425" s="6" t="n"/>
    </row>
    <row r="426" ht="14" customHeight="1" s="250">
      <c r="A426" s="4" t="n"/>
      <c r="B426" s="5" t="n"/>
      <c r="C426" s="4" t="n"/>
      <c r="D426" s="4" t="n"/>
      <c r="E426" s="4" t="n"/>
      <c r="F426" s="4" t="n"/>
      <c r="G426" s="4" t="n"/>
      <c r="H426" s="4" t="n"/>
      <c r="I426" s="4" t="n"/>
      <c r="J426" s="4" t="n"/>
      <c r="K426" s="4" t="n"/>
      <c r="L426" s="4" t="n"/>
      <c r="M426" s="4" t="n"/>
      <c r="N426" s="4" t="n"/>
      <c r="O426" s="4" t="n"/>
      <c r="P426" s="4" t="n"/>
      <c r="Q426" s="4" t="n"/>
      <c r="R426" s="4" t="n"/>
      <c r="S426" s="4" t="n"/>
      <c r="T426" s="6" t="n"/>
      <c r="U426" s="6" t="n"/>
      <c r="V426" s="6" t="n"/>
      <c r="W426" s="6" t="n"/>
      <c r="X426" s="6" t="n"/>
    </row>
    <row r="427" ht="14" customHeight="1" s="250">
      <c r="A427" s="4" t="n"/>
      <c r="B427" s="5" t="n"/>
      <c r="C427" s="4" t="n"/>
      <c r="D427" s="4" t="n"/>
      <c r="E427" s="4" t="n"/>
      <c r="F427" s="4" t="n"/>
      <c r="G427" s="4" t="n"/>
      <c r="H427" s="4" t="n"/>
      <c r="I427" s="4" t="n"/>
      <c r="J427" s="4" t="n"/>
      <c r="K427" s="4" t="n"/>
      <c r="L427" s="4" t="n"/>
      <c r="M427" s="4" t="n"/>
      <c r="N427" s="4" t="n"/>
      <c r="O427" s="4" t="n"/>
      <c r="P427" s="4" t="n"/>
      <c r="Q427" s="4" t="n"/>
      <c r="R427" s="4" t="n"/>
      <c r="S427" s="4" t="n"/>
      <c r="T427" s="6" t="n"/>
      <c r="U427" s="6" t="n"/>
      <c r="V427" s="6" t="n"/>
      <c r="W427" s="6" t="n"/>
      <c r="X427" s="6" t="n"/>
    </row>
    <row r="428" ht="14" customHeight="1" s="250">
      <c r="A428" s="4" t="n"/>
      <c r="B428" s="5" t="n"/>
      <c r="C428" s="4" t="n"/>
      <c r="D428" s="4" t="n"/>
      <c r="E428" s="4" t="n"/>
      <c r="F428" s="4" t="n"/>
      <c r="G428" s="4" t="n"/>
      <c r="H428" s="4" t="n"/>
      <c r="I428" s="4" t="n"/>
      <c r="J428" s="4" t="n"/>
      <c r="K428" s="4" t="n"/>
      <c r="L428" s="4" t="n"/>
      <c r="M428" s="4" t="n"/>
      <c r="N428" s="4" t="n"/>
      <c r="O428" s="4" t="n"/>
      <c r="P428" s="4" t="n"/>
      <c r="Q428" s="4" t="n"/>
      <c r="R428" s="4" t="n"/>
      <c r="S428" s="4" t="n"/>
      <c r="T428" s="6" t="n"/>
      <c r="U428" s="6" t="n"/>
      <c r="V428" s="6" t="n"/>
      <c r="W428" s="6" t="n"/>
      <c r="X428" s="6" t="n"/>
    </row>
    <row r="429" ht="14" customHeight="1" s="250">
      <c r="A429" s="4" t="n"/>
      <c r="B429" s="5" t="n"/>
      <c r="C429" s="4" t="n"/>
      <c r="D429" s="4" t="n"/>
      <c r="E429" s="4" t="n"/>
      <c r="F429" s="4" t="n"/>
      <c r="G429" s="4" t="n"/>
      <c r="H429" s="4" t="n"/>
      <c r="I429" s="4" t="n"/>
      <c r="J429" s="4" t="n"/>
      <c r="K429" s="4" t="n"/>
      <c r="L429" s="4" t="n"/>
      <c r="M429" s="4" t="n"/>
      <c r="N429" s="4" t="n"/>
      <c r="O429" s="4" t="n"/>
      <c r="P429" s="4" t="n"/>
      <c r="Q429" s="4" t="n"/>
      <c r="R429" s="4" t="n"/>
      <c r="S429" s="4" t="n"/>
      <c r="T429" s="6" t="n"/>
      <c r="U429" s="6" t="n"/>
      <c r="V429" s="6" t="n"/>
      <c r="W429" s="6" t="n"/>
      <c r="X429" s="6" t="n"/>
    </row>
    <row r="430" ht="14" customHeight="1" s="250">
      <c r="A430" s="4" t="n"/>
      <c r="B430" s="5" t="n"/>
      <c r="C430" s="4" t="n"/>
      <c r="D430" s="4" t="n"/>
      <c r="E430" s="4" t="n"/>
      <c r="F430" s="4" t="n"/>
      <c r="G430" s="4" t="n"/>
      <c r="H430" s="4" t="n"/>
      <c r="I430" s="4" t="n"/>
      <c r="J430" s="4" t="n"/>
      <c r="K430" s="4" t="n"/>
      <c r="L430" s="4" t="n"/>
      <c r="M430" s="4" t="n"/>
      <c r="N430" s="4" t="n"/>
      <c r="O430" s="4" t="n"/>
      <c r="P430" s="4" t="n"/>
      <c r="Q430" s="4" t="n"/>
      <c r="R430" s="4" t="n"/>
      <c r="S430" s="4" t="n"/>
      <c r="T430" s="6" t="n"/>
      <c r="U430" s="6" t="n"/>
      <c r="V430" s="6" t="n"/>
      <c r="W430" s="6" t="n"/>
      <c r="X430" s="6" t="n"/>
    </row>
    <row r="431" ht="14" customHeight="1" s="250">
      <c r="A431" s="4" t="n"/>
      <c r="B431" s="5" t="n"/>
      <c r="C431" s="4" t="n"/>
      <c r="D431" s="4" t="n"/>
      <c r="E431" s="4" t="n"/>
      <c r="F431" s="4" t="n"/>
      <c r="G431" s="4" t="n"/>
      <c r="H431" s="4" t="n"/>
      <c r="I431" s="4" t="n"/>
      <c r="J431" s="4" t="n"/>
      <c r="K431" s="4" t="n"/>
      <c r="L431" s="4" t="n"/>
      <c r="M431" s="4" t="n"/>
      <c r="N431" s="4" t="n"/>
      <c r="O431" s="4" t="n"/>
      <c r="P431" s="4" t="n"/>
      <c r="Q431" s="4" t="n"/>
      <c r="R431" s="4" t="n"/>
      <c r="S431" s="4" t="n"/>
      <c r="T431" s="6" t="n"/>
      <c r="U431" s="6" t="n"/>
      <c r="V431" s="6" t="n"/>
      <c r="W431" s="6" t="n"/>
      <c r="X431" s="6" t="n"/>
    </row>
    <row r="432" ht="14" customHeight="1" s="250">
      <c r="A432" s="4" t="n"/>
      <c r="B432" s="5" t="n"/>
      <c r="C432" s="4" t="n"/>
      <c r="D432" s="4" t="n"/>
      <c r="E432" s="4" t="n"/>
      <c r="F432" s="4" t="n"/>
      <c r="G432" s="4" t="n"/>
      <c r="H432" s="4" t="n"/>
      <c r="I432" s="4" t="n"/>
      <c r="J432" s="4" t="n"/>
      <c r="K432" s="4" t="n"/>
      <c r="L432" s="4" t="n"/>
      <c r="M432" s="4" t="n"/>
      <c r="N432" s="4" t="n"/>
      <c r="O432" s="4" t="n"/>
      <c r="P432" s="4" t="n"/>
      <c r="Q432" s="4" t="n"/>
      <c r="R432" s="4" t="n"/>
      <c r="S432" s="4" t="n"/>
      <c r="T432" s="6" t="n"/>
      <c r="U432" s="6" t="n"/>
      <c r="V432" s="6" t="n"/>
      <c r="W432" s="6" t="n"/>
      <c r="X432" s="6" t="n"/>
    </row>
    <row r="433" ht="14" customHeight="1" s="250">
      <c r="A433" s="4" t="n"/>
      <c r="B433" s="5" t="n"/>
      <c r="C433" s="4" t="n"/>
      <c r="D433" s="4" t="n"/>
      <c r="E433" s="4" t="n"/>
      <c r="F433" s="4" t="n"/>
      <c r="G433" s="4" t="n"/>
      <c r="H433" s="4" t="n"/>
      <c r="I433" s="4" t="n"/>
      <c r="J433" s="4" t="n"/>
      <c r="K433" s="4" t="n"/>
      <c r="L433" s="4" t="n"/>
      <c r="M433" s="4" t="n"/>
      <c r="N433" s="4" t="n"/>
      <c r="O433" s="4" t="n"/>
      <c r="P433" s="4" t="n"/>
      <c r="Q433" s="4" t="n"/>
      <c r="R433" s="4" t="n"/>
      <c r="S433" s="4" t="n"/>
      <c r="T433" s="6" t="n"/>
      <c r="U433" s="6" t="n"/>
      <c r="V433" s="6" t="n"/>
      <c r="W433" s="6" t="n"/>
      <c r="X433" s="6" t="n"/>
    </row>
    <row r="434" ht="14" customHeight="1" s="250">
      <c r="A434" s="4" t="n"/>
      <c r="B434" s="5" t="n"/>
      <c r="C434" s="4" t="n"/>
      <c r="D434" s="4" t="n"/>
      <c r="E434" s="4" t="n"/>
      <c r="F434" s="4" t="n"/>
      <c r="G434" s="4" t="n"/>
      <c r="H434" s="4" t="n"/>
      <c r="I434" s="4" t="n"/>
      <c r="J434" s="4" t="n"/>
      <c r="K434" s="4" t="n"/>
      <c r="L434" s="4" t="n"/>
      <c r="M434" s="4" t="n"/>
      <c r="N434" s="4" t="n"/>
      <c r="O434" s="4" t="n"/>
      <c r="P434" s="4" t="n"/>
      <c r="Q434" s="4" t="n"/>
      <c r="R434" s="4" t="n"/>
      <c r="S434" s="4" t="n"/>
      <c r="T434" s="6" t="n"/>
      <c r="U434" s="6" t="n"/>
      <c r="V434" s="6" t="n"/>
      <c r="W434" s="6" t="n"/>
      <c r="X434" s="6" t="n"/>
    </row>
    <row r="435" ht="14" customHeight="1" s="250">
      <c r="A435" s="4" t="n"/>
      <c r="B435" s="5" t="n"/>
      <c r="C435" s="4" t="n"/>
      <c r="D435" s="4" t="n"/>
      <c r="E435" s="4" t="n"/>
      <c r="F435" s="4" t="n"/>
      <c r="G435" s="4" t="n"/>
      <c r="H435" s="4" t="n"/>
      <c r="I435" s="4" t="n"/>
      <c r="J435" s="4" t="n"/>
      <c r="K435" s="4" t="n"/>
      <c r="L435" s="4" t="n"/>
      <c r="M435" s="4" t="n"/>
      <c r="N435" s="4" t="n"/>
      <c r="O435" s="4" t="n"/>
      <c r="P435" s="4" t="n"/>
      <c r="Q435" s="4" t="n"/>
      <c r="R435" s="4" t="n"/>
      <c r="S435" s="4" t="n"/>
      <c r="T435" s="6" t="n"/>
      <c r="U435" s="6" t="n"/>
      <c r="V435" s="6" t="n"/>
      <c r="W435" s="6" t="n"/>
      <c r="X435" s="6" t="n"/>
    </row>
    <row r="436" ht="14" customHeight="1" s="250">
      <c r="A436" s="4" t="n"/>
      <c r="B436" s="5" t="n"/>
      <c r="C436" s="4" t="n"/>
      <c r="D436" s="4" t="n"/>
      <c r="E436" s="4" t="n"/>
      <c r="F436" s="4" t="n"/>
      <c r="G436" s="4" t="n"/>
      <c r="H436" s="4" t="n"/>
      <c r="I436" s="4" t="n"/>
      <c r="J436" s="4" t="n"/>
      <c r="K436" s="4" t="n"/>
      <c r="L436" s="4" t="n"/>
      <c r="M436" s="4" t="n"/>
      <c r="N436" s="4" t="n"/>
      <c r="O436" s="4" t="n"/>
      <c r="P436" s="4" t="n"/>
      <c r="Q436" s="4" t="n"/>
      <c r="R436" s="4" t="n"/>
      <c r="S436" s="4" t="n"/>
      <c r="T436" s="6" t="n"/>
      <c r="U436" s="6" t="n"/>
      <c r="V436" s="6" t="n"/>
      <c r="W436" s="6" t="n"/>
      <c r="X436" s="6" t="n"/>
    </row>
    <row r="437" ht="14" customHeight="1" s="250">
      <c r="A437" s="4" t="n"/>
      <c r="B437" s="5" t="n"/>
      <c r="C437" s="4" t="n"/>
      <c r="D437" s="4" t="n"/>
      <c r="E437" s="4" t="n"/>
      <c r="F437" s="4" t="n"/>
      <c r="G437" s="4" t="n"/>
      <c r="H437" s="4" t="n"/>
      <c r="I437" s="4" t="n"/>
      <c r="J437" s="4" t="n"/>
      <c r="K437" s="4" t="n"/>
      <c r="L437" s="4" t="n"/>
      <c r="M437" s="4" t="n"/>
      <c r="N437" s="4" t="n"/>
      <c r="O437" s="4" t="n"/>
      <c r="P437" s="4" t="n"/>
      <c r="Q437" s="4" t="n"/>
      <c r="R437" s="4" t="n"/>
      <c r="S437" s="4" t="n"/>
      <c r="T437" s="6" t="n"/>
      <c r="U437" s="6" t="n"/>
      <c r="V437" s="6" t="n"/>
      <c r="W437" s="6" t="n"/>
      <c r="X437" s="6" t="n"/>
    </row>
    <row r="438" ht="14" customHeight="1" s="250">
      <c r="A438" s="4" t="n"/>
      <c r="B438" s="5" t="n"/>
      <c r="C438" s="4" t="n"/>
      <c r="D438" s="4" t="n"/>
      <c r="E438" s="4" t="n"/>
      <c r="F438" s="4" t="n"/>
      <c r="G438" s="4" t="n"/>
      <c r="H438" s="4" t="n"/>
      <c r="I438" s="4" t="n"/>
      <c r="J438" s="4" t="n"/>
      <c r="K438" s="4" t="n"/>
      <c r="L438" s="4" t="n"/>
      <c r="M438" s="4" t="n"/>
      <c r="N438" s="4" t="n"/>
      <c r="O438" s="4" t="n"/>
      <c r="P438" s="4" t="n"/>
      <c r="Q438" s="4" t="n"/>
      <c r="R438" s="4" t="n"/>
      <c r="S438" s="4" t="n"/>
      <c r="T438" s="6" t="n"/>
      <c r="U438" s="6" t="n"/>
      <c r="V438" s="6" t="n"/>
      <c r="W438" s="6" t="n"/>
      <c r="X438" s="6" t="n"/>
    </row>
    <row r="439" ht="14" customHeight="1" s="250">
      <c r="A439" s="4" t="n"/>
      <c r="B439" s="5" t="n"/>
      <c r="C439" s="4" t="n"/>
      <c r="D439" s="4" t="n"/>
      <c r="E439" s="4" t="n"/>
      <c r="F439" s="4" t="n"/>
      <c r="G439" s="4" t="n"/>
      <c r="H439" s="4" t="n"/>
      <c r="I439" s="4" t="n"/>
      <c r="J439" s="4" t="n"/>
      <c r="K439" s="4" t="n"/>
      <c r="L439" s="4" t="n"/>
      <c r="M439" s="4" t="n"/>
      <c r="N439" s="4" t="n"/>
      <c r="O439" s="4" t="n"/>
      <c r="P439" s="4" t="n"/>
      <c r="Q439" s="4" t="n"/>
      <c r="R439" s="4" t="n"/>
      <c r="S439" s="4" t="n"/>
      <c r="T439" s="6" t="n"/>
      <c r="U439" s="6" t="n"/>
      <c r="V439" s="6" t="n"/>
      <c r="W439" s="6" t="n"/>
      <c r="X439" s="6" t="n"/>
    </row>
    <row r="440" ht="14" customHeight="1" s="250">
      <c r="A440" s="4" t="n"/>
      <c r="B440" s="5" t="n"/>
      <c r="C440" s="4" t="n"/>
      <c r="D440" s="4" t="n"/>
      <c r="E440" s="4" t="n"/>
      <c r="F440" s="4" t="n"/>
      <c r="G440" s="4" t="n"/>
      <c r="H440" s="4" t="n"/>
      <c r="I440" s="4" t="n"/>
      <c r="J440" s="4" t="n"/>
      <c r="K440" s="4" t="n"/>
      <c r="L440" s="4" t="n"/>
      <c r="M440" s="4" t="n"/>
      <c r="N440" s="4" t="n"/>
      <c r="O440" s="4" t="n"/>
      <c r="P440" s="4" t="n"/>
      <c r="Q440" s="4" t="n"/>
      <c r="R440" s="4" t="n"/>
      <c r="S440" s="4" t="n"/>
      <c r="T440" s="6" t="n"/>
      <c r="U440" s="6" t="n"/>
      <c r="V440" s="6" t="n"/>
      <c r="W440" s="6" t="n"/>
      <c r="X440" s="6" t="n"/>
    </row>
    <row r="441" ht="14" customHeight="1" s="250">
      <c r="A441" s="4" t="n"/>
      <c r="B441" s="5" t="n"/>
      <c r="C441" s="4" t="n"/>
      <c r="D441" s="4" t="n"/>
      <c r="E441" s="4" t="n"/>
      <c r="F441" s="4" t="n"/>
      <c r="G441" s="4" t="n"/>
      <c r="H441" s="4" t="n"/>
      <c r="I441" s="4" t="n"/>
      <c r="J441" s="4" t="n"/>
      <c r="K441" s="4" t="n"/>
      <c r="L441" s="4" t="n"/>
      <c r="M441" s="4" t="n"/>
      <c r="N441" s="4" t="n"/>
      <c r="O441" s="4" t="n"/>
      <c r="P441" s="4" t="n"/>
      <c r="Q441" s="4" t="n"/>
      <c r="R441" s="4" t="n"/>
      <c r="S441" s="4" t="n"/>
      <c r="T441" s="6" t="n"/>
      <c r="U441" s="6" t="n"/>
      <c r="V441" s="6" t="n"/>
      <c r="W441" s="6" t="n"/>
      <c r="X441" s="6" t="n"/>
    </row>
    <row r="442" ht="14" customHeight="1" s="250">
      <c r="A442" s="4" t="n"/>
      <c r="B442" s="5" t="n"/>
      <c r="C442" s="4" t="n"/>
      <c r="D442" s="4" t="n"/>
      <c r="E442" s="4" t="n"/>
      <c r="F442" s="4" t="n"/>
      <c r="G442" s="4" t="n"/>
      <c r="H442" s="4" t="n"/>
      <c r="I442" s="4" t="n"/>
      <c r="J442" s="4" t="n"/>
      <c r="K442" s="4" t="n"/>
      <c r="L442" s="4" t="n"/>
      <c r="M442" s="4" t="n"/>
      <c r="N442" s="4" t="n"/>
      <c r="O442" s="4" t="n"/>
      <c r="P442" s="4" t="n"/>
      <c r="Q442" s="4" t="n"/>
      <c r="R442" s="4" t="n"/>
      <c r="S442" s="4" t="n"/>
      <c r="T442" s="6" t="n"/>
      <c r="U442" s="6" t="n"/>
      <c r="V442" s="6" t="n"/>
      <c r="W442" s="6" t="n"/>
      <c r="X442" s="6" t="n"/>
    </row>
    <row r="443" ht="14" customHeight="1" s="250">
      <c r="A443" s="4" t="n"/>
      <c r="B443" s="5" t="n"/>
      <c r="C443" s="4" t="n"/>
      <c r="D443" s="4" t="n"/>
      <c r="E443" s="4" t="n"/>
      <c r="F443" s="4" t="n"/>
      <c r="G443" s="4" t="n"/>
      <c r="H443" s="4" t="n"/>
      <c r="I443" s="4" t="n"/>
      <c r="J443" s="4" t="n"/>
      <c r="K443" s="4" t="n"/>
      <c r="L443" s="4" t="n"/>
      <c r="M443" s="4" t="n"/>
      <c r="N443" s="4" t="n"/>
      <c r="O443" s="4" t="n"/>
      <c r="P443" s="4" t="n"/>
      <c r="Q443" s="4" t="n"/>
      <c r="R443" s="4" t="n"/>
      <c r="S443" s="4" t="n"/>
      <c r="T443" s="6" t="n"/>
      <c r="U443" s="6" t="n"/>
      <c r="V443" s="6" t="n"/>
      <c r="W443" s="6" t="n"/>
      <c r="X443" s="6" t="n"/>
    </row>
    <row r="444" ht="14" customHeight="1" s="250">
      <c r="A444" s="4" t="n"/>
      <c r="B444" s="5" t="n"/>
      <c r="C444" s="4" t="n"/>
      <c r="D444" s="4" t="n"/>
      <c r="E444" s="4" t="n"/>
      <c r="F444" s="4" t="n"/>
      <c r="G444" s="4" t="n"/>
      <c r="H444" s="4" t="n"/>
      <c r="I444" s="4" t="n"/>
      <c r="J444" s="4" t="n"/>
      <c r="K444" s="4" t="n"/>
      <c r="L444" s="4" t="n"/>
      <c r="M444" s="4" t="n"/>
      <c r="N444" s="4" t="n"/>
      <c r="O444" s="4" t="n"/>
      <c r="P444" s="4" t="n"/>
      <c r="Q444" s="4" t="n"/>
      <c r="R444" s="4" t="n"/>
      <c r="S444" s="4" t="n"/>
      <c r="T444" s="6" t="n"/>
      <c r="U444" s="6" t="n"/>
      <c r="V444" s="6" t="n"/>
      <c r="W444" s="6" t="n"/>
      <c r="X444" s="6" t="n"/>
    </row>
    <row r="445" ht="14" customHeight="1" s="250">
      <c r="A445" s="4" t="n"/>
      <c r="B445" s="5" t="n"/>
      <c r="C445" s="4" t="n"/>
      <c r="D445" s="4" t="n"/>
      <c r="E445" s="4" t="n"/>
      <c r="F445" s="4" t="n"/>
      <c r="G445" s="4" t="n"/>
      <c r="H445" s="4" t="n"/>
      <c r="I445" s="4" t="n"/>
      <c r="J445" s="4" t="n"/>
      <c r="K445" s="4" t="n"/>
      <c r="L445" s="4" t="n"/>
      <c r="M445" s="4" t="n"/>
      <c r="N445" s="4" t="n"/>
      <c r="O445" s="4" t="n"/>
      <c r="P445" s="4" t="n"/>
      <c r="Q445" s="4" t="n"/>
      <c r="R445" s="4" t="n"/>
      <c r="S445" s="4" t="n"/>
      <c r="T445" s="6" t="n"/>
      <c r="U445" s="6" t="n"/>
      <c r="V445" s="6" t="n"/>
      <c r="W445" s="6" t="n"/>
      <c r="X445" s="6" t="n"/>
    </row>
    <row r="446" ht="14" customHeight="1" s="250">
      <c r="A446" s="4" t="n"/>
      <c r="B446" s="5" t="n"/>
      <c r="C446" s="4" t="n"/>
      <c r="D446" s="4" t="n"/>
      <c r="E446" s="4" t="n"/>
      <c r="F446" s="4" t="n"/>
      <c r="G446" s="4" t="n"/>
      <c r="H446" s="4" t="n"/>
      <c r="I446" s="4" t="n"/>
      <c r="J446" s="4" t="n"/>
      <c r="K446" s="4" t="n"/>
      <c r="L446" s="4" t="n"/>
      <c r="M446" s="4" t="n"/>
      <c r="N446" s="4" t="n"/>
      <c r="O446" s="4" t="n"/>
      <c r="P446" s="4" t="n"/>
      <c r="Q446" s="4" t="n"/>
      <c r="R446" s="4" t="n"/>
      <c r="S446" s="4" t="n"/>
      <c r="T446" s="6" t="n"/>
      <c r="U446" s="6" t="n"/>
      <c r="V446" s="6" t="n"/>
      <c r="W446" s="6" t="n"/>
      <c r="X446" s="6" t="n"/>
    </row>
    <row r="447" ht="14" customHeight="1" s="250">
      <c r="A447" s="4" t="n"/>
      <c r="B447" s="5" t="n"/>
      <c r="C447" s="4" t="n"/>
      <c r="D447" s="4" t="n"/>
      <c r="E447" s="4" t="n"/>
      <c r="F447" s="4" t="n"/>
      <c r="G447" s="4" t="n"/>
      <c r="H447" s="4" t="n"/>
      <c r="I447" s="4" t="n"/>
      <c r="J447" s="4" t="n"/>
      <c r="K447" s="4" t="n"/>
      <c r="L447" s="4" t="n"/>
      <c r="M447" s="4" t="n"/>
      <c r="N447" s="4" t="n"/>
      <c r="O447" s="4" t="n"/>
      <c r="P447" s="4" t="n"/>
      <c r="Q447" s="4" t="n"/>
      <c r="R447" s="4" t="n"/>
      <c r="S447" s="4" t="n"/>
      <c r="T447" s="6" t="n"/>
      <c r="U447" s="6" t="n"/>
      <c r="V447" s="6" t="n"/>
      <c r="W447" s="6" t="n"/>
      <c r="X447" s="6" t="n"/>
    </row>
    <row r="448" ht="14" customHeight="1" s="250">
      <c r="A448" s="4" t="n"/>
      <c r="B448" s="5" t="n"/>
      <c r="C448" s="4" t="n"/>
      <c r="D448" s="4" t="n"/>
      <c r="E448" s="4" t="n"/>
      <c r="F448" s="4" t="n"/>
      <c r="G448" s="4" t="n"/>
      <c r="H448" s="4" t="n"/>
      <c r="I448" s="4" t="n"/>
      <c r="J448" s="4" t="n"/>
      <c r="K448" s="4" t="n"/>
      <c r="L448" s="4" t="n"/>
      <c r="M448" s="4" t="n"/>
      <c r="N448" s="4" t="n"/>
      <c r="O448" s="4" t="n"/>
      <c r="P448" s="4" t="n"/>
      <c r="Q448" s="4" t="n"/>
      <c r="R448" s="4" t="n"/>
      <c r="S448" s="4" t="n"/>
      <c r="T448" s="6" t="n"/>
      <c r="U448" s="6" t="n"/>
      <c r="V448" s="6" t="n"/>
      <c r="W448" s="6" t="n"/>
      <c r="X448" s="6" t="n"/>
    </row>
    <row r="449" ht="14" customHeight="1" s="250">
      <c r="A449" s="4" t="n"/>
      <c r="B449" s="5" t="n"/>
      <c r="C449" s="4" t="n"/>
      <c r="D449" s="4" t="n"/>
      <c r="E449" s="4" t="n"/>
      <c r="F449" s="4" t="n"/>
      <c r="G449" s="4" t="n"/>
      <c r="H449" s="4" t="n"/>
      <c r="I449" s="4" t="n"/>
      <c r="J449" s="4" t="n"/>
      <c r="K449" s="4" t="n"/>
      <c r="L449" s="4" t="n"/>
      <c r="M449" s="4" t="n"/>
      <c r="N449" s="4" t="n"/>
      <c r="O449" s="4" t="n"/>
      <c r="P449" s="4" t="n"/>
      <c r="Q449" s="4" t="n"/>
      <c r="R449" s="4" t="n"/>
      <c r="S449" s="4" t="n"/>
      <c r="T449" s="6" t="n"/>
      <c r="U449" s="6" t="n"/>
      <c r="V449" s="6" t="n"/>
      <c r="W449" s="6" t="n"/>
      <c r="X449" s="6" t="n"/>
    </row>
    <row r="450" ht="14" customHeight="1" s="250">
      <c r="A450" s="4" t="n"/>
      <c r="B450" s="5" t="n"/>
      <c r="C450" s="4" t="n"/>
      <c r="D450" s="4" t="n"/>
      <c r="E450" s="4" t="n"/>
      <c r="F450" s="4" t="n"/>
      <c r="G450" s="4" t="n"/>
      <c r="H450" s="4" t="n"/>
      <c r="I450" s="4" t="n"/>
      <c r="J450" s="4" t="n"/>
      <c r="K450" s="4" t="n"/>
      <c r="L450" s="4" t="n"/>
      <c r="M450" s="4" t="n"/>
      <c r="N450" s="4" t="n"/>
      <c r="O450" s="4" t="n"/>
      <c r="P450" s="4" t="n"/>
      <c r="Q450" s="4" t="n"/>
      <c r="R450" s="4" t="n"/>
      <c r="S450" s="4" t="n"/>
      <c r="T450" s="6" t="n"/>
      <c r="U450" s="6" t="n"/>
      <c r="V450" s="6" t="n"/>
      <c r="W450" s="6" t="n"/>
      <c r="X450" s="6" t="n"/>
    </row>
    <row r="451" ht="14" customHeight="1" s="250">
      <c r="A451" s="4" t="n"/>
      <c r="B451" s="5" t="n"/>
      <c r="C451" s="4" t="n"/>
      <c r="D451" s="4" t="n"/>
      <c r="E451" s="4" t="n"/>
      <c r="F451" s="4" t="n"/>
      <c r="G451" s="4" t="n"/>
      <c r="H451" s="4" t="n"/>
      <c r="I451" s="4" t="n"/>
      <c r="J451" s="4" t="n"/>
      <c r="K451" s="4" t="n"/>
      <c r="L451" s="4" t="n"/>
      <c r="M451" s="4" t="n"/>
      <c r="N451" s="4" t="n"/>
      <c r="O451" s="4" t="n"/>
      <c r="P451" s="4" t="n"/>
      <c r="Q451" s="4" t="n"/>
      <c r="R451" s="4" t="n"/>
      <c r="S451" s="4" t="n"/>
      <c r="T451" s="6" t="n"/>
      <c r="U451" s="6" t="n"/>
      <c r="V451" s="6" t="n"/>
      <c r="W451" s="6" t="n"/>
      <c r="X451" s="6" t="n"/>
    </row>
    <row r="452" ht="14" customHeight="1" s="250">
      <c r="A452" s="4" t="n"/>
      <c r="B452" s="5" t="n"/>
      <c r="C452" s="4" t="n"/>
      <c r="D452" s="4" t="n"/>
      <c r="E452" s="4" t="n"/>
      <c r="F452" s="4" t="n"/>
      <c r="G452" s="4" t="n"/>
      <c r="H452" s="4" t="n"/>
      <c r="I452" s="4" t="n"/>
      <c r="J452" s="4" t="n"/>
      <c r="K452" s="4" t="n"/>
      <c r="L452" s="4" t="n"/>
      <c r="M452" s="4" t="n"/>
      <c r="N452" s="4" t="n"/>
      <c r="O452" s="4" t="n"/>
      <c r="P452" s="4" t="n"/>
      <c r="Q452" s="4" t="n"/>
      <c r="R452" s="4" t="n"/>
      <c r="S452" s="4" t="n"/>
      <c r="T452" s="6" t="n"/>
      <c r="U452" s="6" t="n"/>
      <c r="V452" s="6" t="n"/>
      <c r="W452" s="6" t="n"/>
      <c r="X452" s="6" t="n"/>
    </row>
    <row r="453" ht="14" customHeight="1" s="250">
      <c r="A453" s="4" t="n"/>
      <c r="B453" s="5" t="n"/>
      <c r="C453" s="4" t="n"/>
      <c r="D453" s="4" t="n"/>
      <c r="E453" s="4" t="n"/>
      <c r="F453" s="4" t="n"/>
      <c r="G453" s="4" t="n"/>
      <c r="H453" s="4" t="n"/>
      <c r="I453" s="4" t="n"/>
      <c r="J453" s="4" t="n"/>
      <c r="K453" s="4" t="n"/>
      <c r="L453" s="4" t="n"/>
      <c r="M453" s="4" t="n"/>
      <c r="N453" s="4" t="n"/>
      <c r="O453" s="4" t="n"/>
      <c r="P453" s="4" t="n"/>
      <c r="Q453" s="4" t="n"/>
      <c r="R453" s="4" t="n"/>
      <c r="S453" s="4" t="n"/>
      <c r="T453" s="6" t="n"/>
      <c r="U453" s="6" t="n"/>
      <c r="V453" s="6" t="n"/>
      <c r="W453" s="6" t="n"/>
      <c r="X453" s="6" t="n"/>
    </row>
    <row r="454" ht="14" customHeight="1" s="250">
      <c r="A454" s="4" t="n"/>
      <c r="B454" s="5" t="n"/>
      <c r="C454" s="4" t="n"/>
      <c r="D454" s="4" t="n"/>
      <c r="E454" s="4" t="n"/>
      <c r="F454" s="4" t="n"/>
      <c r="G454" s="4" t="n"/>
      <c r="H454" s="4" t="n"/>
      <c r="I454" s="4" t="n"/>
      <c r="J454" s="4" t="n"/>
      <c r="K454" s="4" t="n"/>
      <c r="L454" s="4" t="n"/>
      <c r="M454" s="4" t="n"/>
      <c r="N454" s="4" t="n"/>
      <c r="O454" s="4" t="n"/>
      <c r="P454" s="4" t="n"/>
      <c r="Q454" s="4" t="n"/>
      <c r="R454" s="4" t="n"/>
      <c r="S454" s="4" t="n"/>
      <c r="T454" s="6" t="n"/>
      <c r="U454" s="6" t="n"/>
      <c r="V454" s="6" t="n"/>
      <c r="W454" s="6" t="n"/>
      <c r="X454" s="6" t="n"/>
    </row>
    <row r="455" ht="14" customHeight="1" s="250">
      <c r="A455" s="4" t="n"/>
      <c r="B455" s="5" t="n"/>
      <c r="C455" s="4" t="n"/>
      <c r="D455" s="4" t="n"/>
      <c r="E455" s="4" t="n"/>
      <c r="F455" s="4" t="n"/>
      <c r="G455" s="4" t="n"/>
      <c r="H455" s="4" t="n"/>
      <c r="I455" s="4" t="n"/>
      <c r="J455" s="4" t="n"/>
      <c r="K455" s="4" t="n"/>
      <c r="L455" s="4" t="n"/>
      <c r="M455" s="4" t="n"/>
      <c r="N455" s="4" t="n"/>
      <c r="O455" s="4" t="n"/>
      <c r="P455" s="4" t="n"/>
      <c r="Q455" s="4" t="n"/>
      <c r="R455" s="4" t="n"/>
      <c r="S455" s="4" t="n"/>
      <c r="T455" s="6" t="n"/>
      <c r="U455" s="6" t="n"/>
      <c r="V455" s="6" t="n"/>
      <c r="W455" s="6" t="n"/>
      <c r="X455" s="6" t="n"/>
    </row>
    <row r="456" ht="14" customHeight="1" s="250">
      <c r="A456" s="4" t="n"/>
      <c r="B456" s="5" t="n"/>
      <c r="C456" s="4" t="n"/>
      <c r="D456" s="4" t="n"/>
      <c r="E456" s="4" t="n"/>
      <c r="F456" s="4" t="n"/>
      <c r="G456" s="4" t="n"/>
      <c r="H456" s="4" t="n"/>
      <c r="I456" s="4" t="n"/>
      <c r="J456" s="4" t="n"/>
      <c r="K456" s="4" t="n"/>
      <c r="L456" s="4" t="n"/>
      <c r="M456" s="4" t="n"/>
      <c r="N456" s="4" t="n"/>
      <c r="O456" s="4" t="n"/>
      <c r="P456" s="4" t="n"/>
      <c r="Q456" s="4" t="n"/>
      <c r="R456" s="4" t="n"/>
      <c r="S456" s="4" t="n"/>
      <c r="T456" s="6" t="n"/>
      <c r="U456" s="6" t="n"/>
      <c r="V456" s="6" t="n"/>
      <c r="W456" s="6" t="n"/>
      <c r="X456" s="6" t="n"/>
    </row>
    <row r="457" ht="14" customHeight="1" s="250">
      <c r="A457" s="4" t="n"/>
      <c r="B457" s="5" t="n"/>
      <c r="C457" s="4" t="n"/>
      <c r="D457" s="4" t="n"/>
      <c r="E457" s="4" t="n"/>
      <c r="F457" s="4" t="n"/>
      <c r="G457" s="4" t="n"/>
      <c r="H457" s="4" t="n"/>
      <c r="I457" s="4" t="n"/>
      <c r="J457" s="4" t="n"/>
      <c r="K457" s="4" t="n"/>
      <c r="L457" s="4" t="n"/>
      <c r="M457" s="4" t="n"/>
      <c r="N457" s="4" t="n"/>
      <c r="O457" s="4" t="n"/>
      <c r="P457" s="4" t="n"/>
      <c r="Q457" s="4" t="n"/>
      <c r="R457" s="4" t="n"/>
      <c r="S457" s="4" t="n"/>
      <c r="T457" s="6" t="n"/>
      <c r="U457" s="6" t="n"/>
      <c r="V457" s="6" t="n"/>
      <c r="W457" s="6" t="n"/>
      <c r="X457" s="6" t="n"/>
    </row>
    <row r="458" ht="14" customHeight="1" s="250">
      <c r="A458" s="4" t="n"/>
      <c r="B458" s="5" t="n"/>
      <c r="C458" s="4" t="n"/>
      <c r="D458" s="4" t="n"/>
      <c r="E458" s="4" t="n"/>
      <c r="F458" s="4" t="n"/>
      <c r="G458" s="4" t="n"/>
      <c r="H458" s="4" t="n"/>
      <c r="I458" s="4" t="n"/>
      <c r="J458" s="4" t="n"/>
      <c r="K458" s="4" t="n"/>
      <c r="L458" s="4" t="n"/>
      <c r="M458" s="4" t="n"/>
      <c r="N458" s="4" t="n"/>
      <c r="O458" s="4" t="n"/>
      <c r="P458" s="4" t="n"/>
      <c r="Q458" s="4" t="n"/>
      <c r="R458" s="4" t="n"/>
      <c r="S458" s="4" t="n"/>
      <c r="T458" s="6" t="n"/>
      <c r="U458" s="6" t="n"/>
      <c r="V458" s="6" t="n"/>
      <c r="W458" s="6" t="n"/>
      <c r="X458" s="6" t="n"/>
    </row>
    <row r="459" ht="14" customHeight="1" s="250">
      <c r="A459" s="4" t="n"/>
      <c r="B459" s="5" t="n"/>
      <c r="C459" s="4" t="n"/>
      <c r="D459" s="4" t="n"/>
      <c r="E459" s="4" t="n"/>
      <c r="F459" s="4" t="n"/>
      <c r="G459" s="4" t="n"/>
      <c r="H459" s="4" t="n"/>
      <c r="I459" s="4" t="n"/>
      <c r="J459" s="4" t="n"/>
      <c r="K459" s="4" t="n"/>
      <c r="L459" s="4" t="n"/>
      <c r="M459" s="4" t="n"/>
      <c r="N459" s="4" t="n"/>
      <c r="O459" s="4" t="n"/>
      <c r="P459" s="4" t="n"/>
      <c r="Q459" s="4" t="n"/>
      <c r="R459" s="4" t="n"/>
      <c r="S459" s="4" t="n"/>
      <c r="T459" s="6" t="n"/>
      <c r="U459" s="6" t="n"/>
      <c r="V459" s="6" t="n"/>
      <c r="W459" s="6" t="n"/>
      <c r="X459" s="6" t="n"/>
    </row>
    <row r="460" ht="14" customHeight="1" s="250">
      <c r="A460" s="4" t="n"/>
      <c r="B460" s="5" t="n"/>
      <c r="C460" s="4" t="n"/>
      <c r="D460" s="4" t="n"/>
      <c r="E460" s="4" t="n"/>
      <c r="F460" s="4" t="n"/>
      <c r="G460" s="4" t="n"/>
      <c r="H460" s="4" t="n"/>
      <c r="I460" s="4" t="n"/>
      <c r="J460" s="4" t="n"/>
      <c r="K460" s="4" t="n"/>
      <c r="L460" s="4" t="n"/>
      <c r="M460" s="4" t="n"/>
      <c r="N460" s="4" t="n"/>
      <c r="O460" s="4" t="n"/>
      <c r="P460" s="4" t="n"/>
      <c r="Q460" s="4" t="n"/>
      <c r="R460" s="4" t="n"/>
      <c r="S460" s="4" t="n"/>
      <c r="T460" s="6" t="n"/>
      <c r="U460" s="6" t="n"/>
      <c r="V460" s="6" t="n"/>
      <c r="W460" s="6" t="n"/>
      <c r="X460" s="6" t="n"/>
    </row>
    <row r="461" ht="14" customHeight="1" s="250">
      <c r="A461" s="4" t="n"/>
      <c r="B461" s="5" t="n"/>
      <c r="C461" s="4" t="n"/>
      <c r="D461" s="4" t="n"/>
      <c r="E461" s="4" t="n"/>
      <c r="F461" s="4" t="n"/>
      <c r="G461" s="4" t="n"/>
      <c r="H461" s="4" t="n"/>
      <c r="I461" s="4" t="n"/>
      <c r="J461" s="4" t="n"/>
      <c r="K461" s="4" t="n"/>
      <c r="L461" s="4" t="n"/>
      <c r="M461" s="4" t="n"/>
      <c r="N461" s="4" t="n"/>
      <c r="O461" s="4" t="n"/>
      <c r="P461" s="4" t="n"/>
      <c r="Q461" s="4" t="n"/>
      <c r="R461" s="4" t="n"/>
      <c r="S461" s="4" t="n"/>
      <c r="T461" s="6" t="n"/>
      <c r="U461" s="6" t="n"/>
      <c r="V461" s="6" t="n"/>
      <c r="W461" s="6" t="n"/>
      <c r="X461" s="6" t="n"/>
    </row>
    <row r="462" ht="14" customHeight="1" s="250">
      <c r="A462" s="4" t="n"/>
      <c r="B462" s="5" t="n"/>
      <c r="C462" s="4" t="n"/>
      <c r="D462" s="4" t="n"/>
      <c r="E462" s="4" t="n"/>
      <c r="F462" s="4" t="n"/>
      <c r="G462" s="4" t="n"/>
      <c r="H462" s="4" t="n"/>
      <c r="I462" s="4" t="n"/>
      <c r="J462" s="4" t="n"/>
      <c r="K462" s="4" t="n"/>
      <c r="L462" s="4" t="n"/>
      <c r="M462" s="4" t="n"/>
      <c r="N462" s="4" t="n"/>
      <c r="O462" s="4" t="n"/>
      <c r="P462" s="4" t="n"/>
      <c r="Q462" s="4" t="n"/>
      <c r="R462" s="4" t="n"/>
      <c r="S462" s="4" t="n"/>
      <c r="T462" s="6" t="n"/>
      <c r="U462" s="6" t="n"/>
      <c r="V462" s="6" t="n"/>
      <c r="W462" s="6" t="n"/>
      <c r="X462" s="6" t="n"/>
    </row>
    <row r="463" ht="14" customHeight="1" s="250">
      <c r="A463" s="4" t="n"/>
      <c r="B463" s="5" t="n"/>
      <c r="C463" s="4" t="n"/>
      <c r="D463" s="4" t="n"/>
      <c r="E463" s="4" t="n"/>
      <c r="F463" s="4" t="n"/>
      <c r="G463" s="4" t="n"/>
      <c r="H463" s="4" t="n"/>
      <c r="I463" s="4" t="n"/>
      <c r="J463" s="4" t="n"/>
      <c r="K463" s="4" t="n"/>
      <c r="L463" s="4" t="n"/>
      <c r="M463" s="4" t="n"/>
      <c r="N463" s="4" t="n"/>
      <c r="O463" s="4" t="n"/>
      <c r="P463" s="4" t="n"/>
      <c r="Q463" s="4" t="n"/>
      <c r="R463" s="4" t="n"/>
      <c r="S463" s="4" t="n"/>
      <c r="T463" s="6" t="n"/>
      <c r="U463" s="6" t="n"/>
      <c r="V463" s="6" t="n"/>
      <c r="W463" s="6" t="n"/>
      <c r="X463" s="6" t="n"/>
    </row>
    <row r="464" ht="14" customHeight="1" s="250">
      <c r="A464" s="4" t="n"/>
      <c r="B464" s="5" t="n"/>
      <c r="C464" s="4" t="n"/>
      <c r="D464" s="4" t="n"/>
      <c r="E464" s="4" t="n"/>
      <c r="F464" s="4" t="n"/>
      <c r="G464" s="4" t="n"/>
      <c r="H464" s="4" t="n"/>
      <c r="I464" s="4" t="n"/>
      <c r="J464" s="4" t="n"/>
      <c r="K464" s="4" t="n"/>
      <c r="L464" s="4" t="n"/>
      <c r="M464" s="4" t="n"/>
      <c r="N464" s="4" t="n"/>
      <c r="O464" s="4" t="n"/>
      <c r="P464" s="4" t="n"/>
      <c r="Q464" s="4" t="n"/>
      <c r="R464" s="4" t="n"/>
      <c r="S464" s="4" t="n"/>
      <c r="T464" s="6" t="n"/>
      <c r="U464" s="6" t="n"/>
      <c r="V464" s="6" t="n"/>
      <c r="W464" s="6" t="n"/>
      <c r="X464" s="6" t="n"/>
    </row>
    <row r="465" ht="14" customHeight="1" s="250">
      <c r="A465" s="4" t="n"/>
      <c r="B465" s="5" t="n"/>
      <c r="C465" s="4" t="n"/>
      <c r="D465" s="4" t="n"/>
      <c r="E465" s="4" t="n"/>
      <c r="F465" s="4" t="n"/>
      <c r="G465" s="4" t="n"/>
      <c r="H465" s="4" t="n"/>
      <c r="I465" s="4" t="n"/>
      <c r="J465" s="4" t="n"/>
      <c r="K465" s="4" t="n"/>
      <c r="L465" s="4" t="n"/>
      <c r="M465" s="4" t="n"/>
      <c r="N465" s="4" t="n"/>
      <c r="O465" s="4" t="n"/>
      <c r="P465" s="4" t="n"/>
      <c r="Q465" s="4" t="n"/>
      <c r="R465" s="4" t="n"/>
      <c r="S465" s="4" t="n"/>
      <c r="T465" s="6" t="n"/>
      <c r="U465" s="6" t="n"/>
      <c r="V465" s="6" t="n"/>
      <c r="W465" s="6" t="n"/>
      <c r="X465" s="6" t="n"/>
    </row>
    <row r="466" ht="14" customHeight="1" s="250">
      <c r="A466" s="4" t="n"/>
      <c r="B466" s="5" t="n"/>
      <c r="C466" s="4" t="n"/>
      <c r="D466" s="4" t="n"/>
      <c r="E466" s="4" t="n"/>
      <c r="F466" s="4" t="n"/>
      <c r="G466" s="4" t="n"/>
      <c r="H466" s="4" t="n"/>
      <c r="I466" s="4" t="n"/>
      <c r="J466" s="4" t="n"/>
      <c r="K466" s="4" t="n"/>
      <c r="L466" s="4" t="n"/>
      <c r="M466" s="4" t="n"/>
      <c r="N466" s="4" t="n"/>
      <c r="O466" s="4" t="n"/>
      <c r="P466" s="4" t="n"/>
      <c r="Q466" s="4" t="n"/>
      <c r="R466" s="4" t="n"/>
      <c r="S466" s="4" t="n"/>
      <c r="T466" s="6" t="n"/>
      <c r="U466" s="6" t="n"/>
      <c r="V466" s="6" t="n"/>
      <c r="W466" s="6" t="n"/>
      <c r="X466" s="6" t="n"/>
    </row>
    <row r="467" ht="14" customHeight="1" s="250">
      <c r="A467" s="4" t="n"/>
      <c r="B467" s="5" t="n"/>
      <c r="C467" s="4" t="n"/>
      <c r="D467" s="4" t="n"/>
      <c r="E467" s="4" t="n"/>
      <c r="F467" s="4" t="n"/>
      <c r="G467" s="4" t="n"/>
      <c r="H467" s="4" t="n"/>
      <c r="I467" s="4" t="n"/>
      <c r="J467" s="4" t="n"/>
      <c r="K467" s="4" t="n"/>
      <c r="L467" s="4" t="n"/>
      <c r="M467" s="4" t="n"/>
      <c r="N467" s="4" t="n"/>
      <c r="O467" s="4" t="n"/>
      <c r="P467" s="4" t="n"/>
      <c r="Q467" s="4" t="n"/>
      <c r="R467" s="4" t="n"/>
      <c r="S467" s="4" t="n"/>
      <c r="T467" s="6" t="n"/>
      <c r="U467" s="6" t="n"/>
      <c r="V467" s="6" t="n"/>
      <c r="W467" s="6" t="n"/>
      <c r="X467" s="6" t="n"/>
    </row>
    <row r="468" ht="14" customHeight="1" s="250">
      <c r="A468" s="4" t="n"/>
      <c r="B468" s="5" t="n"/>
      <c r="C468" s="4" t="n"/>
      <c r="D468" s="4" t="n"/>
      <c r="E468" s="4" t="n"/>
      <c r="F468" s="4" t="n"/>
      <c r="G468" s="4" t="n"/>
      <c r="H468" s="4" t="n"/>
      <c r="I468" s="4" t="n"/>
      <c r="J468" s="4" t="n"/>
      <c r="K468" s="4" t="n"/>
      <c r="L468" s="4" t="n"/>
      <c r="M468" s="4" t="n"/>
      <c r="N468" s="4" t="n"/>
      <c r="O468" s="4" t="n"/>
      <c r="P468" s="4" t="n"/>
      <c r="Q468" s="4" t="n"/>
      <c r="R468" s="4" t="n"/>
      <c r="S468" s="4" t="n"/>
      <c r="T468" s="6" t="n"/>
      <c r="U468" s="6" t="n"/>
      <c r="V468" s="6" t="n"/>
      <c r="W468" s="6" t="n"/>
      <c r="X468" s="6" t="n"/>
    </row>
    <row r="469" ht="14" customHeight="1" s="250">
      <c r="A469" s="4" t="inlineStr">
        <is>
          <t>end group</t>
        </is>
      </c>
      <c r="B469" s="5" t="inlineStr">
        <is>
          <t>mm_study_data_end</t>
        </is>
      </c>
      <c r="C469" s="4" t="inlineStr"/>
      <c r="D469" s="4" t="inlineStr"/>
      <c r="E469" s="4" t="inlineStr"/>
      <c r="F469" s="4" t="inlineStr"/>
      <c r="G469" s="4" t="inlineStr"/>
      <c r="H469" s="4" t="n"/>
      <c r="I469" s="4" t="inlineStr"/>
      <c r="J469" s="4" t="inlineStr"/>
      <c r="K469" s="4" t="inlineStr"/>
      <c r="L469" s="4" t="n"/>
      <c r="M469" s="4" t="n"/>
      <c r="N469" s="4" t="n"/>
      <c r="O469" s="4" t="n"/>
      <c r="P469" s="4" t="n"/>
      <c r="Q469" s="4" t="n"/>
      <c r="R469" s="4" t="n"/>
      <c r="S469" s="4" t="n"/>
      <c r="T469" s="6" t="inlineStr"/>
      <c r="U469" s="6" t="inlineStr"/>
      <c r="V469" s="6" t="n"/>
      <c r="W469" s="6" t="n"/>
      <c r="X469" s="6" t="n"/>
    </row>
    <row r="470" ht="14" customHeight="1" s="250">
      <c r="A470" s="4" t="n"/>
      <c r="B470" s="5" t="n"/>
      <c r="C470" s="4" t="n"/>
      <c r="D470" s="4" t="n"/>
      <c r="E470" s="4" t="n"/>
      <c r="F470" s="4" t="n"/>
      <c r="G470" s="4" t="n"/>
      <c r="H470" s="4" t="n"/>
      <c r="I470" s="4" t="n"/>
      <c r="J470" s="4" t="n"/>
      <c r="K470" s="4" t="n"/>
      <c r="L470" s="4" t="n"/>
      <c r="M470" s="4" t="n"/>
      <c r="N470" s="4" t="n"/>
      <c r="O470" s="4" t="n"/>
      <c r="P470" s="4" t="n"/>
      <c r="Q470" s="4" t="n"/>
      <c r="R470" s="4" t="n"/>
      <c r="S470" s="4" t="n"/>
      <c r="T470" s="6" t="n"/>
      <c r="U470" s="6" t="n"/>
      <c r="V470" s="6" t="n"/>
      <c r="W470" s="6" t="n"/>
      <c r="X470" s="6" t="n"/>
    </row>
    <row r="471" ht="14" customHeight="1" s="250">
      <c r="A471" s="4" t="inlineStr">
        <is>
          <t>calculate</t>
        </is>
      </c>
      <c r="B471" s="5" t="inlineStr">
        <is>
          <t>mm_credential_id_sha256</t>
        </is>
      </c>
      <c r="C471" s="4" t="inlineStr"/>
      <c r="D471" s="4" t="inlineStr"/>
      <c r="E471" s="4" t="inlineStr"/>
      <c r="F471" s="4" t="inlineStr"/>
      <c r="G471" s="4" t="inlineStr">
        <is>
          <t>hidden-answer</t>
        </is>
      </c>
      <c r="H471" s="4" t="n"/>
      <c r="I471" s="4" t="inlineStr"/>
      <c r="J471" s="4" t="inlineStr"/>
      <c r="K471" s="4" t="inlineStr">
        <is>
          <t>digest(string(${mm_auth_credential_id}), 'SHA-256', 'hex')</t>
        </is>
      </c>
      <c r="L471" s="4" t="n"/>
      <c r="M471" s="4" t="n"/>
      <c r="N471" s="4" t="n"/>
      <c r="O471" s="4" t="n"/>
      <c r="P471" s="4" t="n"/>
      <c r="Q471" s="4" t="n"/>
      <c r="R471" s="4" t="n"/>
      <c r="S471" s="4" t="n"/>
      <c r="T471" s="6" t="inlineStr"/>
      <c r="U471" s="6" t="inlineStr"/>
      <c r="V471" s="6" t="n"/>
      <c r="W471" s="6" t="n"/>
      <c r="X471" s="6" t="n"/>
    </row>
    <row r="472" ht="14" customHeight="1" s="250">
      <c r="A472" s="4" t="inlineStr">
        <is>
          <t>calculate</t>
        </is>
      </c>
      <c r="B472" s="5" t="inlineStr">
        <is>
          <t>mm_credential_subject_id_sha256</t>
        </is>
      </c>
      <c r="C472" s="4" t="inlineStr"/>
      <c r="D472" s="4" t="inlineStr"/>
      <c r="E472" s="4" t="inlineStr"/>
      <c r="F472" s="4" t="inlineStr"/>
      <c r="G472" s="4" t="inlineStr">
        <is>
          <t>hidden-answer</t>
        </is>
      </c>
      <c r="H472" s="4" t="n"/>
      <c r="I472" s="4" t="inlineStr"/>
      <c r="J472" s="4" t="inlineStr"/>
      <c r="K472" s="4" t="inlineStr">
        <is>
          <t>digest(string(${mm_auth_credential_subject_id}), 'SHA-256', 'hex')</t>
        </is>
      </c>
      <c r="L472" s="4" t="n"/>
      <c r="M472" s="4" t="n"/>
      <c r="N472" s="4" t="n"/>
      <c r="O472" s="4" t="n"/>
      <c r="P472" s="4" t="n"/>
      <c r="Q472" s="4" t="n"/>
      <c r="R472" s="4" t="n"/>
      <c r="S472" s="4" t="n"/>
      <c r="T472" s="6" t="inlineStr"/>
      <c r="U472" s="6" t="inlineStr"/>
      <c r="V472" s="6" t="n"/>
      <c r="W472" s="6" t="n"/>
      <c r="X472" s="6" t="n"/>
    </row>
    <row r="473" ht="14" customHeight="1" s="250">
      <c r="A473" s="4" t="inlineStr">
        <is>
          <t>calculate</t>
        </is>
      </c>
      <c r="B473" s="5" t="inlineStr">
        <is>
          <t>mm_canonical_commitment_live</t>
        </is>
      </c>
      <c r="C473" s="4" t="inlineStr"/>
      <c r="D473" s="4" t="inlineStr"/>
      <c r="E473" s="4" t="inlineStr"/>
      <c r="F473" s="4" t="inlineStr"/>
      <c r="G473" s="4" t="inlineStr">
        <is>
          <t>hidden-answer</t>
        </is>
      </c>
      <c r="H473" s="4" t="n"/>
      <c r="I473" s="4" t="inlineStr"/>
      <c r="J473" s="4" t="inlineStr"/>
      <c r="K473" s="4" t="inlineStr">
        <is>
          <t>PASTE_CANONICAL_EXPRESSION_FROM_METHODMESH_RECIPE_SHEET</t>
        </is>
      </c>
      <c r="L473" s="4" t="n"/>
      <c r="M473" s="4" t="n"/>
      <c r="N473" s="4" t="n"/>
      <c r="O473" s="4" t="n"/>
      <c r="P473" s="4" t="n"/>
      <c r="Q473" s="4" t="n"/>
      <c r="R473" s="4" t="n"/>
      <c r="S473" s="4" t="n"/>
      <c r="T473" s="6" t="inlineStr"/>
      <c r="U473" s="6" t="inlineStr"/>
      <c r="V473" s="6" t="n"/>
      <c r="W473" s="6" t="n"/>
      <c r="X473" s="6" t="n"/>
    </row>
    <row r="474" ht="14" customHeight="1" s="250">
      <c r="A474" s="4" t="inlineStr">
        <is>
          <t>calculate</t>
        </is>
      </c>
      <c r="B474" s="5" t="inlineStr">
        <is>
          <t>mm_current_event_payload_hash</t>
        </is>
      </c>
      <c r="C474" s="4" t="inlineStr"/>
      <c r="D474" s="4" t="inlineStr"/>
      <c r="E474" s="4" t="inlineStr"/>
      <c r="F474" s="4" t="inlineStr"/>
      <c r="G474" s="4" t="inlineStr">
        <is>
          <t>hidden-answer</t>
        </is>
      </c>
      <c r="H474" s="4" t="n"/>
      <c r="I474" s="4" t="inlineStr"/>
      <c r="J474" s="4" t="inlineStr"/>
      <c r="K474" s="4" t="inlineStr">
        <is>
          <t>digest(${mm_canonical_commitment_live}, 'SHA-256', 'hex')</t>
        </is>
      </c>
      <c r="L474" s="4" t="n"/>
      <c r="M474" s="4" t="n"/>
      <c r="N474" s="4" t="n"/>
      <c r="O474" s="4" t="n"/>
      <c r="P474" s="4" t="n"/>
      <c r="Q474" s="4" t="n"/>
      <c r="R474" s="4" t="n"/>
      <c r="S474" s="4" t="n"/>
      <c r="T474" s="6" t="inlineStr"/>
      <c r="U474" s="6" t="inlineStr"/>
      <c r="V474" s="6" t="n"/>
      <c r="W474" s="6" t="n"/>
      <c r="X474" s="6" t="n"/>
    </row>
    <row r="475" ht="14" customHeight="1" s="250">
      <c r="A475" s="4" t="inlineStr">
        <is>
          <t>select_one mm_yes</t>
        </is>
      </c>
      <c r="B475" s="5" t="inlineStr">
        <is>
          <t>mm_finalize_for_attestation</t>
        </is>
      </c>
      <c r="C475" s="4" t="inlineStr">
        <is>
          <t>Finalize these data for attestation?</t>
        </is>
      </c>
      <c r="D475" s="4" t="inlineStr"/>
      <c r="E475" s="4" t="inlineStr">
        <is>
          <t>yes</t>
        </is>
      </c>
      <c r="F475" s="4" t="inlineStr">
        <is>
          <t>${mm_auth_ok} = 'true'</t>
        </is>
      </c>
      <c r="G475" s="4" t="inlineStr"/>
      <c r="H475" s="4" t="n"/>
      <c r="I475" s="4" t="inlineStr">
        <is>
          <t>. = 'yes'</t>
        </is>
      </c>
      <c r="J475" s="4" t="inlineStr">
        <is>
          <t>Select Yes to freeze the study data before attestation.</t>
        </is>
      </c>
      <c r="K475" s="4" t="inlineStr"/>
      <c r="L475" s="4" t="n"/>
      <c r="M475" s="4" t="n"/>
      <c r="N475" s="4" t="n"/>
      <c r="O475" s="4" t="n"/>
      <c r="P475" s="4" t="n"/>
      <c r="Q475" s="4" t="n"/>
      <c r="R475" s="4" t="n"/>
      <c r="S475" s="4" t="n"/>
      <c r="T475" s="6" t="inlineStr"/>
      <c r="U475" s="6" t="inlineStr"/>
      <c r="V475" s="6" t="n"/>
      <c r="W475" s="6" t="n"/>
      <c r="X475" s="6" t="n"/>
    </row>
    <row r="476" ht="14" customHeight="1" s="250">
      <c r="A476" s="4" t="inlineStr">
        <is>
          <t>calculate</t>
        </is>
      </c>
      <c r="B476" s="5" t="inlineStr">
        <is>
          <t>mm_frozen_canonical_commitment</t>
        </is>
      </c>
      <c r="C476" s="4" t="inlineStr"/>
      <c r="D476" s="4" t="inlineStr"/>
      <c r="E476" s="4" t="inlineStr"/>
      <c r="F476" s="4" t="inlineStr"/>
      <c r="G476" s="4" t="inlineStr">
        <is>
          <t>hidden-answer</t>
        </is>
      </c>
      <c r="H476" s="4" t="n"/>
      <c r="I476" s="4" t="inlineStr"/>
      <c r="J476" s="4" t="inlineStr"/>
      <c r="K476" s="4" t="inlineStr">
        <is>
          <t>once(if(${mm_finalize_for_attestation} = 'yes', ${mm_canonical_commitment_live}, ''))</t>
        </is>
      </c>
      <c r="L476" s="4" t="n"/>
      <c r="M476" s="4" t="n"/>
      <c r="N476" s="4" t="n"/>
      <c r="O476" s="4" t="n"/>
      <c r="P476" s="4" t="n"/>
      <c r="Q476" s="4" t="n"/>
      <c r="R476" s="4" t="n"/>
      <c r="S476" s="4" t="n"/>
      <c r="T476" s="6" t="inlineStr"/>
      <c r="U476" s="6" t="inlineStr"/>
      <c r="V476" s="6" t="n"/>
      <c r="W476" s="6" t="n"/>
      <c r="X476" s="6" t="n"/>
    </row>
    <row r="477" ht="14" customHeight="1" s="250">
      <c r="A477" s="4" t="inlineStr">
        <is>
          <t>calculate</t>
        </is>
      </c>
      <c r="B477" s="5" t="inlineStr">
        <is>
          <t>mm_event_payload_hash</t>
        </is>
      </c>
      <c r="C477" s="4" t="inlineStr"/>
      <c r="D477" s="4" t="inlineStr"/>
      <c r="E477" s="4" t="inlineStr"/>
      <c r="F477" s="4" t="inlineStr"/>
      <c r="G477" s="4" t="inlineStr">
        <is>
          <t>hidden-answer</t>
        </is>
      </c>
      <c r="H477" s="4" t="n"/>
      <c r="I477" s="4" t="inlineStr"/>
      <c r="J477" s="4" t="inlineStr"/>
      <c r="K477" s="4" t="inlineStr">
        <is>
          <t>once(if(string-length(${mm_frozen_canonical_commitment}) &gt; 0, digest(${mm_frozen_canonical_commitment}, 'SHA-256', 'hex'), ''))</t>
        </is>
      </c>
      <c r="L477" s="4" t="n"/>
      <c r="M477" s="4" t="n"/>
      <c r="N477" s="4" t="n"/>
      <c r="O477" s="4" t="n"/>
      <c r="P477" s="4" t="n"/>
      <c r="Q477" s="4" t="n"/>
      <c r="R477" s="4" t="n"/>
      <c r="S477" s="4" t="n"/>
      <c r="T477" s="6" t="inlineStr"/>
      <c r="U477" s="6" t="inlineStr"/>
      <c r="V477" s="6" t="n"/>
      <c r="W477" s="6" t="n"/>
      <c r="X477" s="6" t="n"/>
    </row>
    <row r="478" ht="14" customHeight="1" s="250">
      <c r="A478" s="4" t="inlineStr">
        <is>
          <t>calculate</t>
        </is>
      </c>
      <c r="B478" s="5" t="inlineStr">
        <is>
          <t>mm_commitment_recipe</t>
        </is>
      </c>
      <c r="C478" s="4" t="inlineStr"/>
      <c r="D478" s="4" t="inlineStr"/>
      <c r="E478" s="4" t="inlineStr"/>
      <c r="F478" s="4" t="inlineStr"/>
      <c r="G478" s="4" t="inlineStr">
        <is>
          <t>hidden-answer</t>
        </is>
      </c>
      <c r="H478" s="4" t="n"/>
      <c r="I478" s="4" t="inlineStr"/>
      <c r="J478" s="4" t="inlineStr"/>
      <c r="K478" s="4" t="inlineStr">
        <is>
          <t>PASTE_RECIPE_JSON_FROM_METHODMESH_RECIPE_SHEET</t>
        </is>
      </c>
      <c r="L478" s="4" t="n"/>
      <c r="M478" s="4" t="n"/>
      <c r="N478" s="4" t="n"/>
      <c r="O478" s="4" t="n"/>
      <c r="P478" s="4" t="n"/>
      <c r="Q478" s="4" t="n"/>
      <c r="R478" s="4" t="n"/>
      <c r="S478" s="4" t="n"/>
      <c r="T478" s="6" t="inlineStr"/>
      <c r="U478" s="6" t="inlineStr"/>
      <c r="V478" s="6" t="n"/>
      <c r="W478" s="6" t="n"/>
      <c r="X478" s="6" t="n"/>
    </row>
    <row r="479" ht="14" customHeight="1" s="250">
      <c r="A479" s="4" t="inlineStr">
        <is>
          <t>calculate</t>
        </is>
      </c>
      <c r="B479" s="5" t="inlineStr">
        <is>
          <t>mm_current_data_matches_frozen_commitment</t>
        </is>
      </c>
      <c r="C479" s="4" t="inlineStr"/>
      <c r="D479" s="4" t="inlineStr"/>
      <c r="E479" s="4" t="inlineStr"/>
      <c r="F479" s="4" t="inlineStr"/>
      <c r="G479" s="4" t="inlineStr">
        <is>
          <t>hidden-answer</t>
        </is>
      </c>
      <c r="H479" s="4" t="n"/>
      <c r="I479" s="4" t="inlineStr"/>
      <c r="J479" s="4" t="inlineStr"/>
      <c r="K479" s="4" t="inlineStr">
        <is>
          <t>if(${mm_current_event_payload_hash} = ${mm_event_payload_hash}, 'true', 'false')</t>
        </is>
      </c>
      <c r="L479" s="4" t="n"/>
      <c r="M479" s="4" t="n"/>
      <c r="N479" s="4" t="n"/>
      <c r="O479" s="4" t="n"/>
      <c r="P479" s="4" t="n"/>
      <c r="Q479" s="4" t="n"/>
      <c r="R479" s="4" t="n"/>
      <c r="S479" s="4" t="n"/>
      <c r="T479" s="6" t="inlineStr"/>
      <c r="U479" s="6" t="inlineStr"/>
      <c r="V479" s="6" t="n"/>
      <c r="W479" s="6" t="n"/>
      <c r="X479" s="6" t="n"/>
    </row>
    <row r="480" ht="14" customHeight="1" s="250">
      <c r="A480" s="4" t="inlineStr">
        <is>
          <t>begin group</t>
        </is>
      </c>
      <c r="B480" s="5" t="inlineStr">
        <is>
          <t>mm_create_attestation</t>
        </is>
      </c>
      <c r="C480" s="4" t="inlineStr">
        <is>
          <t>Create MethodMesh attestation</t>
        </is>
      </c>
      <c r="D480" s="4" t="inlineStr">
        <is>
          <t>This signs the frozen study-data commitment.</t>
        </is>
      </c>
      <c r="E480" s="4" t="inlineStr"/>
      <c r="F480" s="4" t="inlineStr">
        <is>
          <t>string-length(${mm_event_payload_hash}) = 64 and ${mm_current_data_matches_frozen_commitment} = 'true'</t>
        </is>
      </c>
      <c r="G480" s="4" t="inlineStr">
        <is>
          <t>field-list</t>
        </is>
      </c>
      <c r="H480" s="4" t="n"/>
      <c r="I480" s="4" t="inlineStr"/>
      <c r="J480" s="4" t="inlineStr"/>
      <c r="K480" s="4" t="inlineStr"/>
      <c r="L480" s="4" t="n"/>
      <c r="M480" s="4" t="n"/>
      <c r="N480" s="4" t="n"/>
      <c r="O480" s="4" t="n"/>
      <c r="P480" s="4" t="n"/>
      <c r="Q480" s="4" t="n"/>
      <c r="R480" s="4" t="n"/>
      <c r="S480" s="4" t="n"/>
      <c r="T480" s="6" t="inlineStr"/>
      <c r="U480" s="6" t="inlineStr">
        <is>
          <t>com.example.methodmesh.EXECUTE_METHOD(method_id='attestation.create',caller='odk',form_id=${mm_form_id},form_version=${mm_form_version},form_instance_id=${mm_workflow_instance_id},operator_id=${mm_auth_credential_subject_id},input_event_type='odk_form_commitment',input_event_payload_hash=${mm_event_payload_hash},input_commitment_recipe=${mm_commitment_recipe},input_attestation_method_version='1.2.0',input_attestation_schema_version='4',input_verification_method='NfcCredential',input_verification_execution_id=${mm_auth_methodmesh_execution_id},input_trusted_timestamp=${mm_timestamp_policy},input_payload_mode='FULL',return_mode='flat',methodmesh_return_namespace='mm_att')</t>
        </is>
      </c>
      <c r="V480" s="6" t="n"/>
      <c r="W480" s="6" t="n"/>
      <c r="X480" s="6" t="n"/>
    </row>
    <row r="481" ht="14" customHeight="1" s="250">
      <c r="A481" s="4" t="inlineStr">
        <is>
          <t>text</t>
        </is>
      </c>
      <c r="B481" s="5" t="inlineStr">
        <is>
          <t>mm_att_methodmesh_execution_id</t>
        </is>
      </c>
      <c r="C481" s="4" t="inlineStr">
        <is>
          <t>MethodMesh attestation return: methodmesh_execution_id</t>
        </is>
      </c>
      <c r="D481" s="4" t="inlineStr"/>
      <c r="E481" s="4" t="inlineStr"/>
      <c r="F481" s="4" t="inlineStr"/>
      <c r="G481" s="4" t="inlineStr">
        <is>
          <t>hidden-answer</t>
        </is>
      </c>
      <c r="H481" s="4" t="n"/>
      <c r="I481" s="4" t="inlineStr"/>
      <c r="J481" s="4" t="inlineStr"/>
      <c r="K481" s="4" t="inlineStr"/>
      <c r="L481" s="4" t="n"/>
      <c r="M481" s="4" t="n"/>
      <c r="N481" s="4" t="n"/>
      <c r="O481" s="4" t="n"/>
      <c r="P481" s="4" t="n"/>
      <c r="Q481" s="4" t="n"/>
      <c r="R481" s="4" t="n"/>
      <c r="S481" s="4" t="n"/>
      <c r="T481" s="6" t="inlineStr">
        <is>
          <t>yes</t>
        </is>
      </c>
      <c r="U481" s="6" t="inlineStr"/>
      <c r="V481" s="6" t="n"/>
      <c r="W481" s="6" t="n"/>
      <c r="X481" s="6" t="n"/>
    </row>
    <row r="482" ht="14" customHeight="1" s="250">
      <c r="A482" s="4" t="inlineStr">
        <is>
          <t>text</t>
        </is>
      </c>
      <c r="B482" s="5" t="inlineStr">
        <is>
          <t>mm_att_methodmesh_status</t>
        </is>
      </c>
      <c r="C482" s="4" t="inlineStr">
        <is>
          <t>MethodMesh attestation return: methodmesh_status</t>
        </is>
      </c>
      <c r="D482" s="4" t="inlineStr"/>
      <c r="E482" s="4" t="inlineStr"/>
      <c r="F482" s="4" t="inlineStr"/>
      <c r="G482" s="4" t="inlineStr">
        <is>
          <t>hidden-answer</t>
        </is>
      </c>
      <c r="H482" s="4" t="n"/>
      <c r="I482" s="4" t="inlineStr"/>
      <c r="J482" s="4" t="inlineStr"/>
      <c r="K482" s="4" t="inlineStr"/>
      <c r="L482" s="4" t="n"/>
      <c r="M482" s="4" t="n"/>
      <c r="N482" s="4" t="n"/>
      <c r="O482" s="4" t="n"/>
      <c r="P482" s="4" t="n"/>
      <c r="Q482" s="4" t="n"/>
      <c r="R482" s="4" t="n"/>
      <c r="S482" s="4" t="n"/>
      <c r="T482" s="6" t="inlineStr">
        <is>
          <t>yes</t>
        </is>
      </c>
      <c r="U482" s="6" t="inlineStr"/>
      <c r="V482" s="6" t="n"/>
      <c r="W482" s="6" t="n"/>
      <c r="X482" s="6" t="n"/>
    </row>
    <row r="483" ht="14" customHeight="1" s="250">
      <c r="A483" s="4" t="inlineStr">
        <is>
          <t>text</t>
        </is>
      </c>
      <c r="B483" s="5" t="inlineStr">
        <is>
          <t>mm_att_attestation_id</t>
        </is>
      </c>
      <c r="C483" s="4" t="inlineStr">
        <is>
          <t>MethodMesh attestation return: attestation_id</t>
        </is>
      </c>
      <c r="D483" s="4" t="inlineStr"/>
      <c r="E483" s="4" t="inlineStr"/>
      <c r="F483" s="4" t="inlineStr"/>
      <c r="G483" s="4" t="inlineStr">
        <is>
          <t>hidden-answer</t>
        </is>
      </c>
      <c r="H483" s="4" t="n"/>
      <c r="I483" s="4" t="inlineStr"/>
      <c r="J483" s="4" t="inlineStr"/>
      <c r="K483" s="4" t="inlineStr"/>
      <c r="L483" s="4" t="n"/>
      <c r="M483" s="4" t="n"/>
      <c r="N483" s="4" t="n"/>
      <c r="O483" s="4" t="n"/>
      <c r="P483" s="4" t="n"/>
      <c r="Q483" s="4" t="n"/>
      <c r="R483" s="4" t="n"/>
      <c r="S483" s="4" t="n"/>
      <c r="T483" s="6" t="inlineStr">
        <is>
          <t>yes</t>
        </is>
      </c>
      <c r="U483" s="6" t="inlineStr"/>
      <c r="V483" s="6" t="n"/>
      <c r="W483" s="6" t="n"/>
      <c r="X483" s="6" t="n"/>
    </row>
    <row r="484" ht="14" customHeight="1" s="250">
      <c r="A484" s="4" t="inlineStr">
        <is>
          <t>text</t>
        </is>
      </c>
      <c r="B484" s="5" t="inlineStr">
        <is>
          <t>mm_att_event_payload_hash</t>
        </is>
      </c>
      <c r="C484" s="4" t="inlineStr">
        <is>
          <t>MethodMesh attestation return: event_payload_hash</t>
        </is>
      </c>
      <c r="D484" s="4" t="inlineStr"/>
      <c r="E484" s="4" t="inlineStr"/>
      <c r="F484" s="4" t="inlineStr"/>
      <c r="G484" s="4" t="inlineStr">
        <is>
          <t>hidden-answer</t>
        </is>
      </c>
      <c r="H484" s="4" t="n"/>
      <c r="I484" s="4" t="inlineStr"/>
      <c r="J484" s="4" t="inlineStr"/>
      <c r="K484" s="4" t="inlineStr"/>
      <c r="L484" s="4" t="n"/>
      <c r="M484" s="4" t="n"/>
      <c r="N484" s="4" t="n"/>
      <c r="O484" s="4" t="n"/>
      <c r="P484" s="4" t="n"/>
      <c r="Q484" s="4" t="n"/>
      <c r="R484" s="4" t="n"/>
      <c r="S484" s="4" t="n"/>
      <c r="T484" s="6" t="inlineStr">
        <is>
          <t>yes</t>
        </is>
      </c>
      <c r="U484" s="6" t="inlineStr"/>
      <c r="V484" s="6" t="n"/>
      <c r="W484" s="6" t="n"/>
      <c r="X484" s="6" t="n"/>
    </row>
    <row r="485" ht="14" customHeight="1" s="250">
      <c r="A485" s="4" t="inlineStr">
        <is>
          <t>text</t>
        </is>
      </c>
      <c r="B485" s="5" t="inlineStr">
        <is>
          <t>mm_att_attestation_schema_version</t>
        </is>
      </c>
      <c r="C485" s="4" t="inlineStr">
        <is>
          <t>MethodMesh attestation return: attestation_schema_version</t>
        </is>
      </c>
      <c r="D485" s="4" t="inlineStr"/>
      <c r="E485" s="4" t="inlineStr"/>
      <c r="F485" s="4" t="inlineStr"/>
      <c r="G485" s="4" t="inlineStr">
        <is>
          <t>hidden-answer</t>
        </is>
      </c>
      <c r="H485" s="4" t="n"/>
      <c r="I485" s="4" t="inlineStr"/>
      <c r="J485" s="4" t="inlineStr"/>
      <c r="K485" s="4" t="inlineStr"/>
      <c r="L485" s="4" t="n"/>
      <c r="M485" s="4" t="n"/>
      <c r="N485" s="4" t="n"/>
      <c r="O485" s="4" t="n"/>
      <c r="P485" s="4" t="n"/>
      <c r="Q485" s="4" t="n"/>
      <c r="R485" s="4" t="n"/>
      <c r="S485" s="4" t="n"/>
      <c r="T485" s="6" t="inlineStr">
        <is>
          <t>yes</t>
        </is>
      </c>
      <c r="U485" s="6" t="inlineStr"/>
      <c r="V485" s="6" t="n"/>
      <c r="W485" s="6" t="n"/>
      <c r="X485" s="6" t="n"/>
    </row>
    <row r="486" ht="14" customHeight="1" s="250">
      <c r="A486" s="4" t="inlineStr">
        <is>
          <t>text</t>
        </is>
      </c>
      <c r="B486" s="5" t="inlineStr">
        <is>
          <t>mm_att_commitment_recipe</t>
        </is>
      </c>
      <c r="C486" s="4" t="inlineStr">
        <is>
          <t>MethodMesh attestation return: commitment_recipe</t>
        </is>
      </c>
      <c r="D486" s="4" t="inlineStr"/>
      <c r="E486" s="4" t="inlineStr"/>
      <c r="F486" s="4" t="inlineStr"/>
      <c r="G486" s="4" t="inlineStr">
        <is>
          <t>hidden-answer</t>
        </is>
      </c>
      <c r="H486" s="4" t="n"/>
      <c r="I486" s="4" t="inlineStr"/>
      <c r="J486" s="4" t="inlineStr"/>
      <c r="K486" s="4" t="inlineStr"/>
      <c r="L486" s="4" t="n"/>
      <c r="M486" s="4" t="n"/>
      <c r="N486" s="4" t="n"/>
      <c r="O486" s="4" t="n"/>
      <c r="P486" s="4" t="n"/>
      <c r="Q486" s="4" t="n"/>
      <c r="R486" s="4" t="n"/>
      <c r="S486" s="4" t="n"/>
      <c r="T486" s="6" t="inlineStr">
        <is>
          <t>yes</t>
        </is>
      </c>
      <c r="U486" s="6" t="inlineStr"/>
      <c r="V486" s="6" t="n"/>
      <c r="W486" s="6" t="n"/>
      <c r="X486" s="6" t="n"/>
    </row>
    <row r="487" ht="14" customHeight="1" s="250">
      <c r="A487" s="4" t="inlineStr">
        <is>
          <t>text</t>
        </is>
      </c>
      <c r="B487" s="5" t="inlineStr">
        <is>
          <t>mm_att_commitment_recipe_sha256</t>
        </is>
      </c>
      <c r="C487" s="4" t="inlineStr">
        <is>
          <t>MethodMesh attestation return: commitment_recipe_sha256</t>
        </is>
      </c>
      <c r="D487" s="4" t="inlineStr"/>
      <c r="E487" s="4" t="inlineStr"/>
      <c r="F487" s="4" t="inlineStr"/>
      <c r="G487" s="4" t="inlineStr">
        <is>
          <t>hidden-answer</t>
        </is>
      </c>
      <c r="H487" s="4" t="n"/>
      <c r="I487" s="4" t="inlineStr"/>
      <c r="J487" s="4" t="inlineStr"/>
      <c r="K487" s="4" t="inlineStr"/>
      <c r="L487" s="4" t="n"/>
      <c r="M487" s="4" t="n"/>
      <c r="N487" s="4" t="n"/>
      <c r="O487" s="4" t="n"/>
      <c r="P487" s="4" t="n"/>
      <c r="Q487" s="4" t="n"/>
      <c r="R487" s="4" t="n"/>
      <c r="S487" s="4" t="n"/>
      <c r="T487" s="6" t="inlineStr">
        <is>
          <t>yes</t>
        </is>
      </c>
      <c r="U487" s="6" t="inlineStr"/>
      <c r="V487" s="6" t="n"/>
      <c r="W487" s="6" t="n"/>
      <c r="X487" s="6" t="n"/>
    </row>
    <row r="488" ht="14" customHeight="1" s="250">
      <c r="A488" s="4" t="inlineStr">
        <is>
          <t>text</t>
        </is>
      </c>
      <c r="B488" s="5" t="inlineStr">
        <is>
          <t>mm_att_verification_method</t>
        </is>
      </c>
      <c r="C488" s="4" t="inlineStr">
        <is>
          <t>MethodMesh attestation return: verification_method</t>
        </is>
      </c>
      <c r="D488" s="4" t="inlineStr"/>
      <c r="E488" s="4" t="inlineStr"/>
      <c r="F488" s="4" t="inlineStr"/>
      <c r="G488" s="4" t="inlineStr">
        <is>
          <t>hidden-answer</t>
        </is>
      </c>
      <c r="H488" s="4" t="n"/>
      <c r="I488" s="4" t="inlineStr"/>
      <c r="J488" s="4" t="inlineStr"/>
      <c r="K488" s="4" t="inlineStr"/>
      <c r="L488" s="4" t="n"/>
      <c r="M488" s="4" t="n"/>
      <c r="N488" s="4" t="n"/>
      <c r="O488" s="4" t="n"/>
      <c r="P488" s="4" t="n"/>
      <c r="Q488" s="4" t="n"/>
      <c r="R488" s="4" t="n"/>
      <c r="S488" s="4" t="n"/>
      <c r="T488" s="6" t="inlineStr">
        <is>
          <t>yes</t>
        </is>
      </c>
      <c r="U488" s="6" t="inlineStr"/>
      <c r="V488" s="6" t="n"/>
      <c r="W488" s="6" t="n"/>
      <c r="X488" s="6" t="n"/>
    </row>
    <row r="489" ht="14" customHeight="1" s="250">
      <c r="A489" s="4" t="inlineStr">
        <is>
          <t>text</t>
        </is>
      </c>
      <c r="B489" s="5" t="inlineStr">
        <is>
          <t>mm_att_verification_evidence_format</t>
        </is>
      </c>
      <c r="C489" s="4" t="inlineStr">
        <is>
          <t>MethodMesh attestation return: verification_evidence_format</t>
        </is>
      </c>
      <c r="D489" s="4" t="inlineStr"/>
      <c r="E489" s="4" t="inlineStr"/>
      <c r="F489" s="4" t="inlineStr"/>
      <c r="G489" s="4" t="inlineStr">
        <is>
          <t>hidden-answer</t>
        </is>
      </c>
      <c r="H489" s="4" t="n"/>
      <c r="I489" s="4" t="inlineStr"/>
      <c r="J489" s="4" t="inlineStr"/>
      <c r="K489" s="4" t="inlineStr"/>
      <c r="L489" s="4" t="n"/>
      <c r="M489" s="4" t="n"/>
      <c r="N489" s="4" t="n"/>
      <c r="O489" s="4" t="n"/>
      <c r="P489" s="4" t="n"/>
      <c r="Q489" s="4" t="n"/>
      <c r="R489" s="4" t="n"/>
      <c r="S489" s="4" t="n"/>
      <c r="T489" s="6" t="inlineStr">
        <is>
          <t>yes</t>
        </is>
      </c>
      <c r="U489" s="6" t="inlineStr"/>
      <c r="V489" s="6" t="n"/>
      <c r="W489" s="6" t="n"/>
      <c r="X489" s="6" t="n"/>
    </row>
    <row r="490" ht="14" customHeight="1" s="250">
      <c r="A490" s="4" t="inlineStr">
        <is>
          <t>text</t>
        </is>
      </c>
      <c r="B490" s="5" t="inlineStr">
        <is>
          <t>mm_att_verification_evidence_hash</t>
        </is>
      </c>
      <c r="C490" s="4" t="inlineStr">
        <is>
          <t>MethodMesh attestation return: verification_evidence_hash</t>
        </is>
      </c>
      <c r="D490" s="4" t="inlineStr"/>
      <c r="E490" s="4" t="inlineStr"/>
      <c r="F490" s="4" t="inlineStr"/>
      <c r="G490" s="4" t="inlineStr">
        <is>
          <t>hidden-answer</t>
        </is>
      </c>
      <c r="H490" s="4" t="n"/>
      <c r="I490" s="4" t="inlineStr"/>
      <c r="J490" s="4" t="inlineStr"/>
      <c r="K490" s="4" t="inlineStr"/>
      <c r="L490" s="4" t="n"/>
      <c r="M490" s="4" t="n"/>
      <c r="N490" s="4" t="n"/>
      <c r="O490" s="4" t="n"/>
      <c r="P490" s="4" t="n"/>
      <c r="Q490" s="4" t="n"/>
      <c r="R490" s="4" t="n"/>
      <c r="S490" s="4" t="n"/>
      <c r="T490" s="6" t="inlineStr">
        <is>
          <t>yes</t>
        </is>
      </c>
      <c r="U490" s="6" t="inlineStr"/>
      <c r="V490" s="6" t="n"/>
      <c r="W490" s="6" t="n"/>
      <c r="X490" s="6" t="n"/>
    </row>
    <row r="491" ht="14" customHeight="1" s="250">
      <c r="A491" s="4" t="inlineStr">
        <is>
          <t>text</t>
        </is>
      </c>
      <c r="B491" s="5" t="inlineStr">
        <is>
          <t>mm_att_attestation_hash</t>
        </is>
      </c>
      <c r="C491" s="4" t="inlineStr">
        <is>
          <t>MethodMesh attestation return: attestation_hash</t>
        </is>
      </c>
      <c r="D491" s="4" t="inlineStr"/>
      <c r="E491" s="4" t="inlineStr"/>
      <c r="F491" s="4" t="inlineStr"/>
      <c r="G491" s="4" t="inlineStr">
        <is>
          <t>hidden-answer</t>
        </is>
      </c>
      <c r="H491" s="4" t="n"/>
      <c r="I491" s="4" t="inlineStr"/>
      <c r="J491" s="4" t="inlineStr"/>
      <c r="K491" s="4" t="inlineStr"/>
      <c r="L491" s="4" t="n"/>
      <c r="M491" s="4" t="n"/>
      <c r="N491" s="4" t="n"/>
      <c r="O491" s="4" t="n"/>
      <c r="P491" s="4" t="n"/>
      <c r="Q491" s="4" t="n"/>
      <c r="R491" s="4" t="n"/>
      <c r="S491" s="4" t="n"/>
      <c r="T491" s="6" t="inlineStr">
        <is>
          <t>yes</t>
        </is>
      </c>
      <c r="U491" s="6" t="inlineStr"/>
      <c r="V491" s="6" t="n"/>
      <c r="W491" s="6" t="n"/>
      <c r="X491" s="6" t="n"/>
    </row>
    <row r="492" ht="14" customHeight="1" s="250">
      <c r="A492" s="4" t="inlineStr">
        <is>
          <t>text</t>
        </is>
      </c>
      <c r="B492" s="5" t="inlineStr">
        <is>
          <t>mm_att_hash_algorithm</t>
        </is>
      </c>
      <c r="C492" s="4" t="inlineStr">
        <is>
          <t>MethodMesh attestation return: hash_algorithm</t>
        </is>
      </c>
      <c r="D492" s="4" t="inlineStr"/>
      <c r="E492" s="4" t="inlineStr"/>
      <c r="F492" s="4" t="inlineStr"/>
      <c r="G492" s="4" t="inlineStr">
        <is>
          <t>hidden-answer</t>
        </is>
      </c>
      <c r="H492" s="4" t="n"/>
      <c r="I492" s="4" t="inlineStr"/>
      <c r="J492" s="4" t="inlineStr"/>
      <c r="K492" s="4" t="inlineStr"/>
      <c r="L492" s="4" t="n"/>
      <c r="M492" s="4" t="n"/>
      <c r="N492" s="4" t="n"/>
      <c r="O492" s="4" t="n"/>
      <c r="P492" s="4" t="n"/>
      <c r="Q492" s="4" t="n"/>
      <c r="R492" s="4" t="n"/>
      <c r="S492" s="4" t="n"/>
      <c r="T492" s="6" t="inlineStr">
        <is>
          <t>yes</t>
        </is>
      </c>
      <c r="U492" s="6" t="inlineStr"/>
      <c r="V492" s="6" t="n"/>
      <c r="W492" s="6" t="n"/>
      <c r="X492" s="6" t="n"/>
    </row>
    <row r="493" ht="14" customHeight="1" s="250">
      <c r="A493" s="4" t="inlineStr">
        <is>
          <t>text</t>
        </is>
      </c>
      <c r="B493" s="5" t="inlineStr">
        <is>
          <t>mm_att_public_key_id</t>
        </is>
      </c>
      <c r="C493" s="4" t="inlineStr">
        <is>
          <t>MethodMesh attestation return: public_key_id</t>
        </is>
      </c>
      <c r="D493" s="4" t="inlineStr"/>
      <c r="E493" s="4" t="inlineStr"/>
      <c r="F493" s="4" t="inlineStr"/>
      <c r="G493" s="4" t="inlineStr">
        <is>
          <t>hidden-answer</t>
        </is>
      </c>
      <c r="H493" s="4" t="n"/>
      <c r="I493" s="4" t="inlineStr"/>
      <c r="J493" s="4" t="inlineStr"/>
      <c r="K493" s="4" t="inlineStr"/>
      <c r="L493" s="4" t="n"/>
      <c r="M493" s="4" t="n"/>
      <c r="N493" s="4" t="n"/>
      <c r="O493" s="4" t="n"/>
      <c r="P493" s="4" t="n"/>
      <c r="Q493" s="4" t="n"/>
      <c r="R493" s="4" t="n"/>
      <c r="S493" s="4" t="n"/>
      <c r="T493" s="6" t="inlineStr">
        <is>
          <t>yes</t>
        </is>
      </c>
      <c r="U493" s="6" t="inlineStr"/>
      <c r="V493" s="6" t="n"/>
      <c r="W493" s="6" t="n"/>
      <c r="X493" s="6" t="n"/>
    </row>
    <row r="494" ht="14" customHeight="1" s="250">
      <c r="A494" s="4" t="inlineStr">
        <is>
          <t>text</t>
        </is>
      </c>
      <c r="B494" s="5" t="inlineStr">
        <is>
          <t>mm_att_signature</t>
        </is>
      </c>
      <c r="C494" s="4" t="inlineStr">
        <is>
          <t>MethodMesh attestation return: signature</t>
        </is>
      </c>
      <c r="D494" s="4" t="inlineStr"/>
      <c r="E494" s="4" t="inlineStr"/>
      <c r="F494" s="4" t="inlineStr"/>
      <c r="G494" s="4" t="inlineStr">
        <is>
          <t>hidden-answer</t>
        </is>
      </c>
      <c r="H494" s="4" t="n"/>
      <c r="I494" s="4" t="inlineStr"/>
      <c r="J494" s="4" t="inlineStr"/>
      <c r="K494" s="4" t="inlineStr"/>
      <c r="L494" s="4" t="n"/>
      <c r="M494" s="4" t="n"/>
      <c r="N494" s="4" t="n"/>
      <c r="O494" s="4" t="n"/>
      <c r="P494" s="4" t="n"/>
      <c r="Q494" s="4" t="n"/>
      <c r="R494" s="4" t="n"/>
      <c r="S494" s="4" t="n"/>
      <c r="T494" s="6" t="inlineStr">
        <is>
          <t>yes</t>
        </is>
      </c>
      <c r="U494" s="6" t="inlineStr"/>
      <c r="V494" s="6" t="n"/>
      <c r="W494" s="6" t="n"/>
      <c r="X494" s="6" t="n"/>
    </row>
    <row r="495" ht="14" customHeight="1" s="250">
      <c r="A495" s="4" t="inlineStr">
        <is>
          <t>text</t>
        </is>
      </c>
      <c r="B495" s="5" t="inlineStr">
        <is>
          <t>mm_att_signature_algorithm</t>
        </is>
      </c>
      <c r="C495" s="4" t="inlineStr">
        <is>
          <t>MethodMesh attestation return: signature_algorithm</t>
        </is>
      </c>
      <c r="D495" s="4" t="inlineStr"/>
      <c r="E495" s="4" t="inlineStr"/>
      <c r="F495" s="4" t="inlineStr"/>
      <c r="G495" s="4" t="inlineStr">
        <is>
          <t>hidden-answer</t>
        </is>
      </c>
      <c r="H495" s="4" t="n"/>
      <c r="I495" s="4" t="inlineStr"/>
      <c r="J495" s="4" t="inlineStr"/>
      <c r="K495" s="4" t="inlineStr"/>
      <c r="L495" s="4" t="n"/>
      <c r="M495" s="4" t="n"/>
      <c r="N495" s="4" t="n"/>
      <c r="O495" s="4" t="n"/>
      <c r="P495" s="4" t="n"/>
      <c r="Q495" s="4" t="n"/>
      <c r="R495" s="4" t="n"/>
      <c r="S495" s="4" t="n"/>
      <c r="T495" s="6" t="inlineStr">
        <is>
          <t>yes</t>
        </is>
      </c>
      <c r="U495" s="6" t="inlineStr"/>
      <c r="V495" s="6" t="n"/>
      <c r="W495" s="6" t="n"/>
      <c r="X495" s="6" t="n"/>
    </row>
    <row r="496" ht="14" customHeight="1" s="250">
      <c r="A496" s="4" t="inlineStr">
        <is>
          <t>text</t>
        </is>
      </c>
      <c r="B496" s="5" t="inlineStr">
        <is>
          <t>mm_att_trusted_timestamp_policy</t>
        </is>
      </c>
      <c r="C496" s="4" t="inlineStr">
        <is>
          <t>MethodMesh attestation return: trusted_timestamp_policy</t>
        </is>
      </c>
      <c r="D496" s="4" t="inlineStr"/>
      <c r="E496" s="4" t="inlineStr"/>
      <c r="F496" s="4" t="inlineStr"/>
      <c r="G496" s="4" t="inlineStr">
        <is>
          <t>hidden-answer</t>
        </is>
      </c>
      <c r="H496" s="4" t="n"/>
      <c r="I496" s="4" t="inlineStr"/>
      <c r="J496" s="4" t="inlineStr"/>
      <c r="K496" s="4" t="inlineStr"/>
      <c r="L496" s="4" t="n"/>
      <c r="M496" s="4" t="n"/>
      <c r="N496" s="4" t="n"/>
      <c r="O496" s="4" t="n"/>
      <c r="P496" s="4" t="n"/>
      <c r="Q496" s="4" t="n"/>
      <c r="R496" s="4" t="n"/>
      <c r="S496" s="4" t="n"/>
      <c r="T496" s="6" t="inlineStr">
        <is>
          <t>yes</t>
        </is>
      </c>
      <c r="U496" s="6" t="inlineStr"/>
      <c r="V496" s="6" t="n"/>
      <c r="W496" s="6" t="n"/>
      <c r="X496" s="6" t="n"/>
    </row>
    <row r="497" ht="14" customHeight="1" s="250">
      <c r="A497" s="4" t="inlineStr">
        <is>
          <t>text</t>
        </is>
      </c>
      <c r="B497" s="5" t="inlineStr">
        <is>
          <t>mm_att_trusted_timestamp_status</t>
        </is>
      </c>
      <c r="C497" s="4" t="inlineStr">
        <is>
          <t>MethodMesh attestation return: trusted_timestamp_status</t>
        </is>
      </c>
      <c r="D497" s="4" t="inlineStr"/>
      <c r="E497" s="4" t="inlineStr"/>
      <c r="F497" s="4" t="inlineStr"/>
      <c r="G497" s="4" t="inlineStr">
        <is>
          <t>hidden-answer</t>
        </is>
      </c>
      <c r="H497" s="4" t="n"/>
      <c r="I497" s="4" t="inlineStr"/>
      <c r="J497" s="4" t="inlineStr"/>
      <c r="K497" s="4" t="inlineStr"/>
      <c r="L497" s="4" t="n"/>
      <c r="M497" s="4" t="n"/>
      <c r="N497" s="4" t="n"/>
      <c r="O497" s="4" t="n"/>
      <c r="P497" s="4" t="n"/>
      <c r="Q497" s="4" t="n"/>
      <c r="R497" s="4" t="n"/>
      <c r="S497" s="4" t="n"/>
      <c r="T497" s="6" t="inlineStr">
        <is>
          <t>yes</t>
        </is>
      </c>
      <c r="U497" s="6" t="inlineStr"/>
      <c r="V497" s="6" t="n"/>
      <c r="W497" s="6" t="n"/>
      <c r="X497" s="6" t="n"/>
    </row>
    <row r="498" ht="14" customHeight="1" s="250">
      <c r="A498" s="4" t="inlineStr">
        <is>
          <t>text</t>
        </is>
      </c>
      <c r="B498" s="5" t="inlineStr">
        <is>
          <t>mm_att_trusted_timestamp_authority</t>
        </is>
      </c>
      <c r="C498" s="4" t="inlineStr">
        <is>
          <t>MethodMesh attestation return: trusted_timestamp_authority</t>
        </is>
      </c>
      <c r="D498" s="4" t="inlineStr"/>
      <c r="E498" s="4" t="inlineStr"/>
      <c r="F498" s="4" t="inlineStr"/>
      <c r="G498" s="4" t="inlineStr">
        <is>
          <t>hidden-answer</t>
        </is>
      </c>
      <c r="H498" s="4" t="n"/>
      <c r="I498" s="4" t="inlineStr"/>
      <c r="J498" s="4" t="inlineStr"/>
      <c r="K498" s="4" t="inlineStr"/>
      <c r="L498" s="4" t="n"/>
      <c r="M498" s="4" t="n"/>
      <c r="N498" s="4" t="n"/>
      <c r="O498" s="4" t="n"/>
      <c r="P498" s="4" t="n"/>
      <c r="Q498" s="4" t="n"/>
      <c r="R498" s="4" t="n"/>
      <c r="S498" s="4" t="n"/>
      <c r="T498" s="6" t="inlineStr">
        <is>
          <t>yes</t>
        </is>
      </c>
      <c r="U498" s="6" t="inlineStr"/>
      <c r="V498" s="6" t="n"/>
      <c r="W498" s="6" t="n"/>
      <c r="X498" s="6" t="n"/>
    </row>
    <row r="499" ht="14" customHeight="1" s="250">
      <c r="A499" s="4" t="inlineStr">
        <is>
          <t>text</t>
        </is>
      </c>
      <c r="B499" s="5" t="inlineStr">
        <is>
          <t>mm_att_trusted_timestamp_time_iso</t>
        </is>
      </c>
      <c r="C499" s="4" t="inlineStr">
        <is>
          <t>MethodMesh attestation return: trusted_timestamp_time_iso</t>
        </is>
      </c>
      <c r="D499" s="4" t="inlineStr"/>
      <c r="E499" s="4" t="inlineStr"/>
      <c r="F499" s="4" t="inlineStr"/>
      <c r="G499" s="4" t="inlineStr">
        <is>
          <t>hidden-answer</t>
        </is>
      </c>
      <c r="H499" s="4" t="n"/>
      <c r="I499" s="4" t="inlineStr"/>
      <c r="J499" s="4" t="inlineStr"/>
      <c r="K499" s="4" t="inlineStr"/>
      <c r="L499" s="4" t="n"/>
      <c r="M499" s="4" t="n"/>
      <c r="N499" s="4" t="n"/>
      <c r="O499" s="4" t="n"/>
      <c r="P499" s="4" t="n"/>
      <c r="Q499" s="4" t="n"/>
      <c r="R499" s="4" t="n"/>
      <c r="S499" s="4" t="n"/>
      <c r="T499" s="6" t="inlineStr">
        <is>
          <t>yes</t>
        </is>
      </c>
      <c r="U499" s="6" t="inlineStr"/>
      <c r="V499" s="6" t="n"/>
      <c r="W499" s="6" t="n"/>
      <c r="X499" s="6" t="n"/>
    </row>
    <row r="500">
      <c r="A500" t="inlineStr">
        <is>
          <t>text</t>
        </is>
      </c>
      <c r="B500" t="inlineStr">
        <is>
          <t>mm_att_diagnostic_reason</t>
        </is>
      </c>
      <c r="C500" t="inlineStr">
        <is>
          <t>MethodMesh attestation return: diagnostic_reason</t>
        </is>
      </c>
      <c r="D500" t="inlineStr"/>
      <c r="E500" t="inlineStr"/>
      <c r="F500" t="inlineStr"/>
      <c r="G500" t="inlineStr">
        <is>
          <t>hidden-answer</t>
        </is>
      </c>
      <c r="I500" t="inlineStr"/>
      <c r="J500" t="inlineStr"/>
      <c r="K500" t="inlineStr"/>
      <c r="T500" t="inlineStr">
        <is>
          <t>yes</t>
        </is>
      </c>
      <c r="U500" t="inlineStr"/>
    </row>
    <row r="501">
      <c r="A501" t="inlineStr">
        <is>
          <t>text</t>
        </is>
      </c>
      <c r="B501" t="inlineStr">
        <is>
          <t>mm_att_attestation_full_json</t>
        </is>
      </c>
      <c r="C501" t="inlineStr">
        <is>
          <t>MethodMesh attestation return: attestation_full_json</t>
        </is>
      </c>
      <c r="D501" t="inlineStr"/>
      <c r="E501" t="inlineStr"/>
      <c r="F501" t="inlineStr"/>
      <c r="G501" t="inlineStr">
        <is>
          <t>hidden-answer</t>
        </is>
      </c>
      <c r="I501" t="inlineStr"/>
      <c r="J501" t="inlineStr"/>
      <c r="K501" t="inlineStr"/>
      <c r="T501" t="inlineStr">
        <is>
          <t>yes</t>
        </is>
      </c>
      <c r="U501" t="inlineStr"/>
    </row>
    <row r="502">
      <c r="A502" t="inlineStr">
        <is>
          <t>end group</t>
        </is>
      </c>
      <c r="B502" t="inlineStr">
        <is>
          <t>mm_create_attestation_end</t>
        </is>
      </c>
      <c r="C502" t="inlineStr"/>
      <c r="D502" t="inlineStr"/>
      <c r="E502" t="inlineStr"/>
      <c r="F502" t="inlineStr"/>
      <c r="G502" t="inlineStr"/>
      <c r="I502" t="inlineStr"/>
      <c r="J502" t="inlineStr"/>
      <c r="K502" t="inlineStr"/>
      <c r="T502" t="inlineStr"/>
      <c r="U502" t="inlineStr"/>
    </row>
    <row r="503">
      <c r="A503" t="inlineStr">
        <is>
          <t>calculate</t>
        </is>
      </c>
      <c r="B503" t="inlineStr">
        <is>
          <t>mm_ready_to_submit</t>
        </is>
      </c>
      <c r="C503" t="inlineStr"/>
      <c r="D503" t="inlineStr"/>
      <c r="E503" t="inlineStr"/>
      <c r="F503" t="inlineStr"/>
      <c r="G503" t="inlineStr">
        <is>
          <t>hidden-answer</t>
        </is>
      </c>
      <c r="I503" t="inlineStr"/>
      <c r="J503" t="inlineStr"/>
      <c r="K503" t="inlineStr">
        <is>
          <t>if(${mm_att_methodmesh_status} = 'Succeeded' and ${mm_att_event_payload_hash} = ${mm_event_payload_hash} and string-length(${mm_att_attestation_hash}) = 64, 'true', 'false')</t>
        </is>
      </c>
      <c r="T503" t="inlineStr"/>
      <c r="U503" t="inlineStr"/>
    </row>
    <row r="504">
      <c r="A504" t="inlineStr">
        <is>
          <t>select_one mm_yes</t>
        </is>
      </c>
      <c r="B504" t="inlineStr">
        <is>
          <t>mm_submission_guard</t>
        </is>
      </c>
      <c r="C504" t="inlineStr">
        <is>
          <t>Confirm attestation verified</t>
        </is>
      </c>
      <c r="D504" t="inlineStr"/>
      <c r="E504" t="inlineStr">
        <is>
          <t>yes</t>
        </is>
      </c>
      <c r="F504" t="inlineStr">
        <is>
          <t>${mm_finalize_for_attestation} = 'yes'</t>
        </is>
      </c>
      <c r="G504" t="inlineStr"/>
      <c r="I504" t="inlineStr">
        <is>
          <t>${mm_ready_to_submit} = 'true' and . = 'yes'</t>
        </is>
      </c>
      <c r="J504" t="inlineStr">
        <is>
          <t>MethodMesh attestation is incomplete or the data no longer match the frozen commitment.</t>
        </is>
      </c>
      <c r="K504" t="inlineStr"/>
      <c r="T504" t="inlineStr"/>
      <c r="U504" t="inlineStr"/>
    </row>
  </sheetData>
  <conditionalFormatting sqref="A1:X499">
    <cfRule type="expression" priority="2" dxfId="13">
      <formula>OR($A1="begin group", $A1="begin_group", $A1="end group", $A1="end_group")</formula>
    </cfRule>
    <cfRule type="expression" priority="3" dxfId="11">
      <formula>OR($A1="begin repeat", $A1="begin_repeat", $A1="end repeat", $A1="end_repeat")</formula>
    </cfRule>
  </conditionalFormatting>
  <conditionalFormatting sqref="A2:X499">
    <cfRule type="expression" priority="1" dxfId="10">
      <formula>MOD(ROW(),2)=0</formula>
    </cfRule>
  </conditionalFormatting>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tabColor rgb="FF009ECC"/>
    <outlinePr summaryBelow="0" summaryRight="0"/>
    <pageSetUpPr/>
  </sheetPr>
  <dimension ref="A1:H500"/>
  <sheetViews>
    <sheetView zoomScale="130" zoomScaleNormal="130" workbookViewId="0">
      <pane xSplit="2" ySplit="1" topLeftCell="C2" activePane="bottomRight" state="frozen"/>
      <selection pane="topRight" activeCell="C1" sqref="C1"/>
      <selection pane="bottomLeft" activeCell="A2" sqref="A2"/>
      <selection pane="bottomRight" activeCell="A2" sqref="A2"/>
    </sheetView>
  </sheetViews>
  <sheetFormatPr baseColWidth="10" defaultColWidth="12.6640625" defaultRowHeight="15.75" customHeight="1"/>
  <cols>
    <col width="13.6640625" customWidth="1" style="250" min="1" max="1"/>
    <col width="26.6640625" customWidth="1" style="250" min="3" max="3"/>
  </cols>
  <sheetData>
    <row r="1" ht="27.75" customHeight="1" s="250">
      <c r="A1" s="7" t="inlineStr">
        <is>
          <t>list_name</t>
        </is>
      </c>
      <c r="B1" s="8" t="inlineStr">
        <is>
          <t>name</t>
        </is>
      </c>
      <c r="C1" s="9" t="inlineStr">
        <is>
          <t>label</t>
        </is>
      </c>
      <c r="D1" s="10" t="n"/>
      <c r="E1" s="10" t="n"/>
      <c r="F1" s="10" t="n"/>
      <c r="G1" s="10" t="n"/>
      <c r="H1" s="10" t="n"/>
    </row>
    <row r="2" ht="14" customHeight="1" s="250">
      <c r="A2" s="11" t="n"/>
      <c r="B2" s="12" t="n"/>
      <c r="C2" s="11" t="n"/>
      <c r="D2" s="249" t="n"/>
      <c r="E2" s="249" t="n"/>
      <c r="F2" s="249" t="n"/>
      <c r="G2" s="249" t="n"/>
      <c r="H2" s="249" t="n"/>
    </row>
    <row r="3" ht="14" customHeight="1" s="250">
      <c r="A3" s="11" t="n"/>
      <c r="B3" s="12" t="n"/>
      <c r="C3" s="11" t="n"/>
      <c r="D3" s="249" t="n"/>
      <c r="E3" s="249" t="n"/>
      <c r="F3" s="249" t="n"/>
      <c r="G3" s="249" t="n"/>
      <c r="H3" s="249" t="n"/>
    </row>
    <row r="4" ht="14" customHeight="1" s="250">
      <c r="A4" s="11" t="n"/>
      <c r="B4" s="12" t="n"/>
      <c r="C4" s="11" t="n"/>
      <c r="D4" s="249" t="n"/>
      <c r="E4" s="249" t="n"/>
      <c r="F4" s="249" t="n"/>
      <c r="G4" s="249" t="n"/>
      <c r="H4" s="249" t="n"/>
    </row>
    <row r="5" ht="14" customHeight="1" s="250">
      <c r="A5" s="11" t="n"/>
      <c r="B5" s="12" t="n"/>
      <c r="C5" s="11" t="n"/>
      <c r="D5" s="249" t="n"/>
      <c r="E5" s="249" t="n"/>
      <c r="F5" s="249" t="n"/>
      <c r="G5" s="249" t="n"/>
      <c r="H5" s="249" t="n"/>
    </row>
    <row r="6" ht="14" customHeight="1" s="250">
      <c r="A6" s="11" t="n"/>
      <c r="B6" s="12" t="n"/>
      <c r="C6" s="11" t="n"/>
      <c r="D6" s="249" t="n"/>
      <c r="E6" s="249" t="n"/>
      <c r="F6" s="249" t="n"/>
      <c r="G6" s="249" t="n"/>
      <c r="H6" s="249" t="n"/>
    </row>
    <row r="7" ht="14" customHeight="1" s="250">
      <c r="A7" s="11" t="n"/>
      <c r="B7" s="12" t="n"/>
      <c r="C7" s="11" t="n"/>
      <c r="D7" s="249" t="n"/>
      <c r="E7" s="249" t="n"/>
      <c r="F7" s="249" t="n"/>
      <c r="G7" s="249" t="n"/>
      <c r="H7" s="249" t="n"/>
    </row>
    <row r="8" ht="14" customHeight="1" s="250">
      <c r="A8" s="11" t="n"/>
      <c r="B8" s="12" t="n"/>
      <c r="C8" s="11" t="n"/>
      <c r="D8" s="249" t="n"/>
      <c r="E8" s="249" t="n"/>
      <c r="F8" s="249" t="n"/>
      <c r="G8" s="249" t="n"/>
      <c r="H8" s="249" t="n"/>
    </row>
    <row r="9" ht="14" customHeight="1" s="250">
      <c r="A9" s="11" t="n"/>
      <c r="B9" s="12" t="n"/>
      <c r="C9" s="11" t="n"/>
      <c r="D9" s="249" t="n"/>
      <c r="E9" s="249" t="n"/>
      <c r="F9" s="249" t="n"/>
      <c r="G9" s="249" t="n"/>
      <c r="H9" s="249" t="n"/>
    </row>
    <row r="10" ht="14" customHeight="1" s="250">
      <c r="A10" s="11" t="n"/>
      <c r="B10" s="12" t="n"/>
      <c r="C10" s="11" t="n"/>
      <c r="D10" s="249" t="n"/>
      <c r="E10" s="249" t="n"/>
      <c r="F10" s="249" t="n"/>
      <c r="G10" s="249" t="n"/>
      <c r="H10" s="249" t="n"/>
    </row>
    <row r="11" ht="14" customHeight="1" s="250">
      <c r="A11" s="11" t="n"/>
      <c r="B11" s="12" t="n"/>
      <c r="C11" s="11" t="n"/>
      <c r="D11" s="249" t="n"/>
      <c r="E11" s="249" t="n"/>
      <c r="F11" s="249" t="n"/>
      <c r="G11" s="249" t="n"/>
      <c r="H11" s="249" t="n"/>
    </row>
    <row r="12" ht="14" customHeight="1" s="250">
      <c r="A12" s="11" t="n"/>
      <c r="B12" s="12" t="n"/>
      <c r="C12" s="11" t="n"/>
      <c r="D12" s="249" t="n"/>
      <c r="E12" s="249" t="n"/>
      <c r="F12" s="249" t="n"/>
      <c r="G12" s="249" t="n"/>
      <c r="H12" s="249" t="n"/>
    </row>
    <row r="13" ht="14" customHeight="1" s="250">
      <c r="A13" s="11" t="n"/>
      <c r="B13" s="12" t="n"/>
      <c r="C13" s="11" t="n"/>
      <c r="D13" s="249" t="n"/>
      <c r="E13" s="249" t="n"/>
      <c r="F13" s="249" t="n"/>
      <c r="G13" s="249" t="n"/>
      <c r="H13" s="249" t="n"/>
    </row>
    <row r="14" ht="14" customHeight="1" s="250">
      <c r="A14" s="11" t="n"/>
      <c r="B14" s="12" t="n"/>
      <c r="C14" s="11" t="n"/>
      <c r="D14" s="249" t="n"/>
      <c r="E14" s="249" t="n"/>
      <c r="F14" s="249" t="n"/>
      <c r="G14" s="249" t="n"/>
      <c r="H14" s="249" t="n"/>
    </row>
    <row r="15" ht="14" customHeight="1" s="250">
      <c r="A15" s="11" t="n"/>
      <c r="B15" s="12" t="n"/>
      <c r="C15" s="11" t="n"/>
      <c r="D15" s="249" t="n"/>
      <c r="E15" s="249" t="n"/>
      <c r="F15" s="249" t="n"/>
      <c r="G15" s="249" t="n"/>
      <c r="H15" s="249" t="n"/>
    </row>
    <row r="16" ht="14" customHeight="1" s="250">
      <c r="A16" s="11" t="n"/>
      <c r="B16" s="12" t="n"/>
      <c r="C16" s="11" t="n"/>
      <c r="D16" s="249" t="n"/>
      <c r="E16" s="249" t="n"/>
      <c r="F16" s="249" t="n"/>
      <c r="G16" s="249" t="n"/>
      <c r="H16" s="249" t="n"/>
    </row>
    <row r="17" ht="14" customHeight="1" s="250">
      <c r="A17" s="11" t="n"/>
      <c r="B17" s="12" t="n"/>
      <c r="C17" s="11" t="n"/>
      <c r="D17" s="249" t="n"/>
      <c r="E17" s="249" t="n"/>
      <c r="F17" s="249" t="n"/>
      <c r="G17" s="249" t="n"/>
      <c r="H17" s="249" t="n"/>
    </row>
    <row r="18" ht="14" customHeight="1" s="250">
      <c r="A18" s="11" t="n"/>
      <c r="B18" s="12" t="n"/>
      <c r="C18" s="11" t="n"/>
      <c r="D18" s="249" t="n"/>
      <c r="E18" s="249" t="n"/>
      <c r="F18" s="249" t="n"/>
      <c r="G18" s="249" t="n"/>
      <c r="H18" s="249" t="n"/>
    </row>
    <row r="19" ht="14" customHeight="1" s="250">
      <c r="A19" s="11" t="n"/>
      <c r="B19" s="12" t="n"/>
      <c r="C19" s="11" t="n"/>
      <c r="D19" s="249" t="n"/>
      <c r="E19" s="249" t="n"/>
      <c r="F19" s="249" t="n"/>
      <c r="G19" s="249" t="n"/>
      <c r="H19" s="249" t="n"/>
    </row>
    <row r="20" ht="14" customHeight="1" s="250">
      <c r="A20" s="11" t="n"/>
      <c r="B20" s="12" t="n"/>
      <c r="C20" s="11" t="n"/>
      <c r="D20" s="249" t="n"/>
      <c r="E20" s="249" t="n"/>
      <c r="F20" s="249" t="n"/>
      <c r="G20" s="249" t="n"/>
      <c r="H20" s="249" t="n"/>
    </row>
    <row r="21" ht="14" customHeight="1" s="250">
      <c r="A21" s="11" t="n"/>
      <c r="B21" s="12" t="n"/>
      <c r="C21" s="11" t="n"/>
      <c r="D21" s="249" t="n"/>
      <c r="E21" s="249" t="n"/>
      <c r="F21" s="249" t="n"/>
      <c r="G21" s="249" t="n"/>
      <c r="H21" s="249" t="n"/>
    </row>
    <row r="22" ht="14" customHeight="1" s="250">
      <c r="A22" s="11" t="n"/>
      <c r="B22" s="12" t="n"/>
      <c r="C22" s="11" t="n"/>
      <c r="D22" s="249" t="n"/>
      <c r="E22" s="249" t="n"/>
      <c r="F22" s="249" t="n"/>
      <c r="G22" s="249" t="n"/>
      <c r="H22" s="249" t="n"/>
    </row>
    <row r="23" ht="14" customHeight="1" s="250">
      <c r="A23" s="11" t="n"/>
      <c r="B23" s="12" t="n"/>
      <c r="C23" s="11" t="n"/>
      <c r="D23" s="249" t="n"/>
      <c r="E23" s="249" t="n"/>
      <c r="F23" s="249" t="n"/>
      <c r="G23" s="249" t="n"/>
      <c r="H23" s="249" t="n"/>
    </row>
    <row r="24" ht="14" customHeight="1" s="250">
      <c r="A24" s="11" t="n"/>
      <c r="B24" s="12" t="n"/>
      <c r="C24" s="11" t="n"/>
      <c r="D24" s="249" t="n"/>
      <c r="E24" s="249" t="n"/>
      <c r="F24" s="249" t="n"/>
      <c r="G24" s="249" t="n"/>
      <c r="H24" s="249" t="n"/>
    </row>
    <row r="25" ht="14" customHeight="1" s="250">
      <c r="A25" s="11" t="n"/>
      <c r="B25" s="12" t="n"/>
      <c r="C25" s="11" t="n"/>
      <c r="D25" s="249" t="n"/>
      <c r="E25" s="249" t="n"/>
      <c r="F25" s="249" t="n"/>
      <c r="G25" s="249" t="n"/>
      <c r="H25" s="249" t="n"/>
    </row>
    <row r="26" ht="14" customHeight="1" s="250">
      <c r="A26" s="11" t="n"/>
      <c r="B26" s="12" t="n"/>
      <c r="C26" s="11" t="n"/>
      <c r="D26" s="249" t="n"/>
      <c r="E26" s="249" t="n"/>
      <c r="F26" s="249" t="n"/>
      <c r="G26" s="249" t="n"/>
      <c r="H26" s="249" t="n"/>
    </row>
    <row r="27" ht="14" customHeight="1" s="250">
      <c r="A27" s="11" t="n"/>
      <c r="B27" s="12" t="n"/>
      <c r="C27" s="11" t="n"/>
      <c r="D27" s="249" t="n"/>
      <c r="E27" s="249" t="n"/>
      <c r="F27" s="249" t="n"/>
      <c r="G27" s="249" t="n"/>
      <c r="H27" s="249" t="n"/>
    </row>
    <row r="28" ht="14" customHeight="1" s="250">
      <c r="A28" s="11" t="n"/>
      <c r="B28" s="12" t="n"/>
      <c r="C28" s="11" t="n"/>
      <c r="D28" s="249" t="n"/>
      <c r="E28" s="249" t="n"/>
      <c r="F28" s="249" t="n"/>
      <c r="G28" s="249" t="n"/>
      <c r="H28" s="249" t="n"/>
    </row>
    <row r="29" ht="14" customHeight="1" s="250">
      <c r="A29" s="11" t="n"/>
      <c r="B29" s="12" t="n"/>
      <c r="C29" s="11" t="n"/>
      <c r="D29" s="249" t="n"/>
      <c r="E29" s="249" t="n"/>
      <c r="F29" s="249" t="n"/>
      <c r="G29" s="249" t="n"/>
      <c r="H29" s="249" t="n"/>
    </row>
    <row r="30" ht="14" customHeight="1" s="250">
      <c r="A30" s="11" t="n"/>
      <c r="B30" s="12" t="n"/>
      <c r="C30" s="11" t="n"/>
      <c r="D30" s="249" t="n"/>
      <c r="E30" s="249" t="n"/>
      <c r="F30" s="249" t="n"/>
      <c r="G30" s="249" t="n"/>
      <c r="H30" s="249" t="n"/>
    </row>
    <row r="31" ht="14" customHeight="1" s="250">
      <c r="A31" s="11" t="n"/>
      <c r="B31" s="12" t="n"/>
      <c r="C31" s="11" t="n"/>
      <c r="D31" s="249" t="n"/>
      <c r="E31" s="249" t="n"/>
      <c r="F31" s="249" t="n"/>
      <c r="G31" s="249" t="n"/>
      <c r="H31" s="249" t="n"/>
    </row>
    <row r="32" ht="14" customHeight="1" s="250">
      <c r="A32" s="11" t="n"/>
      <c r="B32" s="12" t="n"/>
      <c r="C32" s="11" t="n"/>
      <c r="D32" s="249" t="n"/>
      <c r="E32" s="249" t="n"/>
      <c r="F32" s="249" t="n"/>
      <c r="G32" s="249" t="n"/>
      <c r="H32" s="249" t="n"/>
    </row>
    <row r="33" ht="14" customHeight="1" s="250">
      <c r="A33" s="11" t="n"/>
      <c r="B33" s="12" t="n"/>
      <c r="C33" s="11" t="n"/>
      <c r="D33" s="249" t="n"/>
      <c r="E33" s="249" t="n"/>
      <c r="F33" s="249" t="n"/>
      <c r="G33" s="249" t="n"/>
      <c r="H33" s="249" t="n"/>
    </row>
    <row r="34" ht="14" customHeight="1" s="250">
      <c r="A34" s="11" t="n"/>
      <c r="B34" s="12" t="n"/>
      <c r="C34" s="11" t="n"/>
      <c r="D34" s="249" t="n"/>
      <c r="E34" s="249" t="n"/>
      <c r="F34" s="249" t="n"/>
      <c r="G34" s="249" t="n"/>
      <c r="H34" s="249" t="n"/>
    </row>
    <row r="35" ht="14" customHeight="1" s="250">
      <c r="A35" s="11" t="n"/>
      <c r="B35" s="12" t="n"/>
      <c r="C35" s="11" t="n"/>
      <c r="D35" s="249" t="n"/>
      <c r="E35" s="249" t="n"/>
      <c r="F35" s="249" t="n"/>
      <c r="G35" s="249" t="n"/>
      <c r="H35" s="249" t="n"/>
    </row>
    <row r="36" ht="14" customHeight="1" s="250">
      <c r="A36" s="11" t="n"/>
      <c r="B36" s="12" t="n"/>
      <c r="C36" s="11" t="n"/>
      <c r="D36" s="249" t="n"/>
      <c r="E36" s="249" t="n"/>
      <c r="F36" s="249" t="n"/>
      <c r="G36" s="249" t="n"/>
      <c r="H36" s="249" t="n"/>
    </row>
    <row r="37" ht="14" customHeight="1" s="250">
      <c r="A37" s="11" t="n"/>
      <c r="B37" s="12" t="n"/>
      <c r="C37" s="11" t="n"/>
      <c r="D37" s="249" t="n"/>
      <c r="E37" s="249" t="n"/>
      <c r="F37" s="249" t="n"/>
      <c r="G37" s="249" t="n"/>
      <c r="H37" s="249" t="n"/>
    </row>
    <row r="38" ht="14" customHeight="1" s="250">
      <c r="A38" s="11" t="n"/>
      <c r="B38" s="12" t="n"/>
      <c r="C38" s="11" t="n"/>
      <c r="D38" s="249" t="n"/>
      <c r="E38" s="249" t="n"/>
      <c r="F38" s="249" t="n"/>
      <c r="G38" s="249" t="n"/>
      <c r="H38" s="249" t="n"/>
    </row>
    <row r="39" ht="14" customHeight="1" s="250">
      <c r="A39" s="11" t="n"/>
      <c r="B39" s="12" t="n"/>
      <c r="C39" s="11" t="n"/>
      <c r="D39" s="249" t="n"/>
      <c r="E39" s="249" t="n"/>
      <c r="F39" s="249" t="n"/>
      <c r="G39" s="249" t="n"/>
      <c r="H39" s="249" t="n"/>
    </row>
    <row r="40" ht="14" customHeight="1" s="250">
      <c r="A40" s="11" t="n"/>
      <c r="B40" s="12" t="n"/>
      <c r="C40" s="11" t="n"/>
      <c r="D40" s="249" t="n"/>
      <c r="E40" s="249" t="n"/>
      <c r="F40" s="249" t="n"/>
      <c r="G40" s="249" t="n"/>
      <c r="H40" s="249" t="n"/>
    </row>
    <row r="41" ht="14" customHeight="1" s="250">
      <c r="A41" s="11" t="n"/>
      <c r="B41" s="12" t="n"/>
      <c r="C41" s="11" t="n"/>
      <c r="D41" s="249" t="n"/>
      <c r="E41" s="249" t="n"/>
      <c r="F41" s="249" t="n"/>
      <c r="G41" s="249" t="n"/>
      <c r="H41" s="249" t="n"/>
    </row>
    <row r="42" ht="14" customHeight="1" s="250">
      <c r="A42" s="11" t="n"/>
      <c r="B42" s="12" t="n"/>
      <c r="C42" s="11" t="n"/>
      <c r="D42" s="249" t="n"/>
      <c r="E42" s="249" t="n"/>
      <c r="F42" s="249" t="n"/>
      <c r="G42" s="249" t="n"/>
      <c r="H42" s="249" t="n"/>
    </row>
    <row r="43" ht="14" customHeight="1" s="250">
      <c r="A43" s="11" t="n"/>
      <c r="B43" s="12" t="n"/>
      <c r="C43" s="11" t="n"/>
      <c r="D43" s="249" t="n"/>
      <c r="E43" s="249" t="n"/>
      <c r="F43" s="249" t="n"/>
      <c r="G43" s="249" t="n"/>
      <c r="H43" s="249" t="n"/>
    </row>
    <row r="44" ht="14" customHeight="1" s="250">
      <c r="A44" s="11" t="n"/>
      <c r="B44" s="12" t="n"/>
      <c r="C44" s="11" t="n"/>
      <c r="D44" s="249" t="n"/>
      <c r="E44" s="249" t="n"/>
      <c r="F44" s="249" t="n"/>
      <c r="G44" s="249" t="n"/>
      <c r="H44" s="249" t="n"/>
    </row>
    <row r="45" ht="14" customHeight="1" s="250">
      <c r="A45" s="11" t="n"/>
      <c r="B45" s="12" t="n"/>
      <c r="C45" s="11" t="n"/>
      <c r="D45" s="249" t="n"/>
      <c r="E45" s="249" t="n"/>
      <c r="F45" s="249" t="n"/>
      <c r="G45" s="249" t="n"/>
      <c r="H45" s="249" t="n"/>
    </row>
    <row r="46" ht="14" customHeight="1" s="250">
      <c r="A46" s="11" t="n"/>
      <c r="B46" s="12" t="n"/>
      <c r="C46" s="11" t="n"/>
      <c r="D46" s="249" t="n"/>
      <c r="E46" s="249" t="n"/>
      <c r="F46" s="249" t="n"/>
      <c r="G46" s="249" t="n"/>
      <c r="H46" s="249" t="n"/>
    </row>
    <row r="47" ht="14" customHeight="1" s="250">
      <c r="A47" s="11" t="n"/>
      <c r="B47" s="12" t="n"/>
      <c r="C47" s="11" t="n"/>
      <c r="D47" s="249" t="n"/>
      <c r="E47" s="249" t="n"/>
      <c r="F47" s="249" t="n"/>
      <c r="G47" s="249" t="n"/>
      <c r="H47" s="249" t="n"/>
    </row>
    <row r="48" ht="14" customHeight="1" s="250">
      <c r="A48" s="11" t="n"/>
      <c r="B48" s="12" t="n"/>
      <c r="C48" s="11" t="n"/>
      <c r="D48" s="249" t="n"/>
      <c r="E48" s="249" t="n"/>
      <c r="F48" s="249" t="n"/>
      <c r="G48" s="249" t="n"/>
      <c r="H48" s="249" t="n"/>
    </row>
    <row r="49" ht="14" customHeight="1" s="250">
      <c r="A49" s="11" t="n"/>
      <c r="B49" s="12" t="n"/>
      <c r="C49" s="11" t="n"/>
      <c r="D49" s="249" t="n"/>
      <c r="E49" s="249" t="n"/>
      <c r="F49" s="249" t="n"/>
      <c r="G49" s="249" t="n"/>
      <c r="H49" s="249" t="n"/>
    </row>
    <row r="50" ht="14" customHeight="1" s="250">
      <c r="A50" s="11" t="n"/>
      <c r="B50" s="12" t="n"/>
      <c r="C50" s="11" t="n"/>
      <c r="D50" s="249" t="n"/>
      <c r="E50" s="249" t="n"/>
      <c r="F50" s="249" t="n"/>
      <c r="G50" s="249" t="n"/>
      <c r="H50" s="249" t="n"/>
    </row>
    <row r="51" ht="14" customHeight="1" s="250">
      <c r="A51" s="11" t="n"/>
      <c r="B51" s="12" t="n"/>
      <c r="C51" s="11" t="n"/>
      <c r="D51" s="249" t="n"/>
      <c r="E51" s="249" t="n"/>
      <c r="F51" s="249" t="n"/>
      <c r="G51" s="249" t="n"/>
      <c r="H51" s="249" t="n"/>
    </row>
    <row r="52" ht="14" customHeight="1" s="250">
      <c r="A52" s="11" t="n"/>
      <c r="B52" s="12" t="n"/>
      <c r="C52" s="11" t="n"/>
      <c r="D52" s="249" t="n"/>
      <c r="E52" s="249" t="n"/>
      <c r="F52" s="249" t="n"/>
      <c r="G52" s="249" t="n"/>
      <c r="H52" s="249" t="n"/>
    </row>
    <row r="53" ht="14" customHeight="1" s="250">
      <c r="A53" s="11" t="n"/>
      <c r="B53" s="12" t="n"/>
      <c r="C53" s="11" t="n"/>
      <c r="D53" s="249" t="n"/>
      <c r="E53" s="249" t="n"/>
      <c r="F53" s="249" t="n"/>
      <c r="G53" s="249" t="n"/>
      <c r="H53" s="249" t="n"/>
    </row>
    <row r="54" ht="14" customHeight="1" s="250">
      <c r="A54" s="11" t="n"/>
      <c r="B54" s="12" t="n"/>
      <c r="C54" s="11" t="n"/>
      <c r="D54" s="249" t="n"/>
      <c r="E54" s="249" t="n"/>
      <c r="F54" s="249" t="n"/>
      <c r="G54" s="249" t="n"/>
      <c r="H54" s="249" t="n"/>
    </row>
    <row r="55" ht="14" customHeight="1" s="250">
      <c r="A55" s="11" t="n"/>
      <c r="B55" s="12" t="n"/>
      <c r="C55" s="11" t="n"/>
      <c r="D55" s="249" t="n"/>
      <c r="E55" s="249" t="n"/>
      <c r="F55" s="249" t="n"/>
      <c r="G55" s="249" t="n"/>
      <c r="H55" s="249" t="n"/>
    </row>
    <row r="56" ht="14" customHeight="1" s="250">
      <c r="A56" s="11" t="n"/>
      <c r="B56" s="12" t="n"/>
      <c r="C56" s="11" t="n"/>
      <c r="D56" s="249" t="n"/>
      <c r="E56" s="249" t="n"/>
      <c r="F56" s="249" t="n"/>
      <c r="G56" s="249" t="n"/>
      <c r="H56" s="249" t="n"/>
    </row>
    <row r="57" ht="14" customHeight="1" s="250">
      <c r="A57" s="11" t="n"/>
      <c r="B57" s="12" t="n"/>
      <c r="C57" s="11" t="n"/>
      <c r="D57" s="249" t="n"/>
      <c r="E57" s="249" t="n"/>
      <c r="F57" s="249" t="n"/>
      <c r="G57" s="249" t="n"/>
      <c r="H57" s="249" t="n"/>
    </row>
    <row r="58" ht="14" customHeight="1" s="250">
      <c r="A58" s="11" t="n"/>
      <c r="B58" s="12" t="n"/>
      <c r="C58" s="11" t="n"/>
      <c r="D58" s="249" t="n"/>
      <c r="E58" s="249" t="n"/>
      <c r="F58" s="249" t="n"/>
      <c r="G58" s="249" t="n"/>
      <c r="H58" s="249" t="n"/>
    </row>
    <row r="59" ht="14" customHeight="1" s="250">
      <c r="A59" s="11" t="n"/>
      <c r="B59" s="12" t="n"/>
      <c r="C59" s="11" t="n"/>
      <c r="D59" s="249" t="n"/>
      <c r="E59" s="249" t="n"/>
      <c r="F59" s="249" t="n"/>
      <c r="G59" s="249" t="n"/>
      <c r="H59" s="249" t="n"/>
    </row>
    <row r="60" ht="14" customHeight="1" s="250">
      <c r="A60" s="11" t="n"/>
      <c r="B60" s="12" t="n"/>
      <c r="C60" s="11" t="n"/>
      <c r="D60" s="249" t="n"/>
      <c r="E60" s="249" t="n"/>
      <c r="F60" s="249" t="n"/>
      <c r="G60" s="249" t="n"/>
      <c r="H60" s="249" t="n"/>
    </row>
    <row r="61" ht="14" customHeight="1" s="250">
      <c r="A61" s="11" t="n"/>
      <c r="B61" s="12" t="n"/>
      <c r="C61" s="11" t="n"/>
      <c r="D61" s="249" t="n"/>
      <c r="E61" s="249" t="n"/>
      <c r="F61" s="249" t="n"/>
      <c r="G61" s="249" t="n"/>
      <c r="H61" s="249" t="n"/>
    </row>
    <row r="62" ht="14" customHeight="1" s="250">
      <c r="A62" s="11" t="n"/>
      <c r="B62" s="12" t="n"/>
      <c r="C62" s="11" t="n"/>
      <c r="D62" s="249" t="n"/>
      <c r="E62" s="249" t="n"/>
      <c r="F62" s="249" t="n"/>
      <c r="G62" s="249" t="n"/>
      <c r="H62" s="249" t="n"/>
    </row>
    <row r="63" ht="14" customHeight="1" s="250">
      <c r="A63" s="11" t="n"/>
      <c r="B63" s="12" t="n"/>
      <c r="C63" s="11" t="n"/>
      <c r="D63" s="249" t="n"/>
      <c r="E63" s="249" t="n"/>
      <c r="F63" s="249" t="n"/>
      <c r="G63" s="249" t="n"/>
      <c r="H63" s="249" t="n"/>
    </row>
    <row r="64" ht="14" customHeight="1" s="250">
      <c r="A64" s="11" t="n"/>
      <c r="B64" s="12" t="n"/>
      <c r="C64" s="11" t="n"/>
      <c r="D64" s="249" t="n"/>
      <c r="E64" s="249" t="n"/>
      <c r="F64" s="249" t="n"/>
      <c r="G64" s="249" t="n"/>
      <c r="H64" s="249" t="n"/>
    </row>
    <row r="65" ht="14" customHeight="1" s="250">
      <c r="A65" s="11" t="n"/>
      <c r="B65" s="12" t="n"/>
      <c r="C65" s="11" t="n"/>
      <c r="D65" s="249" t="n"/>
      <c r="E65" s="249" t="n"/>
      <c r="F65" s="249" t="n"/>
      <c r="G65" s="249" t="n"/>
      <c r="H65" s="249" t="n"/>
    </row>
    <row r="66" ht="14" customHeight="1" s="250">
      <c r="A66" s="11" t="n"/>
      <c r="B66" s="12" t="n"/>
      <c r="C66" s="11" t="n"/>
      <c r="D66" s="249" t="n"/>
      <c r="E66" s="249" t="n"/>
      <c r="F66" s="249" t="n"/>
      <c r="G66" s="249" t="n"/>
      <c r="H66" s="249" t="n"/>
    </row>
    <row r="67" ht="14" customHeight="1" s="250">
      <c r="A67" s="11" t="n"/>
      <c r="B67" s="12" t="n"/>
      <c r="C67" s="11" t="n"/>
      <c r="D67" s="249" t="n"/>
      <c r="E67" s="249" t="n"/>
      <c r="F67" s="249" t="n"/>
      <c r="G67" s="249" t="n"/>
      <c r="H67" s="249" t="n"/>
    </row>
    <row r="68" ht="14" customHeight="1" s="250">
      <c r="A68" s="11" t="n"/>
      <c r="B68" s="12" t="n"/>
      <c r="C68" s="11" t="n"/>
      <c r="D68" s="249" t="n"/>
      <c r="E68" s="249" t="n"/>
      <c r="F68" s="249" t="n"/>
      <c r="G68" s="249" t="n"/>
      <c r="H68" s="249" t="n"/>
    </row>
    <row r="69" ht="14" customHeight="1" s="250">
      <c r="A69" s="11" t="n"/>
      <c r="B69" s="12" t="n"/>
      <c r="C69" s="11" t="n"/>
      <c r="D69" s="249" t="n"/>
      <c r="E69" s="249" t="n"/>
      <c r="F69" s="249" t="n"/>
      <c r="G69" s="249" t="n"/>
      <c r="H69" s="249" t="n"/>
    </row>
    <row r="70" ht="14" customHeight="1" s="250">
      <c r="A70" s="11" t="n"/>
      <c r="B70" s="12" t="n"/>
      <c r="C70" s="11" t="n"/>
      <c r="D70" s="249" t="n"/>
      <c r="E70" s="249" t="n"/>
      <c r="F70" s="249" t="n"/>
      <c r="G70" s="249" t="n"/>
      <c r="H70" s="249" t="n"/>
    </row>
    <row r="71" ht="14" customHeight="1" s="250">
      <c r="A71" s="11" t="n"/>
      <c r="B71" s="12" t="n"/>
      <c r="C71" s="11" t="n"/>
      <c r="D71" s="249" t="n"/>
      <c r="E71" s="249" t="n"/>
      <c r="F71" s="249" t="n"/>
      <c r="G71" s="249" t="n"/>
      <c r="H71" s="249" t="n"/>
    </row>
    <row r="72" ht="14" customHeight="1" s="250">
      <c r="A72" s="11" t="n"/>
      <c r="B72" s="12" t="n"/>
      <c r="C72" s="11" t="n"/>
      <c r="D72" s="249" t="n"/>
      <c r="E72" s="249" t="n"/>
      <c r="F72" s="249" t="n"/>
      <c r="G72" s="249" t="n"/>
      <c r="H72" s="249" t="n"/>
    </row>
    <row r="73" ht="14" customHeight="1" s="250">
      <c r="A73" s="11" t="n"/>
      <c r="B73" s="12" t="n"/>
      <c r="C73" s="11" t="n"/>
      <c r="D73" s="249" t="n"/>
      <c r="E73" s="249" t="n"/>
      <c r="F73" s="249" t="n"/>
      <c r="G73" s="249" t="n"/>
      <c r="H73" s="249" t="n"/>
    </row>
    <row r="74" ht="14" customHeight="1" s="250">
      <c r="A74" s="11" t="n"/>
      <c r="B74" s="12" t="n"/>
      <c r="C74" s="11" t="n"/>
      <c r="D74" s="249" t="n"/>
      <c r="E74" s="249" t="n"/>
      <c r="F74" s="249" t="n"/>
      <c r="G74" s="249" t="n"/>
      <c r="H74" s="249" t="n"/>
    </row>
    <row r="75" ht="14" customHeight="1" s="250">
      <c r="A75" s="11" t="n"/>
      <c r="B75" s="12" t="n"/>
      <c r="C75" s="11" t="n"/>
      <c r="D75" s="249" t="n"/>
      <c r="E75" s="249" t="n"/>
      <c r="F75" s="249" t="n"/>
      <c r="G75" s="249" t="n"/>
      <c r="H75" s="249" t="n"/>
    </row>
    <row r="76" ht="14" customHeight="1" s="250">
      <c r="A76" s="11" t="n"/>
      <c r="B76" s="12" t="n"/>
      <c r="C76" s="11" t="n"/>
      <c r="D76" s="249" t="n"/>
      <c r="E76" s="249" t="n"/>
      <c r="F76" s="249" t="n"/>
      <c r="G76" s="249" t="n"/>
      <c r="H76" s="249" t="n"/>
    </row>
    <row r="77" ht="14" customHeight="1" s="250">
      <c r="A77" s="11" t="n"/>
      <c r="B77" s="12" t="n"/>
      <c r="C77" s="11" t="n"/>
      <c r="D77" s="249" t="n"/>
      <c r="E77" s="249" t="n"/>
      <c r="F77" s="249" t="n"/>
      <c r="G77" s="249" t="n"/>
      <c r="H77" s="249" t="n"/>
    </row>
    <row r="78" ht="14" customHeight="1" s="250">
      <c r="A78" s="11" t="n"/>
      <c r="B78" s="12" t="n"/>
      <c r="C78" s="11" t="n"/>
      <c r="D78" s="249" t="n"/>
      <c r="E78" s="249" t="n"/>
      <c r="F78" s="249" t="n"/>
      <c r="G78" s="249" t="n"/>
      <c r="H78" s="249" t="n"/>
    </row>
    <row r="79" ht="14" customHeight="1" s="250">
      <c r="A79" s="11" t="n"/>
      <c r="B79" s="12" t="n"/>
      <c r="C79" s="11" t="n"/>
      <c r="D79" s="249" t="n"/>
      <c r="E79" s="249" t="n"/>
      <c r="F79" s="249" t="n"/>
      <c r="G79" s="249" t="n"/>
      <c r="H79" s="249" t="n"/>
    </row>
    <row r="80" ht="14" customHeight="1" s="250">
      <c r="A80" s="11" t="n"/>
      <c r="B80" s="12" t="n"/>
      <c r="C80" s="11" t="n"/>
      <c r="D80" s="249" t="n"/>
      <c r="E80" s="249" t="n"/>
      <c r="F80" s="249" t="n"/>
      <c r="G80" s="249" t="n"/>
      <c r="H80" s="249" t="n"/>
    </row>
    <row r="81" ht="14" customHeight="1" s="250">
      <c r="A81" s="11" t="n"/>
      <c r="B81" s="12" t="n"/>
      <c r="C81" s="11" t="n"/>
      <c r="D81" s="249" t="n"/>
      <c r="E81" s="249" t="n"/>
      <c r="F81" s="249" t="n"/>
      <c r="G81" s="249" t="n"/>
      <c r="H81" s="249" t="n"/>
    </row>
    <row r="82" ht="14" customHeight="1" s="250">
      <c r="A82" s="11" t="n"/>
      <c r="B82" s="12" t="n"/>
      <c r="C82" s="11" t="n"/>
      <c r="D82" s="249" t="n"/>
      <c r="E82" s="249" t="n"/>
      <c r="F82" s="249" t="n"/>
      <c r="G82" s="249" t="n"/>
      <c r="H82" s="249" t="n"/>
    </row>
    <row r="83" ht="14" customHeight="1" s="250">
      <c r="A83" s="11" t="n"/>
      <c r="B83" s="12" t="n"/>
      <c r="C83" s="11" t="n"/>
      <c r="D83" s="249" t="n"/>
      <c r="E83" s="249" t="n"/>
      <c r="F83" s="249" t="n"/>
      <c r="G83" s="249" t="n"/>
      <c r="H83" s="249" t="n"/>
    </row>
    <row r="84" ht="14" customHeight="1" s="250">
      <c r="A84" s="11" t="n"/>
      <c r="B84" s="12" t="n"/>
      <c r="C84" s="11" t="n"/>
      <c r="D84" s="249" t="n"/>
      <c r="E84" s="249" t="n"/>
      <c r="F84" s="249" t="n"/>
      <c r="G84" s="249" t="n"/>
      <c r="H84" s="249" t="n"/>
    </row>
    <row r="85" ht="14" customHeight="1" s="250">
      <c r="A85" s="11" t="n"/>
      <c r="B85" s="12" t="n"/>
      <c r="C85" s="11" t="n"/>
      <c r="D85" s="249" t="n"/>
      <c r="E85" s="249" t="n"/>
      <c r="F85" s="249" t="n"/>
      <c r="G85" s="249" t="n"/>
      <c r="H85" s="249" t="n"/>
    </row>
    <row r="86" ht="14" customHeight="1" s="250">
      <c r="A86" s="11" t="n"/>
      <c r="B86" s="12" t="n"/>
      <c r="C86" s="11" t="n"/>
      <c r="D86" s="249" t="n"/>
      <c r="E86" s="249" t="n"/>
      <c r="F86" s="249" t="n"/>
      <c r="G86" s="249" t="n"/>
      <c r="H86" s="249" t="n"/>
    </row>
    <row r="87" ht="14" customHeight="1" s="250">
      <c r="A87" s="11" t="n"/>
      <c r="B87" s="12" t="n"/>
      <c r="C87" s="11" t="n"/>
      <c r="D87" s="249" t="n"/>
      <c r="E87" s="249" t="n"/>
      <c r="F87" s="249" t="n"/>
      <c r="G87" s="249" t="n"/>
      <c r="H87" s="249" t="n"/>
    </row>
    <row r="88" ht="14" customHeight="1" s="250">
      <c r="A88" s="11" t="n"/>
      <c r="B88" s="12" t="n"/>
      <c r="C88" s="11" t="n"/>
      <c r="D88" s="249" t="n"/>
      <c r="E88" s="249" t="n"/>
      <c r="F88" s="249" t="n"/>
      <c r="G88" s="249" t="n"/>
      <c r="H88" s="249" t="n"/>
    </row>
    <row r="89" ht="14" customHeight="1" s="250">
      <c r="A89" s="11" t="n"/>
      <c r="B89" s="12" t="n"/>
      <c r="C89" s="11" t="n"/>
      <c r="D89" s="249" t="n"/>
      <c r="E89" s="249" t="n"/>
      <c r="F89" s="249" t="n"/>
      <c r="G89" s="249" t="n"/>
      <c r="H89" s="249" t="n"/>
    </row>
    <row r="90" ht="14" customHeight="1" s="250">
      <c r="A90" s="11" t="n"/>
      <c r="B90" s="12" t="n"/>
      <c r="C90" s="11" t="n"/>
      <c r="D90" s="249" t="n"/>
      <c r="E90" s="249" t="n"/>
      <c r="F90" s="249" t="n"/>
      <c r="G90" s="249" t="n"/>
      <c r="H90" s="249" t="n"/>
    </row>
    <row r="91" ht="14" customHeight="1" s="250">
      <c r="A91" s="11" t="n"/>
      <c r="B91" s="12" t="n"/>
      <c r="C91" s="11" t="n"/>
      <c r="D91" s="249" t="n"/>
      <c r="E91" s="249" t="n"/>
      <c r="F91" s="249" t="n"/>
      <c r="G91" s="249" t="n"/>
      <c r="H91" s="249" t="n"/>
    </row>
    <row r="92" ht="14" customHeight="1" s="250">
      <c r="A92" s="11" t="n"/>
      <c r="B92" s="12" t="n"/>
      <c r="C92" s="11" t="n"/>
      <c r="D92" s="249" t="n"/>
      <c r="E92" s="249" t="n"/>
      <c r="F92" s="249" t="n"/>
      <c r="G92" s="249" t="n"/>
      <c r="H92" s="249" t="n"/>
    </row>
    <row r="93" ht="14" customHeight="1" s="250">
      <c r="A93" s="11" t="n"/>
      <c r="B93" s="12" t="n"/>
      <c r="C93" s="11" t="n"/>
      <c r="D93" s="249" t="n"/>
      <c r="E93" s="249" t="n"/>
      <c r="F93" s="249" t="n"/>
      <c r="G93" s="249" t="n"/>
      <c r="H93" s="249" t="n"/>
    </row>
    <row r="94" ht="14" customHeight="1" s="250">
      <c r="A94" s="11" t="n"/>
      <c r="B94" s="12" t="n"/>
      <c r="C94" s="11" t="n"/>
      <c r="D94" s="249" t="n"/>
      <c r="E94" s="249" t="n"/>
      <c r="F94" s="249" t="n"/>
      <c r="G94" s="249" t="n"/>
      <c r="H94" s="249" t="n"/>
    </row>
    <row r="95" ht="14" customHeight="1" s="250">
      <c r="A95" s="11" t="n"/>
      <c r="B95" s="12" t="n"/>
      <c r="C95" s="11" t="n"/>
      <c r="D95" s="249" t="n"/>
      <c r="E95" s="249" t="n"/>
      <c r="F95" s="249" t="n"/>
      <c r="G95" s="249" t="n"/>
      <c r="H95" s="249" t="n"/>
    </row>
    <row r="96" ht="14" customHeight="1" s="250">
      <c r="A96" s="11" t="n"/>
      <c r="B96" s="12" t="n"/>
      <c r="C96" s="11" t="n"/>
      <c r="D96" s="249" t="n"/>
      <c r="E96" s="249" t="n"/>
      <c r="F96" s="249" t="n"/>
      <c r="G96" s="249" t="n"/>
      <c r="H96" s="249" t="n"/>
    </row>
    <row r="97" ht="14" customHeight="1" s="250">
      <c r="A97" s="11" t="n"/>
      <c r="B97" s="12" t="n"/>
      <c r="C97" s="11" t="n"/>
      <c r="D97" s="249" t="n"/>
      <c r="E97" s="249" t="n"/>
      <c r="F97" s="249" t="n"/>
      <c r="G97" s="249" t="n"/>
      <c r="H97" s="249" t="n"/>
    </row>
    <row r="98" ht="14" customHeight="1" s="250">
      <c r="A98" s="11" t="n"/>
      <c r="B98" s="12" t="n"/>
      <c r="C98" s="11" t="n"/>
      <c r="D98" s="249" t="n"/>
      <c r="E98" s="249" t="n"/>
      <c r="F98" s="249" t="n"/>
      <c r="G98" s="249" t="n"/>
      <c r="H98" s="249" t="n"/>
    </row>
    <row r="99" ht="14" customHeight="1" s="250">
      <c r="A99" s="11" t="n"/>
      <c r="B99" s="12" t="n"/>
      <c r="C99" s="11" t="n"/>
      <c r="D99" s="249" t="n"/>
      <c r="E99" s="249" t="n"/>
      <c r="F99" s="249" t="n"/>
      <c r="G99" s="249" t="n"/>
      <c r="H99" s="249" t="n"/>
    </row>
    <row r="100" ht="14" customHeight="1" s="250">
      <c r="A100" s="11" t="n"/>
      <c r="B100" s="12" t="n"/>
      <c r="C100" s="11" t="n"/>
      <c r="D100" s="249" t="n"/>
      <c r="E100" s="249" t="n"/>
      <c r="F100" s="249" t="n"/>
      <c r="G100" s="249" t="n"/>
      <c r="H100" s="249" t="n"/>
    </row>
    <row r="101" ht="14" customHeight="1" s="250">
      <c r="A101" s="11" t="n"/>
      <c r="B101" s="12" t="n"/>
      <c r="C101" s="11" t="n"/>
      <c r="D101" s="249" t="n"/>
      <c r="E101" s="249" t="n"/>
      <c r="F101" s="249" t="n"/>
      <c r="G101" s="249" t="n"/>
      <c r="H101" s="249" t="n"/>
    </row>
    <row r="102" ht="14" customHeight="1" s="250">
      <c r="A102" s="11" t="n"/>
      <c r="B102" s="12" t="n"/>
      <c r="C102" s="11" t="n"/>
      <c r="D102" s="249" t="n"/>
      <c r="E102" s="249" t="n"/>
      <c r="F102" s="249" t="n"/>
      <c r="G102" s="249" t="n"/>
      <c r="H102" s="249" t="n"/>
    </row>
    <row r="103" ht="14" customHeight="1" s="250">
      <c r="A103" s="11" t="n"/>
      <c r="B103" s="12" t="n"/>
      <c r="C103" s="11" t="n"/>
      <c r="D103" s="249" t="n"/>
      <c r="E103" s="249" t="n"/>
      <c r="F103" s="249" t="n"/>
      <c r="G103" s="249" t="n"/>
      <c r="H103" s="249" t="n"/>
    </row>
    <row r="104" ht="14" customHeight="1" s="250">
      <c r="A104" s="11" t="n"/>
      <c r="B104" s="12" t="n"/>
      <c r="C104" s="11" t="n"/>
      <c r="D104" s="249" t="n"/>
      <c r="E104" s="249" t="n"/>
      <c r="F104" s="249" t="n"/>
      <c r="G104" s="249" t="n"/>
      <c r="H104" s="249" t="n"/>
    </row>
    <row r="105" ht="14" customHeight="1" s="250">
      <c r="A105" s="11" t="n"/>
      <c r="B105" s="12" t="n"/>
      <c r="C105" s="11" t="n"/>
      <c r="D105" s="249" t="n"/>
      <c r="E105" s="249" t="n"/>
      <c r="F105" s="249" t="n"/>
      <c r="G105" s="249" t="n"/>
      <c r="H105" s="249" t="n"/>
    </row>
    <row r="106" ht="14" customHeight="1" s="250">
      <c r="A106" s="11" t="n"/>
      <c r="B106" s="12" t="n"/>
      <c r="C106" s="11" t="n"/>
      <c r="D106" s="249" t="n"/>
      <c r="E106" s="249" t="n"/>
      <c r="F106" s="249" t="n"/>
      <c r="G106" s="249" t="n"/>
      <c r="H106" s="249" t="n"/>
    </row>
    <row r="107" ht="14" customHeight="1" s="250">
      <c r="A107" s="11" t="n"/>
      <c r="B107" s="12" t="n"/>
      <c r="C107" s="11" t="n"/>
      <c r="D107" s="249" t="n"/>
      <c r="E107" s="249" t="n"/>
      <c r="F107" s="249" t="n"/>
      <c r="G107" s="249" t="n"/>
      <c r="H107" s="249" t="n"/>
    </row>
    <row r="108" ht="14" customHeight="1" s="250">
      <c r="A108" s="11" t="n"/>
      <c r="B108" s="12" t="n"/>
      <c r="C108" s="11" t="n"/>
      <c r="D108" s="249" t="n"/>
      <c r="E108" s="249" t="n"/>
      <c r="F108" s="249" t="n"/>
      <c r="G108" s="249" t="n"/>
      <c r="H108" s="249" t="n"/>
    </row>
    <row r="109" ht="14" customHeight="1" s="250">
      <c r="A109" s="11" t="n"/>
      <c r="B109" s="12" t="n"/>
      <c r="C109" s="11" t="n"/>
      <c r="D109" s="249" t="n"/>
      <c r="E109" s="249" t="n"/>
      <c r="F109" s="249" t="n"/>
      <c r="G109" s="249" t="n"/>
      <c r="H109" s="249" t="n"/>
    </row>
    <row r="110" ht="14" customHeight="1" s="250">
      <c r="A110" s="11" t="n"/>
      <c r="B110" s="12" t="n"/>
      <c r="C110" s="11" t="n"/>
      <c r="D110" s="249" t="n"/>
      <c r="E110" s="249" t="n"/>
      <c r="F110" s="249" t="n"/>
      <c r="G110" s="249" t="n"/>
      <c r="H110" s="249" t="n"/>
    </row>
    <row r="111" ht="14" customHeight="1" s="250">
      <c r="A111" s="11" t="n"/>
      <c r="B111" s="12" t="n"/>
      <c r="C111" s="11" t="n"/>
      <c r="D111" s="249" t="n"/>
      <c r="E111" s="249" t="n"/>
      <c r="F111" s="249" t="n"/>
      <c r="G111" s="249" t="n"/>
      <c r="H111" s="249" t="n"/>
    </row>
    <row r="112" ht="14" customHeight="1" s="250">
      <c r="A112" s="11" t="n"/>
      <c r="B112" s="12" t="n"/>
      <c r="C112" s="11" t="n"/>
      <c r="D112" s="249" t="n"/>
      <c r="E112" s="249" t="n"/>
      <c r="F112" s="249" t="n"/>
      <c r="G112" s="249" t="n"/>
      <c r="H112" s="249" t="n"/>
    </row>
    <row r="113" ht="14" customHeight="1" s="250">
      <c r="A113" s="11" t="n"/>
      <c r="B113" s="12" t="n"/>
      <c r="C113" s="11" t="n"/>
      <c r="D113" s="249" t="n"/>
      <c r="E113" s="249" t="n"/>
      <c r="F113" s="249" t="n"/>
      <c r="G113" s="249" t="n"/>
      <c r="H113" s="249" t="n"/>
    </row>
    <row r="114" ht="14" customHeight="1" s="250">
      <c r="A114" s="11" t="n"/>
      <c r="B114" s="12" t="n"/>
      <c r="C114" s="11" t="n"/>
      <c r="D114" s="249" t="n"/>
      <c r="E114" s="249" t="n"/>
      <c r="F114" s="249" t="n"/>
      <c r="G114" s="249" t="n"/>
      <c r="H114" s="249" t="n"/>
    </row>
    <row r="115" ht="14" customHeight="1" s="250">
      <c r="A115" s="11" t="n"/>
      <c r="B115" s="12" t="n"/>
      <c r="C115" s="11" t="n"/>
      <c r="D115" s="249" t="n"/>
      <c r="E115" s="249" t="n"/>
      <c r="F115" s="249" t="n"/>
      <c r="G115" s="249" t="n"/>
      <c r="H115" s="249" t="n"/>
    </row>
    <row r="116" ht="14" customHeight="1" s="250">
      <c r="A116" s="11" t="n"/>
      <c r="B116" s="12" t="n"/>
      <c r="C116" s="11" t="n"/>
      <c r="D116" s="249" t="n"/>
      <c r="E116" s="249" t="n"/>
      <c r="F116" s="249" t="n"/>
      <c r="G116" s="249" t="n"/>
      <c r="H116" s="249" t="n"/>
    </row>
    <row r="117" ht="14" customHeight="1" s="250">
      <c r="A117" s="11" t="n"/>
      <c r="B117" s="12" t="n"/>
      <c r="C117" s="11" t="n"/>
      <c r="D117" s="249" t="n"/>
      <c r="E117" s="249" t="n"/>
      <c r="F117" s="249" t="n"/>
      <c r="G117" s="249" t="n"/>
      <c r="H117" s="249" t="n"/>
    </row>
    <row r="118" ht="14" customHeight="1" s="250">
      <c r="A118" s="11" t="n"/>
      <c r="B118" s="12" t="n"/>
      <c r="C118" s="11" t="n"/>
      <c r="D118" s="249" t="n"/>
      <c r="E118" s="249" t="n"/>
      <c r="F118" s="249" t="n"/>
      <c r="G118" s="249" t="n"/>
      <c r="H118" s="249" t="n"/>
    </row>
    <row r="119" ht="14" customHeight="1" s="250">
      <c r="A119" s="11" t="n"/>
      <c r="B119" s="12" t="n"/>
      <c r="C119" s="11" t="n"/>
      <c r="D119" s="249" t="n"/>
      <c r="E119" s="249" t="n"/>
      <c r="F119" s="249" t="n"/>
      <c r="G119" s="249" t="n"/>
      <c r="H119" s="249" t="n"/>
    </row>
    <row r="120" ht="14" customHeight="1" s="250">
      <c r="A120" s="11" t="n"/>
      <c r="B120" s="12" t="n"/>
      <c r="C120" s="11" t="n"/>
      <c r="D120" s="249" t="n"/>
      <c r="E120" s="249" t="n"/>
      <c r="F120" s="249" t="n"/>
      <c r="G120" s="249" t="n"/>
      <c r="H120" s="249" t="n"/>
    </row>
    <row r="121" ht="14" customHeight="1" s="250">
      <c r="A121" s="11" t="n"/>
      <c r="B121" s="12" t="n"/>
      <c r="C121" s="11" t="n"/>
      <c r="D121" s="249" t="n"/>
      <c r="E121" s="249" t="n"/>
      <c r="F121" s="249" t="n"/>
      <c r="G121" s="249" t="n"/>
      <c r="H121" s="249" t="n"/>
    </row>
    <row r="122" ht="14" customHeight="1" s="250">
      <c r="A122" s="11" t="n"/>
      <c r="B122" s="12" t="n"/>
      <c r="C122" s="11" t="n"/>
      <c r="D122" s="249" t="n"/>
      <c r="E122" s="249" t="n"/>
      <c r="F122" s="249" t="n"/>
      <c r="G122" s="249" t="n"/>
      <c r="H122" s="249" t="n"/>
    </row>
    <row r="123" ht="14" customHeight="1" s="250">
      <c r="A123" s="11" t="n"/>
      <c r="B123" s="12" t="n"/>
      <c r="C123" s="11" t="n"/>
      <c r="D123" s="249" t="n"/>
      <c r="E123" s="249" t="n"/>
      <c r="F123" s="249" t="n"/>
      <c r="G123" s="249" t="n"/>
      <c r="H123" s="249" t="n"/>
    </row>
    <row r="124" ht="14" customHeight="1" s="250">
      <c r="A124" s="11" t="n"/>
      <c r="B124" s="12" t="n"/>
      <c r="C124" s="11" t="n"/>
      <c r="D124" s="249" t="n"/>
      <c r="E124" s="249" t="n"/>
      <c r="F124" s="249" t="n"/>
      <c r="G124" s="249" t="n"/>
      <c r="H124" s="249" t="n"/>
    </row>
    <row r="125" ht="14" customHeight="1" s="250">
      <c r="A125" s="11" t="n"/>
      <c r="B125" s="12" t="n"/>
      <c r="C125" s="11" t="n"/>
      <c r="D125" s="249" t="n"/>
      <c r="E125" s="249" t="n"/>
      <c r="F125" s="249" t="n"/>
      <c r="G125" s="249" t="n"/>
      <c r="H125" s="249" t="n"/>
    </row>
    <row r="126" ht="14" customHeight="1" s="250">
      <c r="A126" s="11" t="n"/>
      <c r="B126" s="12" t="n"/>
      <c r="C126" s="11" t="n"/>
      <c r="D126" s="249" t="n"/>
      <c r="E126" s="249" t="n"/>
      <c r="F126" s="249" t="n"/>
      <c r="G126" s="249" t="n"/>
      <c r="H126" s="249" t="n"/>
    </row>
    <row r="127" ht="14" customHeight="1" s="250">
      <c r="A127" s="11" t="n"/>
      <c r="B127" s="12" t="n"/>
      <c r="C127" s="11" t="n"/>
      <c r="D127" s="249" t="n"/>
      <c r="E127" s="249" t="n"/>
      <c r="F127" s="249" t="n"/>
      <c r="G127" s="249" t="n"/>
      <c r="H127" s="249" t="n"/>
    </row>
    <row r="128" ht="14" customHeight="1" s="250">
      <c r="A128" s="11" t="n"/>
      <c r="B128" s="12" t="n"/>
      <c r="C128" s="11" t="n"/>
      <c r="D128" s="249" t="n"/>
      <c r="E128" s="249" t="n"/>
      <c r="F128" s="249" t="n"/>
      <c r="G128" s="249" t="n"/>
      <c r="H128" s="249" t="n"/>
    </row>
    <row r="129" ht="14" customHeight="1" s="250">
      <c r="A129" s="11" t="n"/>
      <c r="B129" s="12" t="n"/>
      <c r="C129" s="11" t="n"/>
      <c r="D129" s="249" t="n"/>
      <c r="E129" s="249" t="n"/>
      <c r="F129" s="249" t="n"/>
      <c r="G129" s="249" t="n"/>
      <c r="H129" s="249" t="n"/>
    </row>
    <row r="130" ht="14" customHeight="1" s="250">
      <c r="A130" s="11" t="n"/>
      <c r="B130" s="12" t="n"/>
      <c r="C130" s="11" t="n"/>
      <c r="D130" s="249" t="n"/>
      <c r="E130" s="249" t="n"/>
      <c r="F130" s="249" t="n"/>
      <c r="G130" s="249" t="n"/>
      <c r="H130" s="249" t="n"/>
    </row>
    <row r="131" ht="14" customHeight="1" s="250">
      <c r="A131" s="11" t="n"/>
      <c r="B131" s="12" t="n"/>
      <c r="C131" s="11" t="n"/>
      <c r="D131" s="249" t="n"/>
      <c r="E131" s="249" t="n"/>
      <c r="F131" s="249" t="n"/>
      <c r="G131" s="249" t="n"/>
      <c r="H131" s="249" t="n"/>
    </row>
    <row r="132" ht="14" customHeight="1" s="250">
      <c r="A132" s="11" t="n"/>
      <c r="B132" s="12" t="n"/>
      <c r="C132" s="11" t="n"/>
      <c r="D132" s="249" t="n"/>
      <c r="E132" s="249" t="n"/>
      <c r="F132" s="249" t="n"/>
      <c r="G132" s="249" t="n"/>
      <c r="H132" s="249" t="n"/>
    </row>
    <row r="133" ht="14" customHeight="1" s="250">
      <c r="A133" s="11" t="n"/>
      <c r="B133" s="12" t="n"/>
      <c r="C133" s="11" t="n"/>
      <c r="D133" s="249" t="n"/>
      <c r="E133" s="249" t="n"/>
      <c r="F133" s="249" t="n"/>
      <c r="G133" s="249" t="n"/>
      <c r="H133" s="249" t="n"/>
    </row>
    <row r="134" ht="14" customHeight="1" s="250">
      <c r="A134" s="11" t="n"/>
      <c r="B134" s="12" t="n"/>
      <c r="C134" s="11" t="n"/>
      <c r="D134" s="249" t="n"/>
      <c r="E134" s="249" t="n"/>
      <c r="F134" s="249" t="n"/>
      <c r="G134" s="249" t="n"/>
      <c r="H134" s="249" t="n"/>
    </row>
    <row r="135" ht="14" customHeight="1" s="250">
      <c r="A135" s="11" t="n"/>
      <c r="B135" s="12" t="n"/>
      <c r="C135" s="11" t="n"/>
      <c r="D135" s="249" t="n"/>
      <c r="E135" s="249" t="n"/>
      <c r="F135" s="249" t="n"/>
      <c r="G135" s="249" t="n"/>
      <c r="H135" s="249" t="n"/>
    </row>
    <row r="136" ht="14" customHeight="1" s="250">
      <c r="A136" s="11" t="n"/>
      <c r="B136" s="12" t="n"/>
      <c r="C136" s="11" t="n"/>
      <c r="D136" s="249" t="n"/>
      <c r="E136" s="249" t="n"/>
      <c r="F136" s="249" t="n"/>
      <c r="G136" s="249" t="n"/>
      <c r="H136" s="249" t="n"/>
    </row>
    <row r="137" ht="14" customHeight="1" s="250">
      <c r="A137" s="11" t="n"/>
      <c r="B137" s="12" t="n"/>
      <c r="C137" s="11" t="n"/>
      <c r="D137" s="249" t="n"/>
      <c r="E137" s="249" t="n"/>
      <c r="F137" s="249" t="n"/>
      <c r="G137" s="249" t="n"/>
      <c r="H137" s="249" t="n"/>
    </row>
    <row r="138" ht="14" customHeight="1" s="250">
      <c r="A138" s="11" t="n"/>
      <c r="B138" s="12" t="n"/>
      <c r="C138" s="11" t="n"/>
      <c r="D138" s="249" t="n"/>
      <c r="E138" s="249" t="n"/>
      <c r="F138" s="249" t="n"/>
      <c r="G138" s="249" t="n"/>
      <c r="H138" s="249" t="n"/>
    </row>
    <row r="139" ht="14" customHeight="1" s="250">
      <c r="A139" s="11" t="n"/>
      <c r="B139" s="12" t="n"/>
      <c r="C139" s="11" t="n"/>
      <c r="D139" s="249" t="n"/>
      <c r="E139" s="249" t="n"/>
      <c r="F139" s="249" t="n"/>
      <c r="G139" s="249" t="n"/>
      <c r="H139" s="249" t="n"/>
    </row>
    <row r="140" ht="14" customHeight="1" s="250">
      <c r="A140" s="11" t="n"/>
      <c r="B140" s="12" t="n"/>
      <c r="C140" s="11" t="n"/>
      <c r="D140" s="249" t="n"/>
      <c r="E140" s="249" t="n"/>
      <c r="F140" s="249" t="n"/>
      <c r="G140" s="249" t="n"/>
      <c r="H140" s="249" t="n"/>
    </row>
    <row r="141" ht="14" customHeight="1" s="250">
      <c r="A141" s="11" t="n"/>
      <c r="B141" s="12" t="n"/>
      <c r="C141" s="11" t="n"/>
      <c r="D141" s="249" t="n"/>
      <c r="E141" s="249" t="n"/>
      <c r="F141" s="249" t="n"/>
      <c r="G141" s="249" t="n"/>
      <c r="H141" s="249" t="n"/>
    </row>
    <row r="142" ht="14" customHeight="1" s="250">
      <c r="A142" s="11" t="n"/>
      <c r="B142" s="12" t="n"/>
      <c r="C142" s="11" t="n"/>
      <c r="D142" s="249" t="n"/>
      <c r="E142" s="249" t="n"/>
      <c r="F142" s="249" t="n"/>
      <c r="G142" s="249" t="n"/>
      <c r="H142" s="249" t="n"/>
    </row>
    <row r="143" ht="14" customHeight="1" s="250">
      <c r="A143" s="11" t="n"/>
      <c r="B143" s="12" t="n"/>
      <c r="C143" s="11" t="n"/>
      <c r="D143" s="249" t="n"/>
      <c r="E143" s="249" t="n"/>
      <c r="F143" s="249" t="n"/>
      <c r="G143" s="249" t="n"/>
      <c r="H143" s="249" t="n"/>
    </row>
    <row r="144" ht="14" customHeight="1" s="250">
      <c r="A144" s="11" t="n"/>
      <c r="B144" s="12" t="n"/>
      <c r="C144" s="11" t="n"/>
      <c r="D144" s="249" t="n"/>
      <c r="E144" s="249" t="n"/>
      <c r="F144" s="249" t="n"/>
      <c r="G144" s="249" t="n"/>
      <c r="H144" s="249" t="n"/>
    </row>
    <row r="145" ht="14" customHeight="1" s="250">
      <c r="A145" s="11" t="n"/>
      <c r="B145" s="12" t="n"/>
      <c r="C145" s="11" t="n"/>
      <c r="D145" s="249" t="n"/>
      <c r="E145" s="249" t="n"/>
      <c r="F145" s="249" t="n"/>
      <c r="G145" s="249" t="n"/>
      <c r="H145" s="249" t="n"/>
    </row>
    <row r="146" ht="14" customHeight="1" s="250">
      <c r="A146" s="11" t="n"/>
      <c r="B146" s="12" t="n"/>
      <c r="C146" s="11" t="n"/>
      <c r="D146" s="249" t="n"/>
      <c r="E146" s="249" t="n"/>
      <c r="F146" s="249" t="n"/>
      <c r="G146" s="249" t="n"/>
      <c r="H146" s="249" t="n"/>
    </row>
    <row r="147" ht="14" customHeight="1" s="250">
      <c r="A147" s="11" t="n"/>
      <c r="B147" s="12" t="n"/>
      <c r="C147" s="11" t="n"/>
      <c r="D147" s="249" t="n"/>
      <c r="E147" s="249" t="n"/>
      <c r="F147" s="249" t="n"/>
      <c r="G147" s="249" t="n"/>
      <c r="H147" s="249" t="n"/>
    </row>
    <row r="148" ht="14" customHeight="1" s="250">
      <c r="A148" s="11" t="n"/>
      <c r="B148" s="12" t="n"/>
      <c r="C148" s="11" t="n"/>
      <c r="D148" s="249" t="n"/>
      <c r="E148" s="249" t="n"/>
      <c r="F148" s="249" t="n"/>
      <c r="G148" s="249" t="n"/>
      <c r="H148" s="249" t="n"/>
    </row>
    <row r="149" ht="14" customHeight="1" s="250">
      <c r="A149" s="11" t="n"/>
      <c r="B149" s="12" t="n"/>
      <c r="C149" s="11" t="n"/>
      <c r="D149" s="249" t="n"/>
      <c r="E149" s="249" t="n"/>
      <c r="F149" s="249" t="n"/>
      <c r="G149" s="249" t="n"/>
      <c r="H149" s="249" t="n"/>
    </row>
    <row r="150" ht="14" customHeight="1" s="250">
      <c r="A150" s="11" t="n"/>
      <c r="B150" s="12" t="n"/>
      <c r="C150" s="11" t="n"/>
      <c r="D150" s="249" t="n"/>
      <c r="E150" s="249" t="n"/>
      <c r="F150" s="249" t="n"/>
      <c r="G150" s="249" t="n"/>
      <c r="H150" s="249" t="n"/>
    </row>
    <row r="151" ht="14" customHeight="1" s="250">
      <c r="A151" s="11" t="n"/>
      <c r="B151" s="12" t="n"/>
      <c r="C151" s="11" t="n"/>
      <c r="D151" s="249" t="n"/>
      <c r="E151" s="249" t="n"/>
      <c r="F151" s="249" t="n"/>
      <c r="G151" s="249" t="n"/>
      <c r="H151" s="249" t="n"/>
    </row>
    <row r="152" ht="14" customHeight="1" s="250">
      <c r="A152" s="11" t="n"/>
      <c r="B152" s="12" t="n"/>
      <c r="C152" s="11" t="n"/>
      <c r="D152" s="249" t="n"/>
      <c r="E152" s="249" t="n"/>
      <c r="F152" s="249" t="n"/>
      <c r="G152" s="249" t="n"/>
      <c r="H152" s="249" t="n"/>
    </row>
    <row r="153" ht="14" customHeight="1" s="250">
      <c r="A153" s="11" t="n"/>
      <c r="B153" s="12" t="n"/>
      <c r="C153" s="11" t="n"/>
      <c r="D153" s="249" t="n"/>
      <c r="E153" s="249" t="n"/>
      <c r="F153" s="249" t="n"/>
      <c r="G153" s="249" t="n"/>
      <c r="H153" s="249" t="n"/>
    </row>
    <row r="154" ht="14" customHeight="1" s="250">
      <c r="A154" s="11" t="n"/>
      <c r="B154" s="12" t="n"/>
      <c r="C154" s="11" t="n"/>
      <c r="D154" s="249" t="n"/>
      <c r="E154" s="249" t="n"/>
      <c r="F154" s="249" t="n"/>
      <c r="G154" s="249" t="n"/>
      <c r="H154" s="249" t="n"/>
    </row>
    <row r="155" ht="14" customHeight="1" s="250">
      <c r="A155" s="11" t="n"/>
      <c r="B155" s="12" t="n"/>
      <c r="C155" s="11" t="n"/>
      <c r="D155" s="249" t="n"/>
      <c r="E155" s="249" t="n"/>
      <c r="F155" s="249" t="n"/>
      <c r="G155" s="249" t="n"/>
      <c r="H155" s="249" t="n"/>
    </row>
    <row r="156" ht="14" customHeight="1" s="250">
      <c r="A156" s="11" t="n"/>
      <c r="B156" s="12" t="n"/>
      <c r="C156" s="11" t="n"/>
      <c r="D156" s="249" t="n"/>
      <c r="E156" s="249" t="n"/>
      <c r="F156" s="249" t="n"/>
      <c r="G156" s="249" t="n"/>
      <c r="H156" s="249" t="n"/>
    </row>
    <row r="157" ht="14" customHeight="1" s="250">
      <c r="A157" s="11" t="n"/>
      <c r="B157" s="12" t="n"/>
      <c r="C157" s="11" t="n"/>
      <c r="D157" s="249" t="n"/>
      <c r="E157" s="249" t="n"/>
      <c r="F157" s="249" t="n"/>
      <c r="G157" s="249" t="n"/>
      <c r="H157" s="249" t="n"/>
    </row>
    <row r="158" ht="14" customHeight="1" s="250">
      <c r="A158" s="11" t="n"/>
      <c r="B158" s="12" t="n"/>
      <c r="C158" s="11" t="n"/>
      <c r="D158" s="249" t="n"/>
      <c r="E158" s="249" t="n"/>
      <c r="F158" s="249" t="n"/>
      <c r="G158" s="249" t="n"/>
      <c r="H158" s="249" t="n"/>
    </row>
    <row r="159" ht="14" customHeight="1" s="250">
      <c r="A159" s="11" t="n"/>
      <c r="B159" s="12" t="n"/>
      <c r="C159" s="11" t="n"/>
      <c r="D159" s="249" t="n"/>
      <c r="E159" s="249" t="n"/>
      <c r="F159" s="249" t="n"/>
      <c r="G159" s="249" t="n"/>
      <c r="H159" s="249" t="n"/>
    </row>
    <row r="160" ht="14" customHeight="1" s="250">
      <c r="A160" s="11" t="n"/>
      <c r="B160" s="12" t="n"/>
      <c r="C160" s="11" t="n"/>
      <c r="D160" s="249" t="n"/>
      <c r="E160" s="249" t="n"/>
      <c r="F160" s="249" t="n"/>
      <c r="G160" s="249" t="n"/>
      <c r="H160" s="249" t="n"/>
    </row>
    <row r="161" ht="14" customHeight="1" s="250">
      <c r="A161" s="11" t="n"/>
      <c r="B161" s="12" t="n"/>
      <c r="C161" s="11" t="n"/>
      <c r="D161" s="249" t="n"/>
      <c r="E161" s="249" t="n"/>
      <c r="F161" s="249" t="n"/>
      <c r="G161" s="249" t="n"/>
      <c r="H161" s="249" t="n"/>
    </row>
    <row r="162" ht="14" customHeight="1" s="250">
      <c r="A162" s="11" t="n"/>
      <c r="B162" s="12" t="n"/>
      <c r="C162" s="11" t="n"/>
      <c r="D162" s="249" t="n"/>
      <c r="E162" s="249" t="n"/>
      <c r="F162" s="249" t="n"/>
      <c r="G162" s="249" t="n"/>
      <c r="H162" s="249" t="n"/>
    </row>
    <row r="163" ht="14" customHeight="1" s="250">
      <c r="A163" s="11" t="n"/>
      <c r="B163" s="12" t="n"/>
      <c r="C163" s="11" t="n"/>
      <c r="D163" s="249" t="n"/>
      <c r="E163" s="249" t="n"/>
      <c r="F163" s="249" t="n"/>
      <c r="G163" s="249" t="n"/>
      <c r="H163" s="249" t="n"/>
    </row>
    <row r="164" ht="14" customHeight="1" s="250">
      <c r="A164" s="11" t="n"/>
      <c r="B164" s="12" t="n"/>
      <c r="C164" s="11" t="n"/>
      <c r="D164" s="249" t="n"/>
      <c r="E164" s="249" t="n"/>
      <c r="F164" s="249" t="n"/>
      <c r="G164" s="249" t="n"/>
      <c r="H164" s="249" t="n"/>
    </row>
    <row r="165" ht="14" customHeight="1" s="250">
      <c r="A165" s="11" t="n"/>
      <c r="B165" s="12" t="n"/>
      <c r="C165" s="11" t="n"/>
      <c r="D165" s="249" t="n"/>
      <c r="E165" s="249" t="n"/>
      <c r="F165" s="249" t="n"/>
      <c r="G165" s="249" t="n"/>
      <c r="H165" s="249" t="n"/>
    </row>
    <row r="166" ht="14" customHeight="1" s="250">
      <c r="A166" s="11" t="n"/>
      <c r="B166" s="12" t="n"/>
      <c r="C166" s="11" t="n"/>
      <c r="D166" s="249" t="n"/>
      <c r="E166" s="249" t="n"/>
      <c r="F166" s="249" t="n"/>
      <c r="G166" s="249" t="n"/>
      <c r="H166" s="249" t="n"/>
    </row>
    <row r="167" ht="14" customHeight="1" s="250">
      <c r="A167" s="11" t="n"/>
      <c r="B167" s="12" t="n"/>
      <c r="C167" s="11" t="n"/>
      <c r="D167" s="249" t="n"/>
      <c r="E167" s="249" t="n"/>
      <c r="F167" s="249" t="n"/>
      <c r="G167" s="249" t="n"/>
      <c r="H167" s="249" t="n"/>
    </row>
    <row r="168" ht="14" customHeight="1" s="250">
      <c r="A168" s="11" t="n"/>
      <c r="B168" s="12" t="n"/>
      <c r="C168" s="11" t="n"/>
      <c r="D168" s="249" t="n"/>
      <c r="E168" s="249" t="n"/>
      <c r="F168" s="249" t="n"/>
      <c r="G168" s="249" t="n"/>
      <c r="H168" s="249" t="n"/>
    </row>
    <row r="169" ht="14" customHeight="1" s="250">
      <c r="A169" s="11" t="n"/>
      <c r="B169" s="12" t="n"/>
      <c r="C169" s="11" t="n"/>
      <c r="D169" s="249" t="n"/>
      <c r="E169" s="249" t="n"/>
      <c r="F169" s="249" t="n"/>
      <c r="G169" s="249" t="n"/>
      <c r="H169" s="249" t="n"/>
    </row>
    <row r="170" ht="14" customHeight="1" s="250">
      <c r="A170" s="11" t="n"/>
      <c r="B170" s="12" t="n"/>
      <c r="C170" s="11" t="n"/>
      <c r="D170" s="249" t="n"/>
      <c r="E170" s="249" t="n"/>
      <c r="F170" s="249" t="n"/>
      <c r="G170" s="249" t="n"/>
      <c r="H170" s="249" t="n"/>
    </row>
    <row r="171" ht="14" customHeight="1" s="250">
      <c r="A171" s="11" t="n"/>
      <c r="B171" s="12" t="n"/>
      <c r="C171" s="11" t="n"/>
      <c r="D171" s="249" t="n"/>
      <c r="E171" s="249" t="n"/>
      <c r="F171" s="249" t="n"/>
      <c r="G171" s="249" t="n"/>
      <c r="H171" s="249" t="n"/>
    </row>
    <row r="172" ht="14" customHeight="1" s="250">
      <c r="A172" s="11" t="n"/>
      <c r="B172" s="12" t="n"/>
      <c r="C172" s="11" t="n"/>
      <c r="D172" s="249" t="n"/>
      <c r="E172" s="249" t="n"/>
      <c r="F172" s="249" t="n"/>
      <c r="G172" s="249" t="n"/>
      <c r="H172" s="249" t="n"/>
    </row>
    <row r="173" ht="14" customHeight="1" s="250">
      <c r="A173" s="11" t="n"/>
      <c r="B173" s="12" t="n"/>
      <c r="C173" s="11" t="n"/>
      <c r="D173" s="249" t="n"/>
      <c r="E173" s="249" t="n"/>
      <c r="F173" s="249" t="n"/>
      <c r="G173" s="249" t="n"/>
      <c r="H173" s="249" t="n"/>
    </row>
    <row r="174" ht="14" customHeight="1" s="250">
      <c r="A174" s="11" t="n"/>
      <c r="B174" s="12" t="n"/>
      <c r="C174" s="11" t="n"/>
      <c r="D174" s="249" t="n"/>
      <c r="E174" s="249" t="n"/>
      <c r="F174" s="249" t="n"/>
      <c r="G174" s="249" t="n"/>
      <c r="H174" s="249" t="n"/>
    </row>
    <row r="175" ht="14" customHeight="1" s="250">
      <c r="A175" s="11" t="n"/>
      <c r="B175" s="12" t="n"/>
      <c r="C175" s="11" t="n"/>
      <c r="D175" s="249" t="n"/>
      <c r="E175" s="249" t="n"/>
      <c r="F175" s="249" t="n"/>
      <c r="G175" s="249" t="n"/>
      <c r="H175" s="249" t="n"/>
    </row>
    <row r="176" ht="14" customHeight="1" s="250">
      <c r="A176" s="11" t="n"/>
      <c r="B176" s="12" t="n"/>
      <c r="C176" s="11" t="n"/>
      <c r="D176" s="249" t="n"/>
      <c r="E176" s="249" t="n"/>
      <c r="F176" s="249" t="n"/>
      <c r="G176" s="249" t="n"/>
      <c r="H176" s="249" t="n"/>
    </row>
    <row r="177" ht="14" customHeight="1" s="250">
      <c r="A177" s="11" t="n"/>
      <c r="B177" s="12" t="n"/>
      <c r="C177" s="11" t="n"/>
      <c r="D177" s="249" t="n"/>
      <c r="E177" s="249" t="n"/>
      <c r="F177" s="249" t="n"/>
      <c r="G177" s="249" t="n"/>
      <c r="H177" s="249" t="n"/>
    </row>
    <row r="178" ht="14" customHeight="1" s="250">
      <c r="A178" s="11" t="n"/>
      <c r="B178" s="12" t="n"/>
      <c r="C178" s="11" t="n"/>
      <c r="D178" s="249" t="n"/>
      <c r="E178" s="249" t="n"/>
      <c r="F178" s="249" t="n"/>
      <c r="G178" s="249" t="n"/>
      <c r="H178" s="249" t="n"/>
    </row>
    <row r="179" ht="14" customHeight="1" s="250">
      <c r="A179" s="11" t="n"/>
      <c r="B179" s="12" t="n"/>
      <c r="C179" s="11" t="n"/>
      <c r="D179" s="249" t="n"/>
      <c r="E179" s="249" t="n"/>
      <c r="F179" s="249" t="n"/>
      <c r="G179" s="249" t="n"/>
      <c r="H179" s="249" t="n"/>
    </row>
    <row r="180" ht="14" customHeight="1" s="250">
      <c r="A180" s="11" t="n"/>
      <c r="B180" s="12" t="n"/>
      <c r="C180" s="11" t="n"/>
      <c r="D180" s="249" t="n"/>
      <c r="E180" s="249" t="n"/>
      <c r="F180" s="249" t="n"/>
      <c r="G180" s="249" t="n"/>
      <c r="H180" s="249" t="n"/>
    </row>
    <row r="181" ht="14" customHeight="1" s="250">
      <c r="A181" s="11" t="n"/>
      <c r="B181" s="12" t="n"/>
      <c r="C181" s="11" t="n"/>
      <c r="D181" s="249" t="n"/>
      <c r="E181" s="249" t="n"/>
      <c r="F181" s="249" t="n"/>
      <c r="G181" s="249" t="n"/>
      <c r="H181" s="249" t="n"/>
    </row>
    <row r="182" ht="14" customHeight="1" s="250">
      <c r="A182" s="11" t="n"/>
      <c r="B182" s="12" t="n"/>
      <c r="C182" s="11" t="n"/>
      <c r="D182" s="249" t="n"/>
      <c r="E182" s="249" t="n"/>
      <c r="F182" s="249" t="n"/>
      <c r="G182" s="249" t="n"/>
      <c r="H182" s="249" t="n"/>
    </row>
    <row r="183" ht="14" customHeight="1" s="250">
      <c r="A183" s="11" t="n"/>
      <c r="B183" s="12" t="n"/>
      <c r="C183" s="11" t="n"/>
      <c r="D183" s="249" t="n"/>
      <c r="E183" s="249" t="n"/>
      <c r="F183" s="249" t="n"/>
      <c r="G183" s="249" t="n"/>
      <c r="H183" s="249" t="n"/>
    </row>
    <row r="184" ht="14" customHeight="1" s="250">
      <c r="A184" s="11" t="n"/>
      <c r="B184" s="12" t="n"/>
      <c r="C184" s="11" t="n"/>
      <c r="D184" s="249" t="n"/>
      <c r="E184" s="249" t="n"/>
      <c r="F184" s="249" t="n"/>
      <c r="G184" s="249" t="n"/>
      <c r="H184" s="249" t="n"/>
    </row>
    <row r="185" ht="14" customHeight="1" s="250">
      <c r="A185" s="11" t="n"/>
      <c r="B185" s="12" t="n"/>
      <c r="C185" s="11" t="n"/>
      <c r="D185" s="249" t="n"/>
      <c r="E185" s="249" t="n"/>
      <c r="F185" s="249" t="n"/>
      <c r="G185" s="249" t="n"/>
      <c r="H185" s="249" t="n"/>
    </row>
    <row r="186" ht="14" customHeight="1" s="250">
      <c r="A186" s="11" t="n"/>
      <c r="B186" s="12" t="n"/>
      <c r="C186" s="11" t="n"/>
      <c r="D186" s="249" t="n"/>
      <c r="E186" s="249" t="n"/>
      <c r="F186" s="249" t="n"/>
      <c r="G186" s="249" t="n"/>
      <c r="H186" s="249" t="n"/>
    </row>
    <row r="187" ht="14" customHeight="1" s="250">
      <c r="A187" s="11" t="n"/>
      <c r="B187" s="12" t="n"/>
      <c r="C187" s="11" t="n"/>
      <c r="D187" s="249" t="n"/>
      <c r="E187" s="249" t="n"/>
      <c r="F187" s="249" t="n"/>
      <c r="G187" s="249" t="n"/>
      <c r="H187" s="249" t="n"/>
    </row>
    <row r="188" ht="14" customHeight="1" s="250">
      <c r="A188" s="11" t="n"/>
      <c r="B188" s="12" t="n"/>
      <c r="C188" s="11" t="n"/>
      <c r="D188" s="249" t="n"/>
      <c r="E188" s="249" t="n"/>
      <c r="F188" s="249" t="n"/>
      <c r="G188" s="249" t="n"/>
      <c r="H188" s="249" t="n"/>
    </row>
    <row r="189" ht="14" customHeight="1" s="250">
      <c r="A189" s="11" t="n"/>
      <c r="B189" s="12" t="n"/>
      <c r="C189" s="11" t="n"/>
      <c r="D189" s="249" t="n"/>
      <c r="E189" s="249" t="n"/>
      <c r="F189" s="249" t="n"/>
      <c r="G189" s="249" t="n"/>
      <c r="H189" s="249" t="n"/>
    </row>
    <row r="190" ht="14" customHeight="1" s="250">
      <c r="A190" s="11" t="n"/>
      <c r="B190" s="12" t="n"/>
      <c r="C190" s="11" t="n"/>
      <c r="D190" s="249" t="n"/>
      <c r="E190" s="249" t="n"/>
      <c r="F190" s="249" t="n"/>
      <c r="G190" s="249" t="n"/>
      <c r="H190" s="249" t="n"/>
    </row>
    <row r="191" ht="14" customHeight="1" s="250">
      <c r="A191" s="11" t="n"/>
      <c r="B191" s="12" t="n"/>
      <c r="C191" s="11" t="n"/>
      <c r="D191" s="249" t="n"/>
      <c r="E191" s="249" t="n"/>
      <c r="F191" s="249" t="n"/>
      <c r="G191" s="249" t="n"/>
      <c r="H191" s="249" t="n"/>
    </row>
    <row r="192" ht="14" customHeight="1" s="250">
      <c r="A192" s="11" t="n"/>
      <c r="B192" s="12" t="n"/>
      <c r="C192" s="11" t="n"/>
      <c r="D192" s="249" t="n"/>
      <c r="E192" s="249" t="n"/>
      <c r="F192" s="249" t="n"/>
      <c r="G192" s="249" t="n"/>
      <c r="H192" s="249" t="n"/>
    </row>
    <row r="193" ht="14" customHeight="1" s="250">
      <c r="A193" s="11" t="n"/>
      <c r="B193" s="12" t="n"/>
      <c r="C193" s="11" t="n"/>
      <c r="D193" s="249" t="n"/>
      <c r="E193" s="249" t="n"/>
      <c r="F193" s="249" t="n"/>
      <c r="G193" s="249" t="n"/>
      <c r="H193" s="249" t="n"/>
    </row>
    <row r="194" ht="14" customHeight="1" s="250">
      <c r="A194" s="11" t="n"/>
      <c r="B194" s="12" t="n"/>
      <c r="C194" s="11" t="n"/>
      <c r="D194" s="249" t="n"/>
      <c r="E194" s="249" t="n"/>
      <c r="F194" s="249" t="n"/>
      <c r="G194" s="249" t="n"/>
      <c r="H194" s="249" t="n"/>
    </row>
    <row r="195" ht="14" customHeight="1" s="250">
      <c r="A195" s="11" t="n"/>
      <c r="B195" s="12" t="n"/>
      <c r="C195" s="11" t="n"/>
      <c r="D195" s="249" t="n"/>
      <c r="E195" s="249" t="n"/>
      <c r="F195" s="249" t="n"/>
      <c r="G195" s="249" t="n"/>
      <c r="H195" s="249" t="n"/>
    </row>
    <row r="196" ht="14" customHeight="1" s="250">
      <c r="A196" s="11" t="n"/>
      <c r="B196" s="12" t="n"/>
      <c r="C196" s="11" t="n"/>
      <c r="D196" s="249" t="n"/>
      <c r="E196" s="249" t="n"/>
      <c r="F196" s="249" t="n"/>
      <c r="G196" s="249" t="n"/>
      <c r="H196" s="249" t="n"/>
    </row>
    <row r="197" ht="14" customHeight="1" s="250">
      <c r="A197" s="11" t="n"/>
      <c r="B197" s="12" t="n"/>
      <c r="C197" s="11" t="n"/>
      <c r="D197" s="249" t="n"/>
      <c r="E197" s="249" t="n"/>
      <c r="F197" s="249" t="n"/>
      <c r="G197" s="249" t="n"/>
      <c r="H197" s="249" t="n"/>
    </row>
    <row r="198" ht="14" customHeight="1" s="250">
      <c r="A198" s="11" t="n"/>
      <c r="B198" s="12" t="n"/>
      <c r="C198" s="11" t="n"/>
      <c r="D198" s="249" t="n"/>
      <c r="E198" s="249" t="n"/>
      <c r="F198" s="249" t="n"/>
      <c r="G198" s="249" t="n"/>
      <c r="H198" s="249" t="n"/>
    </row>
    <row r="199" ht="14" customHeight="1" s="250">
      <c r="A199" s="11" t="n"/>
      <c r="B199" s="12" t="n"/>
      <c r="C199" s="11" t="n"/>
      <c r="D199" s="249" t="n"/>
      <c r="E199" s="249" t="n"/>
      <c r="F199" s="249" t="n"/>
      <c r="G199" s="249" t="n"/>
      <c r="H199" s="249" t="n"/>
    </row>
    <row r="200" ht="14" customHeight="1" s="250">
      <c r="A200" s="11" t="n"/>
      <c r="B200" s="12" t="n"/>
      <c r="C200" s="11" t="n"/>
      <c r="D200" s="249" t="n"/>
      <c r="E200" s="249" t="n"/>
      <c r="F200" s="249" t="n"/>
      <c r="G200" s="249" t="n"/>
      <c r="H200" s="249" t="n"/>
    </row>
    <row r="201" ht="14" customHeight="1" s="250">
      <c r="A201" s="11" t="n"/>
      <c r="B201" s="12" t="n"/>
      <c r="C201" s="11" t="n"/>
      <c r="D201" s="249" t="n"/>
      <c r="E201" s="249" t="n"/>
      <c r="F201" s="249" t="n"/>
      <c r="G201" s="249" t="n"/>
      <c r="H201" s="249" t="n"/>
    </row>
    <row r="202" ht="14" customHeight="1" s="250">
      <c r="A202" s="11" t="n"/>
      <c r="B202" s="12" t="n"/>
      <c r="C202" s="11" t="n"/>
      <c r="D202" s="249" t="n"/>
      <c r="E202" s="249" t="n"/>
      <c r="F202" s="249" t="n"/>
      <c r="G202" s="249" t="n"/>
      <c r="H202" s="249" t="n"/>
    </row>
    <row r="203" ht="14" customHeight="1" s="250">
      <c r="A203" s="11" t="n"/>
      <c r="B203" s="12" t="n"/>
      <c r="C203" s="11" t="n"/>
      <c r="D203" s="249" t="n"/>
      <c r="E203" s="249" t="n"/>
      <c r="F203" s="249" t="n"/>
      <c r="G203" s="249" t="n"/>
      <c r="H203" s="249" t="n"/>
    </row>
    <row r="204" ht="14" customHeight="1" s="250">
      <c r="A204" s="11" t="n"/>
      <c r="B204" s="12" t="n"/>
      <c r="C204" s="11" t="n"/>
      <c r="D204" s="249" t="n"/>
      <c r="E204" s="249" t="n"/>
      <c r="F204" s="249" t="n"/>
      <c r="G204" s="249" t="n"/>
      <c r="H204" s="249" t="n"/>
    </row>
    <row r="205" ht="14" customHeight="1" s="250">
      <c r="A205" s="11" t="n"/>
      <c r="B205" s="12" t="n"/>
      <c r="C205" s="11" t="n"/>
      <c r="D205" s="249" t="n"/>
      <c r="E205" s="249" t="n"/>
      <c r="F205" s="249" t="n"/>
      <c r="G205" s="249" t="n"/>
      <c r="H205" s="249" t="n"/>
    </row>
    <row r="206" ht="14" customHeight="1" s="250">
      <c r="A206" s="11" t="n"/>
      <c r="B206" s="12" t="n"/>
      <c r="C206" s="11" t="n"/>
      <c r="D206" s="249" t="n"/>
      <c r="E206" s="249" t="n"/>
      <c r="F206" s="249" t="n"/>
      <c r="G206" s="249" t="n"/>
      <c r="H206" s="249" t="n"/>
    </row>
    <row r="207" ht="14" customHeight="1" s="250">
      <c r="A207" s="11" t="n"/>
      <c r="B207" s="12" t="n"/>
      <c r="C207" s="11" t="n"/>
      <c r="D207" s="249" t="n"/>
      <c r="E207" s="249" t="n"/>
      <c r="F207" s="249" t="n"/>
      <c r="G207" s="249" t="n"/>
      <c r="H207" s="249" t="n"/>
    </row>
    <row r="208" ht="14" customHeight="1" s="250">
      <c r="A208" s="11" t="n"/>
      <c r="B208" s="12" t="n"/>
      <c r="C208" s="11" t="n"/>
      <c r="D208" s="249" t="n"/>
      <c r="E208" s="249" t="n"/>
      <c r="F208" s="249" t="n"/>
      <c r="G208" s="249" t="n"/>
      <c r="H208" s="249" t="n"/>
    </row>
    <row r="209" ht="14" customHeight="1" s="250">
      <c r="A209" s="11" t="n"/>
      <c r="B209" s="12" t="n"/>
      <c r="C209" s="11" t="n"/>
      <c r="D209" s="249" t="n"/>
      <c r="E209" s="249" t="n"/>
      <c r="F209" s="249" t="n"/>
      <c r="G209" s="249" t="n"/>
      <c r="H209" s="249" t="n"/>
    </row>
    <row r="210" ht="14" customHeight="1" s="250">
      <c r="A210" s="11" t="n"/>
      <c r="B210" s="12" t="n"/>
      <c r="C210" s="11" t="n"/>
      <c r="D210" s="249" t="n"/>
      <c r="E210" s="249" t="n"/>
      <c r="F210" s="249" t="n"/>
      <c r="G210" s="249" t="n"/>
      <c r="H210" s="249" t="n"/>
    </row>
    <row r="211" ht="14" customHeight="1" s="250">
      <c r="A211" s="11" t="n"/>
      <c r="B211" s="12" t="n"/>
      <c r="C211" s="11" t="n"/>
      <c r="D211" s="249" t="n"/>
      <c r="E211" s="249" t="n"/>
      <c r="F211" s="249" t="n"/>
      <c r="G211" s="249" t="n"/>
      <c r="H211" s="249" t="n"/>
    </row>
    <row r="212" ht="14" customHeight="1" s="250">
      <c r="A212" s="11" t="n"/>
      <c r="B212" s="12" t="n"/>
      <c r="C212" s="11" t="n"/>
      <c r="D212" s="249" t="n"/>
      <c r="E212" s="249" t="n"/>
      <c r="F212" s="249" t="n"/>
      <c r="G212" s="249" t="n"/>
      <c r="H212" s="249" t="n"/>
    </row>
    <row r="213" ht="14" customHeight="1" s="250">
      <c r="A213" s="11" t="n"/>
      <c r="B213" s="12" t="n"/>
      <c r="C213" s="11" t="n"/>
      <c r="D213" s="249" t="n"/>
      <c r="E213" s="249" t="n"/>
      <c r="F213" s="249" t="n"/>
      <c r="G213" s="249" t="n"/>
      <c r="H213" s="249" t="n"/>
    </row>
    <row r="214" ht="14" customHeight="1" s="250">
      <c r="A214" s="11" t="n"/>
      <c r="B214" s="12" t="n"/>
      <c r="C214" s="11" t="n"/>
      <c r="D214" s="249" t="n"/>
      <c r="E214" s="249" t="n"/>
      <c r="F214" s="249" t="n"/>
      <c r="G214" s="249" t="n"/>
      <c r="H214" s="249" t="n"/>
    </row>
    <row r="215" ht="14" customHeight="1" s="250">
      <c r="A215" s="11" t="n"/>
      <c r="B215" s="12" t="n"/>
      <c r="C215" s="11" t="n"/>
      <c r="D215" s="249" t="n"/>
      <c r="E215" s="249" t="n"/>
      <c r="F215" s="249" t="n"/>
      <c r="G215" s="249" t="n"/>
      <c r="H215" s="249" t="n"/>
    </row>
    <row r="216" ht="14" customHeight="1" s="250">
      <c r="A216" s="11" t="n"/>
      <c r="B216" s="12" t="n"/>
      <c r="C216" s="11" t="n"/>
      <c r="D216" s="249" t="n"/>
      <c r="E216" s="249" t="n"/>
      <c r="F216" s="249" t="n"/>
      <c r="G216" s="249" t="n"/>
      <c r="H216" s="249" t="n"/>
    </row>
    <row r="217" ht="14" customHeight="1" s="250">
      <c r="A217" s="11" t="n"/>
      <c r="B217" s="12" t="n"/>
      <c r="C217" s="11" t="n"/>
      <c r="D217" s="249" t="n"/>
      <c r="E217" s="249" t="n"/>
      <c r="F217" s="249" t="n"/>
      <c r="G217" s="249" t="n"/>
      <c r="H217" s="249" t="n"/>
    </row>
    <row r="218" ht="14" customHeight="1" s="250">
      <c r="A218" s="11" t="n"/>
      <c r="B218" s="12" t="n"/>
      <c r="C218" s="11" t="n"/>
      <c r="D218" s="249" t="n"/>
      <c r="E218" s="249" t="n"/>
      <c r="F218" s="249" t="n"/>
      <c r="G218" s="249" t="n"/>
      <c r="H218" s="249" t="n"/>
    </row>
    <row r="219" ht="14" customHeight="1" s="250">
      <c r="A219" s="11" t="n"/>
      <c r="B219" s="12" t="n"/>
      <c r="C219" s="11" t="n"/>
      <c r="D219" s="249" t="n"/>
      <c r="E219" s="249" t="n"/>
      <c r="F219" s="249" t="n"/>
      <c r="G219" s="249" t="n"/>
      <c r="H219" s="249" t="n"/>
    </row>
    <row r="220" ht="14" customHeight="1" s="250">
      <c r="A220" s="11" t="n"/>
      <c r="B220" s="12" t="n"/>
      <c r="C220" s="11" t="n"/>
      <c r="D220" s="249" t="n"/>
      <c r="E220" s="249" t="n"/>
      <c r="F220" s="249" t="n"/>
      <c r="G220" s="249" t="n"/>
      <c r="H220" s="249" t="n"/>
    </row>
    <row r="221" ht="14" customHeight="1" s="250">
      <c r="A221" s="11" t="n"/>
      <c r="B221" s="12" t="n"/>
      <c r="C221" s="11" t="n"/>
      <c r="D221" s="249" t="n"/>
      <c r="E221" s="249" t="n"/>
      <c r="F221" s="249" t="n"/>
      <c r="G221" s="249" t="n"/>
      <c r="H221" s="249" t="n"/>
    </row>
    <row r="222" ht="14" customHeight="1" s="250">
      <c r="A222" s="11" t="n"/>
      <c r="B222" s="12" t="n"/>
      <c r="C222" s="11" t="n"/>
      <c r="D222" s="249" t="n"/>
      <c r="E222" s="249" t="n"/>
      <c r="F222" s="249" t="n"/>
      <c r="G222" s="249" t="n"/>
      <c r="H222" s="249" t="n"/>
    </row>
    <row r="223" ht="14" customHeight="1" s="250">
      <c r="A223" s="11" t="n"/>
      <c r="B223" s="12" t="n"/>
      <c r="C223" s="11" t="n"/>
      <c r="D223" s="249" t="n"/>
      <c r="E223" s="249" t="n"/>
      <c r="F223" s="249" t="n"/>
      <c r="G223" s="249" t="n"/>
      <c r="H223" s="249" t="n"/>
    </row>
    <row r="224" ht="14" customHeight="1" s="250">
      <c r="A224" s="11" t="n"/>
      <c r="B224" s="12" t="n"/>
      <c r="C224" s="11" t="n"/>
      <c r="D224" s="249" t="n"/>
      <c r="E224" s="249" t="n"/>
      <c r="F224" s="249" t="n"/>
      <c r="G224" s="249" t="n"/>
      <c r="H224" s="249" t="n"/>
    </row>
    <row r="225" ht="14" customHeight="1" s="250">
      <c r="A225" s="11" t="n"/>
      <c r="B225" s="12" t="n"/>
      <c r="C225" s="11" t="n"/>
      <c r="D225" s="249" t="n"/>
      <c r="E225" s="249" t="n"/>
      <c r="F225" s="249" t="n"/>
      <c r="G225" s="249" t="n"/>
      <c r="H225" s="249" t="n"/>
    </row>
    <row r="226" ht="14" customHeight="1" s="250">
      <c r="A226" s="11" t="n"/>
      <c r="B226" s="12" t="n"/>
      <c r="C226" s="11" t="n"/>
      <c r="D226" s="249" t="n"/>
      <c r="E226" s="249" t="n"/>
      <c r="F226" s="249" t="n"/>
      <c r="G226" s="249" t="n"/>
      <c r="H226" s="249" t="n"/>
    </row>
    <row r="227" ht="14" customHeight="1" s="250">
      <c r="A227" s="11" t="n"/>
      <c r="B227" s="12" t="n"/>
      <c r="C227" s="11" t="n"/>
      <c r="D227" s="249" t="n"/>
      <c r="E227" s="249" t="n"/>
      <c r="F227" s="249" t="n"/>
      <c r="G227" s="249" t="n"/>
      <c r="H227" s="249" t="n"/>
    </row>
    <row r="228" ht="14" customHeight="1" s="250">
      <c r="A228" s="11" t="n"/>
      <c r="B228" s="12" t="n"/>
      <c r="C228" s="11" t="n"/>
      <c r="D228" s="249" t="n"/>
      <c r="E228" s="249" t="n"/>
      <c r="F228" s="249" t="n"/>
      <c r="G228" s="249" t="n"/>
      <c r="H228" s="249" t="n"/>
    </row>
    <row r="229" ht="14" customHeight="1" s="250">
      <c r="A229" s="11" t="n"/>
      <c r="B229" s="12" t="n"/>
      <c r="C229" s="11" t="n"/>
      <c r="D229" s="249" t="n"/>
      <c r="E229" s="249" t="n"/>
      <c r="F229" s="249" t="n"/>
      <c r="G229" s="249" t="n"/>
      <c r="H229" s="249" t="n"/>
    </row>
    <row r="230" ht="14" customHeight="1" s="250">
      <c r="A230" s="11" t="n"/>
      <c r="B230" s="12" t="n"/>
      <c r="C230" s="11" t="n"/>
      <c r="D230" s="249" t="n"/>
      <c r="E230" s="249" t="n"/>
      <c r="F230" s="249" t="n"/>
      <c r="G230" s="249" t="n"/>
      <c r="H230" s="249" t="n"/>
    </row>
    <row r="231" ht="14" customHeight="1" s="250">
      <c r="A231" s="11" t="n"/>
      <c r="B231" s="12" t="n"/>
      <c r="C231" s="11" t="n"/>
      <c r="D231" s="249" t="n"/>
      <c r="E231" s="249" t="n"/>
      <c r="F231" s="249" t="n"/>
      <c r="G231" s="249" t="n"/>
      <c r="H231" s="249" t="n"/>
    </row>
    <row r="232" ht="14" customHeight="1" s="250">
      <c r="A232" s="11" t="n"/>
      <c r="B232" s="12" t="n"/>
      <c r="C232" s="11" t="n"/>
      <c r="D232" s="249" t="n"/>
      <c r="E232" s="249" t="n"/>
      <c r="F232" s="249" t="n"/>
      <c r="G232" s="249" t="n"/>
      <c r="H232" s="249" t="n"/>
    </row>
    <row r="233" ht="14" customHeight="1" s="250">
      <c r="A233" s="11" t="n"/>
      <c r="B233" s="12" t="n"/>
      <c r="C233" s="11" t="n"/>
      <c r="D233" s="249" t="n"/>
      <c r="E233" s="249" t="n"/>
      <c r="F233" s="249" t="n"/>
      <c r="G233" s="249" t="n"/>
      <c r="H233" s="249" t="n"/>
    </row>
    <row r="234" ht="14" customHeight="1" s="250">
      <c r="A234" s="11" t="n"/>
      <c r="B234" s="12" t="n"/>
      <c r="C234" s="11" t="n"/>
      <c r="D234" s="249" t="n"/>
      <c r="E234" s="249" t="n"/>
      <c r="F234" s="249" t="n"/>
      <c r="G234" s="249" t="n"/>
      <c r="H234" s="249" t="n"/>
    </row>
    <row r="235" ht="14" customHeight="1" s="250">
      <c r="A235" s="11" t="n"/>
      <c r="B235" s="12" t="n"/>
      <c r="C235" s="11" t="n"/>
      <c r="D235" s="249" t="n"/>
      <c r="E235" s="249" t="n"/>
      <c r="F235" s="249" t="n"/>
      <c r="G235" s="249" t="n"/>
      <c r="H235" s="249" t="n"/>
    </row>
    <row r="236" ht="14" customHeight="1" s="250">
      <c r="A236" s="11" t="n"/>
      <c r="B236" s="12" t="n"/>
      <c r="C236" s="11" t="n"/>
      <c r="D236" s="249" t="n"/>
      <c r="E236" s="249" t="n"/>
      <c r="F236" s="249" t="n"/>
      <c r="G236" s="249" t="n"/>
      <c r="H236" s="249" t="n"/>
    </row>
    <row r="237" ht="14" customHeight="1" s="250">
      <c r="A237" s="11" t="n"/>
      <c r="B237" s="12" t="n"/>
      <c r="C237" s="11" t="n"/>
      <c r="D237" s="249" t="n"/>
      <c r="E237" s="249" t="n"/>
      <c r="F237" s="249" t="n"/>
      <c r="G237" s="249" t="n"/>
      <c r="H237" s="249" t="n"/>
    </row>
    <row r="238" ht="14" customHeight="1" s="250">
      <c r="A238" s="11" t="n"/>
      <c r="B238" s="12" t="n"/>
      <c r="C238" s="11" t="n"/>
      <c r="D238" s="249" t="n"/>
      <c r="E238" s="249" t="n"/>
      <c r="F238" s="249" t="n"/>
      <c r="G238" s="249" t="n"/>
      <c r="H238" s="249" t="n"/>
    </row>
    <row r="239" ht="14" customHeight="1" s="250">
      <c r="A239" s="11" t="n"/>
      <c r="B239" s="12" t="n"/>
      <c r="C239" s="11" t="n"/>
      <c r="D239" s="249" t="n"/>
      <c r="E239" s="249" t="n"/>
      <c r="F239" s="249" t="n"/>
      <c r="G239" s="249" t="n"/>
      <c r="H239" s="249" t="n"/>
    </row>
    <row r="240" ht="14" customHeight="1" s="250">
      <c r="A240" s="11" t="n"/>
      <c r="B240" s="12" t="n"/>
      <c r="C240" s="11" t="n"/>
      <c r="D240" s="249" t="n"/>
      <c r="E240" s="249" t="n"/>
      <c r="F240" s="249" t="n"/>
      <c r="G240" s="249" t="n"/>
      <c r="H240" s="249" t="n"/>
    </row>
    <row r="241" ht="14" customHeight="1" s="250">
      <c r="A241" s="11" t="n"/>
      <c r="B241" s="12" t="n"/>
      <c r="C241" s="11" t="n"/>
      <c r="D241" s="249" t="n"/>
      <c r="E241" s="249" t="n"/>
      <c r="F241" s="249" t="n"/>
      <c r="G241" s="249" t="n"/>
      <c r="H241" s="249" t="n"/>
    </row>
    <row r="242" ht="14" customHeight="1" s="250">
      <c r="A242" s="11" t="n"/>
      <c r="B242" s="12" t="n"/>
      <c r="C242" s="11" t="n"/>
      <c r="D242" s="249" t="n"/>
      <c r="E242" s="249" t="n"/>
      <c r="F242" s="249" t="n"/>
      <c r="G242" s="249" t="n"/>
      <c r="H242" s="249" t="n"/>
    </row>
    <row r="243" ht="14" customHeight="1" s="250">
      <c r="A243" s="11" t="n"/>
      <c r="B243" s="12" t="n"/>
      <c r="C243" s="11" t="n"/>
      <c r="D243" s="249" t="n"/>
      <c r="E243" s="249" t="n"/>
      <c r="F243" s="249" t="n"/>
      <c r="G243" s="249" t="n"/>
      <c r="H243" s="249" t="n"/>
    </row>
    <row r="244" ht="14" customHeight="1" s="250">
      <c r="A244" s="11" t="n"/>
      <c r="B244" s="12" t="n"/>
      <c r="C244" s="11" t="n"/>
      <c r="D244" s="249" t="n"/>
      <c r="E244" s="249" t="n"/>
      <c r="F244" s="249" t="n"/>
      <c r="G244" s="249" t="n"/>
      <c r="H244" s="249" t="n"/>
    </row>
    <row r="245" ht="14" customHeight="1" s="250">
      <c r="A245" s="11" t="n"/>
      <c r="B245" s="12" t="n"/>
      <c r="C245" s="11" t="n"/>
      <c r="D245" s="249" t="n"/>
      <c r="E245" s="249" t="n"/>
      <c r="F245" s="249" t="n"/>
      <c r="G245" s="249" t="n"/>
      <c r="H245" s="249" t="n"/>
    </row>
    <row r="246" ht="14" customHeight="1" s="250">
      <c r="A246" s="11" t="n"/>
      <c r="B246" s="12" t="n"/>
      <c r="C246" s="11" t="n"/>
      <c r="D246" s="249" t="n"/>
      <c r="E246" s="249" t="n"/>
      <c r="F246" s="249" t="n"/>
      <c r="G246" s="249" t="n"/>
      <c r="H246" s="249" t="n"/>
    </row>
    <row r="247" ht="14" customHeight="1" s="250">
      <c r="A247" s="11" t="n"/>
      <c r="B247" s="12" t="n"/>
      <c r="C247" s="11" t="n"/>
      <c r="D247" s="249" t="n"/>
      <c r="E247" s="249" t="n"/>
      <c r="F247" s="249" t="n"/>
      <c r="G247" s="249" t="n"/>
      <c r="H247" s="249" t="n"/>
    </row>
    <row r="248" ht="14" customHeight="1" s="250">
      <c r="A248" s="11" t="n"/>
      <c r="B248" s="12" t="n"/>
      <c r="C248" s="11" t="n"/>
      <c r="D248" s="249" t="n"/>
      <c r="E248" s="249" t="n"/>
      <c r="F248" s="249" t="n"/>
      <c r="G248" s="249" t="n"/>
      <c r="H248" s="249" t="n"/>
    </row>
    <row r="249" ht="14" customHeight="1" s="250">
      <c r="A249" s="11" t="n"/>
      <c r="B249" s="12" t="n"/>
      <c r="C249" s="11" t="n"/>
      <c r="D249" s="249" t="n"/>
      <c r="E249" s="249" t="n"/>
      <c r="F249" s="249" t="n"/>
      <c r="G249" s="249" t="n"/>
      <c r="H249" s="249" t="n"/>
    </row>
    <row r="250" ht="14" customHeight="1" s="250">
      <c r="A250" s="11" t="n"/>
      <c r="B250" s="12" t="n"/>
      <c r="C250" s="11" t="n"/>
      <c r="D250" s="249" t="n"/>
      <c r="E250" s="249" t="n"/>
      <c r="F250" s="249" t="n"/>
      <c r="G250" s="249" t="n"/>
      <c r="H250" s="249" t="n"/>
    </row>
    <row r="251" ht="14" customHeight="1" s="250">
      <c r="A251" s="11" t="n"/>
      <c r="B251" s="12" t="n"/>
      <c r="C251" s="11" t="n"/>
      <c r="D251" s="249" t="n"/>
      <c r="E251" s="249" t="n"/>
      <c r="F251" s="249" t="n"/>
      <c r="G251" s="249" t="n"/>
      <c r="H251" s="249" t="n"/>
    </row>
    <row r="252" ht="14" customHeight="1" s="250">
      <c r="A252" s="11" t="n"/>
      <c r="B252" s="12" t="n"/>
      <c r="C252" s="11" t="n"/>
      <c r="D252" s="249" t="n"/>
      <c r="E252" s="249" t="n"/>
      <c r="F252" s="249" t="n"/>
      <c r="G252" s="249" t="n"/>
      <c r="H252" s="249" t="n"/>
    </row>
    <row r="253" ht="14" customHeight="1" s="250">
      <c r="A253" s="11" t="n"/>
      <c r="B253" s="12" t="n"/>
      <c r="C253" s="11" t="n"/>
      <c r="D253" s="249" t="n"/>
      <c r="E253" s="249" t="n"/>
      <c r="F253" s="249" t="n"/>
      <c r="G253" s="249" t="n"/>
      <c r="H253" s="249" t="n"/>
    </row>
    <row r="254" ht="14" customHeight="1" s="250">
      <c r="A254" s="11" t="n"/>
      <c r="B254" s="12" t="n"/>
      <c r="C254" s="11" t="n"/>
      <c r="D254" s="249" t="n"/>
      <c r="E254" s="249" t="n"/>
      <c r="F254" s="249" t="n"/>
      <c r="G254" s="249" t="n"/>
      <c r="H254" s="249" t="n"/>
    </row>
    <row r="255" ht="14" customHeight="1" s="250">
      <c r="A255" s="11" t="n"/>
      <c r="B255" s="12" t="n"/>
      <c r="C255" s="11" t="n"/>
      <c r="D255" s="249" t="n"/>
      <c r="E255" s="249" t="n"/>
      <c r="F255" s="249" t="n"/>
      <c r="G255" s="249" t="n"/>
      <c r="H255" s="249" t="n"/>
    </row>
    <row r="256" ht="14" customHeight="1" s="250">
      <c r="A256" s="11" t="n"/>
      <c r="B256" s="12" t="n"/>
      <c r="C256" s="11" t="n"/>
      <c r="D256" s="249" t="n"/>
      <c r="E256" s="249" t="n"/>
      <c r="F256" s="249" t="n"/>
      <c r="G256" s="249" t="n"/>
      <c r="H256" s="249" t="n"/>
    </row>
    <row r="257" ht="14" customHeight="1" s="250">
      <c r="A257" s="11" t="n"/>
      <c r="B257" s="12" t="n"/>
      <c r="C257" s="11" t="n"/>
      <c r="D257" s="249" t="n"/>
      <c r="E257" s="249" t="n"/>
      <c r="F257" s="249" t="n"/>
      <c r="G257" s="249" t="n"/>
      <c r="H257" s="249" t="n"/>
    </row>
    <row r="258" ht="14" customHeight="1" s="250">
      <c r="A258" s="11" t="n"/>
      <c r="B258" s="12" t="n"/>
      <c r="C258" s="11" t="n"/>
      <c r="D258" s="249" t="n"/>
      <c r="E258" s="249" t="n"/>
      <c r="F258" s="249" t="n"/>
      <c r="G258" s="249" t="n"/>
      <c r="H258" s="249" t="n"/>
    </row>
    <row r="259" ht="14" customHeight="1" s="250">
      <c r="A259" s="11" t="n"/>
      <c r="B259" s="12" t="n"/>
      <c r="C259" s="11" t="n"/>
      <c r="D259" s="249" t="n"/>
      <c r="E259" s="249" t="n"/>
      <c r="F259" s="249" t="n"/>
      <c r="G259" s="249" t="n"/>
      <c r="H259" s="249" t="n"/>
    </row>
    <row r="260" ht="14" customHeight="1" s="250">
      <c r="A260" s="11" t="n"/>
      <c r="B260" s="12" t="n"/>
      <c r="C260" s="11" t="n"/>
      <c r="D260" s="249" t="n"/>
      <c r="E260" s="249" t="n"/>
      <c r="F260" s="249" t="n"/>
      <c r="G260" s="249" t="n"/>
      <c r="H260" s="249" t="n"/>
    </row>
    <row r="261" ht="14" customHeight="1" s="250">
      <c r="A261" s="11" t="n"/>
      <c r="B261" s="12" t="n"/>
      <c r="C261" s="11" t="n"/>
      <c r="D261" s="249" t="n"/>
      <c r="E261" s="249" t="n"/>
      <c r="F261" s="249" t="n"/>
      <c r="G261" s="249" t="n"/>
      <c r="H261" s="249" t="n"/>
    </row>
    <row r="262" ht="14" customHeight="1" s="250">
      <c r="A262" s="11" t="n"/>
      <c r="B262" s="12" t="n"/>
      <c r="C262" s="11" t="n"/>
      <c r="D262" s="249" t="n"/>
      <c r="E262" s="249" t="n"/>
      <c r="F262" s="249" t="n"/>
      <c r="G262" s="249" t="n"/>
      <c r="H262" s="249" t="n"/>
    </row>
    <row r="263" ht="14" customHeight="1" s="250">
      <c r="A263" s="11" t="n"/>
      <c r="B263" s="12" t="n"/>
      <c r="C263" s="11" t="n"/>
      <c r="D263" s="249" t="n"/>
      <c r="E263" s="249" t="n"/>
      <c r="F263" s="249" t="n"/>
      <c r="G263" s="249" t="n"/>
      <c r="H263" s="249" t="n"/>
    </row>
    <row r="264" ht="14" customHeight="1" s="250">
      <c r="A264" s="11" t="n"/>
      <c r="B264" s="12" t="n"/>
      <c r="C264" s="11" t="n"/>
      <c r="D264" s="249" t="n"/>
      <c r="E264" s="249" t="n"/>
      <c r="F264" s="249" t="n"/>
      <c r="G264" s="249" t="n"/>
      <c r="H264" s="249" t="n"/>
    </row>
    <row r="265" ht="14" customHeight="1" s="250">
      <c r="A265" s="11" t="n"/>
      <c r="B265" s="12" t="n"/>
      <c r="C265" s="11" t="n"/>
      <c r="D265" s="249" t="n"/>
      <c r="E265" s="249" t="n"/>
      <c r="F265" s="249" t="n"/>
      <c r="G265" s="249" t="n"/>
      <c r="H265" s="249" t="n"/>
    </row>
    <row r="266" ht="14" customHeight="1" s="250">
      <c r="A266" s="11" t="n"/>
      <c r="B266" s="12" t="n"/>
      <c r="C266" s="11" t="n"/>
      <c r="D266" s="249" t="n"/>
      <c r="E266" s="249" t="n"/>
      <c r="F266" s="249" t="n"/>
      <c r="G266" s="249" t="n"/>
      <c r="H266" s="249" t="n"/>
    </row>
    <row r="267" ht="14" customHeight="1" s="250">
      <c r="A267" s="11" t="n"/>
      <c r="B267" s="12" t="n"/>
      <c r="C267" s="11" t="n"/>
      <c r="D267" s="249" t="n"/>
      <c r="E267" s="249" t="n"/>
      <c r="F267" s="249" t="n"/>
      <c r="G267" s="249" t="n"/>
      <c r="H267" s="249" t="n"/>
    </row>
    <row r="268" ht="14" customHeight="1" s="250">
      <c r="A268" s="11" t="n"/>
      <c r="B268" s="12" t="n"/>
      <c r="C268" s="11" t="n"/>
      <c r="D268" s="249" t="n"/>
      <c r="E268" s="249" t="n"/>
      <c r="F268" s="249" t="n"/>
      <c r="G268" s="249" t="n"/>
      <c r="H268" s="249" t="n"/>
    </row>
    <row r="269" ht="14" customHeight="1" s="250">
      <c r="A269" s="11" t="n"/>
      <c r="B269" s="12" t="n"/>
      <c r="C269" s="11" t="n"/>
      <c r="D269" s="249" t="n"/>
      <c r="E269" s="249" t="n"/>
      <c r="F269" s="249" t="n"/>
      <c r="G269" s="249" t="n"/>
      <c r="H269" s="249" t="n"/>
    </row>
    <row r="270" ht="14" customHeight="1" s="250">
      <c r="A270" s="11" t="n"/>
      <c r="B270" s="12" t="n"/>
      <c r="C270" s="11" t="n"/>
      <c r="D270" s="249" t="n"/>
      <c r="E270" s="249" t="n"/>
      <c r="F270" s="249" t="n"/>
      <c r="G270" s="249" t="n"/>
      <c r="H270" s="249" t="n"/>
    </row>
    <row r="271" ht="14" customHeight="1" s="250">
      <c r="A271" s="11" t="n"/>
      <c r="B271" s="12" t="n"/>
      <c r="C271" s="11" t="n"/>
      <c r="D271" s="249" t="n"/>
      <c r="E271" s="249" t="n"/>
      <c r="F271" s="249" t="n"/>
      <c r="G271" s="249" t="n"/>
      <c r="H271" s="249" t="n"/>
    </row>
    <row r="272" ht="14" customHeight="1" s="250">
      <c r="A272" s="11" t="n"/>
      <c r="B272" s="12" t="n"/>
      <c r="C272" s="11" t="n"/>
      <c r="D272" s="249" t="n"/>
      <c r="E272" s="249" t="n"/>
      <c r="F272" s="249" t="n"/>
      <c r="G272" s="249" t="n"/>
      <c r="H272" s="249" t="n"/>
    </row>
    <row r="273" ht="14" customHeight="1" s="250">
      <c r="A273" s="11" t="n"/>
      <c r="B273" s="12" t="n"/>
      <c r="C273" s="11" t="n"/>
      <c r="D273" s="249" t="n"/>
      <c r="E273" s="249" t="n"/>
      <c r="F273" s="249" t="n"/>
      <c r="G273" s="249" t="n"/>
      <c r="H273" s="249" t="n"/>
    </row>
    <row r="274" ht="14" customHeight="1" s="250">
      <c r="A274" s="11" t="n"/>
      <c r="B274" s="12" t="n"/>
      <c r="C274" s="11" t="n"/>
      <c r="D274" s="249" t="n"/>
      <c r="E274" s="249" t="n"/>
      <c r="F274" s="249" t="n"/>
      <c r="G274" s="249" t="n"/>
      <c r="H274" s="249" t="n"/>
    </row>
    <row r="275" ht="14" customHeight="1" s="250">
      <c r="A275" s="11" t="n"/>
      <c r="B275" s="12" t="n"/>
      <c r="C275" s="11" t="n"/>
      <c r="D275" s="249" t="n"/>
      <c r="E275" s="249" t="n"/>
      <c r="F275" s="249" t="n"/>
      <c r="G275" s="249" t="n"/>
      <c r="H275" s="249" t="n"/>
    </row>
    <row r="276" ht="14" customHeight="1" s="250">
      <c r="A276" s="11" t="n"/>
      <c r="B276" s="12" t="n"/>
      <c r="C276" s="11" t="n"/>
      <c r="D276" s="249" t="n"/>
      <c r="E276" s="249" t="n"/>
      <c r="F276" s="249" t="n"/>
      <c r="G276" s="249" t="n"/>
      <c r="H276" s="249" t="n"/>
    </row>
    <row r="277" ht="14" customHeight="1" s="250">
      <c r="A277" s="11" t="n"/>
      <c r="B277" s="12" t="n"/>
      <c r="C277" s="11" t="n"/>
      <c r="D277" s="249" t="n"/>
      <c r="E277" s="249" t="n"/>
      <c r="F277" s="249" t="n"/>
      <c r="G277" s="249" t="n"/>
      <c r="H277" s="249" t="n"/>
    </row>
    <row r="278" ht="14" customHeight="1" s="250">
      <c r="A278" s="11" t="n"/>
      <c r="B278" s="12" t="n"/>
      <c r="C278" s="11" t="n"/>
      <c r="D278" s="249" t="n"/>
      <c r="E278" s="249" t="n"/>
      <c r="F278" s="249" t="n"/>
      <c r="G278" s="249" t="n"/>
      <c r="H278" s="249" t="n"/>
    </row>
    <row r="279" ht="14" customHeight="1" s="250">
      <c r="A279" s="11" t="n"/>
      <c r="B279" s="12" t="n"/>
      <c r="C279" s="11" t="n"/>
      <c r="D279" s="249" t="n"/>
      <c r="E279" s="249" t="n"/>
      <c r="F279" s="249" t="n"/>
      <c r="G279" s="249" t="n"/>
      <c r="H279" s="249" t="n"/>
    </row>
    <row r="280" ht="14" customHeight="1" s="250">
      <c r="A280" s="11" t="n"/>
      <c r="B280" s="12" t="n"/>
      <c r="C280" s="11" t="n"/>
      <c r="D280" s="249" t="n"/>
      <c r="E280" s="249" t="n"/>
      <c r="F280" s="249" t="n"/>
      <c r="G280" s="249" t="n"/>
      <c r="H280" s="249" t="n"/>
    </row>
    <row r="281" ht="14" customHeight="1" s="250">
      <c r="A281" s="11" t="n"/>
      <c r="B281" s="12" t="n"/>
      <c r="C281" s="11" t="n"/>
      <c r="D281" s="249" t="n"/>
      <c r="E281" s="249" t="n"/>
      <c r="F281" s="249" t="n"/>
      <c r="G281" s="249" t="n"/>
      <c r="H281" s="249" t="n"/>
    </row>
    <row r="282" ht="14" customHeight="1" s="250">
      <c r="A282" s="11" t="n"/>
      <c r="B282" s="12" t="n"/>
      <c r="C282" s="11" t="n"/>
      <c r="D282" s="249" t="n"/>
      <c r="E282" s="249" t="n"/>
      <c r="F282" s="249" t="n"/>
      <c r="G282" s="249" t="n"/>
      <c r="H282" s="249" t="n"/>
    </row>
    <row r="283" ht="14" customHeight="1" s="250">
      <c r="A283" s="11" t="n"/>
      <c r="B283" s="12" t="n"/>
      <c r="C283" s="11" t="n"/>
      <c r="D283" s="249" t="n"/>
      <c r="E283" s="249" t="n"/>
      <c r="F283" s="249" t="n"/>
      <c r="G283" s="249" t="n"/>
      <c r="H283" s="249" t="n"/>
    </row>
    <row r="284" ht="14" customHeight="1" s="250">
      <c r="A284" s="11" t="n"/>
      <c r="B284" s="12" t="n"/>
      <c r="C284" s="11" t="n"/>
      <c r="D284" s="249" t="n"/>
      <c r="E284" s="249" t="n"/>
      <c r="F284" s="249" t="n"/>
      <c r="G284" s="249" t="n"/>
      <c r="H284" s="249" t="n"/>
    </row>
    <row r="285" ht="14" customHeight="1" s="250">
      <c r="A285" s="11" t="n"/>
      <c r="B285" s="12" t="n"/>
      <c r="C285" s="11" t="n"/>
      <c r="D285" s="249" t="n"/>
      <c r="E285" s="249" t="n"/>
      <c r="F285" s="249" t="n"/>
      <c r="G285" s="249" t="n"/>
      <c r="H285" s="249" t="n"/>
    </row>
    <row r="286" ht="14" customHeight="1" s="250">
      <c r="A286" s="11" t="n"/>
      <c r="B286" s="12" t="n"/>
      <c r="C286" s="11" t="n"/>
      <c r="D286" s="249" t="n"/>
      <c r="E286" s="249" t="n"/>
      <c r="F286" s="249" t="n"/>
      <c r="G286" s="249" t="n"/>
      <c r="H286" s="249" t="n"/>
    </row>
    <row r="287" ht="14" customHeight="1" s="250">
      <c r="A287" s="11" t="n"/>
      <c r="B287" s="12" t="n"/>
      <c r="C287" s="11" t="n"/>
      <c r="D287" s="249" t="n"/>
      <c r="E287" s="249" t="n"/>
      <c r="F287" s="249" t="n"/>
      <c r="G287" s="249" t="n"/>
      <c r="H287" s="249" t="n"/>
    </row>
    <row r="288" ht="14" customHeight="1" s="250">
      <c r="A288" s="11" t="n"/>
      <c r="B288" s="12" t="n"/>
      <c r="C288" s="11" t="n"/>
      <c r="D288" s="249" t="n"/>
      <c r="E288" s="249" t="n"/>
      <c r="F288" s="249" t="n"/>
      <c r="G288" s="249" t="n"/>
      <c r="H288" s="249" t="n"/>
    </row>
    <row r="289" ht="14" customHeight="1" s="250">
      <c r="A289" s="11" t="n"/>
      <c r="B289" s="12" t="n"/>
      <c r="C289" s="11" t="n"/>
      <c r="D289" s="249" t="n"/>
      <c r="E289" s="249" t="n"/>
      <c r="F289" s="249" t="n"/>
      <c r="G289" s="249" t="n"/>
      <c r="H289" s="249" t="n"/>
    </row>
    <row r="290" ht="14" customHeight="1" s="250">
      <c r="A290" s="11" t="n"/>
      <c r="B290" s="12" t="n"/>
      <c r="C290" s="11" t="n"/>
      <c r="D290" s="249" t="n"/>
      <c r="E290" s="249" t="n"/>
      <c r="F290" s="249" t="n"/>
      <c r="G290" s="249" t="n"/>
      <c r="H290" s="249" t="n"/>
    </row>
    <row r="291" ht="14" customHeight="1" s="250">
      <c r="A291" s="11" t="n"/>
      <c r="B291" s="12" t="n"/>
      <c r="C291" s="11" t="n"/>
      <c r="D291" s="249" t="n"/>
      <c r="E291" s="249" t="n"/>
      <c r="F291" s="249" t="n"/>
      <c r="G291" s="249" t="n"/>
      <c r="H291" s="249" t="n"/>
    </row>
    <row r="292" ht="14" customHeight="1" s="250">
      <c r="A292" s="11" t="n"/>
      <c r="B292" s="12" t="n"/>
      <c r="C292" s="11" t="n"/>
      <c r="D292" s="249" t="n"/>
      <c r="E292" s="249" t="n"/>
      <c r="F292" s="249" t="n"/>
      <c r="G292" s="249" t="n"/>
      <c r="H292" s="249" t="n"/>
    </row>
    <row r="293" ht="14" customHeight="1" s="250">
      <c r="A293" s="11" t="n"/>
      <c r="B293" s="12" t="n"/>
      <c r="C293" s="11" t="n"/>
      <c r="D293" s="249" t="n"/>
      <c r="E293" s="249" t="n"/>
      <c r="F293" s="249" t="n"/>
      <c r="G293" s="249" t="n"/>
      <c r="H293" s="249" t="n"/>
    </row>
    <row r="294" ht="14" customHeight="1" s="250">
      <c r="A294" s="11" t="n"/>
      <c r="B294" s="12" t="n"/>
      <c r="C294" s="11" t="n"/>
      <c r="D294" s="249" t="n"/>
      <c r="E294" s="249" t="n"/>
      <c r="F294" s="249" t="n"/>
      <c r="G294" s="249" t="n"/>
      <c r="H294" s="249" t="n"/>
    </row>
    <row r="295" ht="14" customHeight="1" s="250">
      <c r="A295" s="11" t="n"/>
      <c r="B295" s="12" t="n"/>
      <c r="C295" s="11" t="n"/>
      <c r="D295" s="249" t="n"/>
      <c r="E295" s="249" t="n"/>
      <c r="F295" s="249" t="n"/>
      <c r="G295" s="249" t="n"/>
      <c r="H295" s="249" t="n"/>
    </row>
    <row r="296" ht="14" customHeight="1" s="250">
      <c r="A296" s="11" t="n"/>
      <c r="B296" s="12" t="n"/>
      <c r="C296" s="11" t="n"/>
      <c r="D296" s="249" t="n"/>
      <c r="E296" s="249" t="n"/>
      <c r="F296" s="249" t="n"/>
      <c r="G296" s="249" t="n"/>
      <c r="H296" s="249" t="n"/>
    </row>
    <row r="297" ht="14" customHeight="1" s="250">
      <c r="A297" s="11" t="n"/>
      <c r="B297" s="12" t="n"/>
      <c r="C297" s="11" t="n"/>
      <c r="D297" s="249" t="n"/>
      <c r="E297" s="249" t="n"/>
      <c r="F297" s="249" t="n"/>
      <c r="G297" s="249" t="n"/>
      <c r="H297" s="249" t="n"/>
    </row>
    <row r="298" ht="14" customHeight="1" s="250">
      <c r="A298" s="11" t="n"/>
      <c r="B298" s="12" t="n"/>
      <c r="C298" s="11" t="n"/>
      <c r="D298" s="249" t="n"/>
      <c r="E298" s="249" t="n"/>
      <c r="F298" s="249" t="n"/>
      <c r="G298" s="249" t="n"/>
      <c r="H298" s="249" t="n"/>
    </row>
    <row r="299" ht="14" customHeight="1" s="250">
      <c r="A299" s="11" t="n"/>
      <c r="B299" s="12" t="n"/>
      <c r="C299" s="11" t="n"/>
      <c r="D299" s="249" t="n"/>
      <c r="E299" s="249" t="n"/>
      <c r="F299" s="249" t="n"/>
      <c r="G299" s="249" t="n"/>
      <c r="H299" s="249" t="n"/>
    </row>
    <row r="300" ht="14" customHeight="1" s="250">
      <c r="A300" s="11" t="n"/>
      <c r="B300" s="12" t="n"/>
      <c r="C300" s="11" t="n"/>
      <c r="D300" s="249" t="n"/>
      <c r="E300" s="249" t="n"/>
      <c r="F300" s="249" t="n"/>
      <c r="G300" s="249" t="n"/>
      <c r="H300" s="249" t="n"/>
    </row>
    <row r="301" ht="14" customHeight="1" s="250">
      <c r="A301" s="11" t="n"/>
      <c r="B301" s="12" t="n"/>
      <c r="C301" s="11" t="n"/>
      <c r="D301" s="249" t="n"/>
      <c r="E301" s="249" t="n"/>
      <c r="F301" s="249" t="n"/>
      <c r="G301" s="249" t="n"/>
      <c r="H301" s="249" t="n"/>
    </row>
    <row r="302" ht="14" customHeight="1" s="250">
      <c r="A302" s="11" t="n"/>
      <c r="B302" s="12" t="n"/>
      <c r="C302" s="11" t="n"/>
      <c r="D302" s="249" t="n"/>
      <c r="E302" s="249" t="n"/>
      <c r="F302" s="249" t="n"/>
      <c r="G302" s="249" t="n"/>
      <c r="H302" s="249" t="n"/>
    </row>
    <row r="303" ht="14" customHeight="1" s="250">
      <c r="A303" s="11" t="n"/>
      <c r="B303" s="12" t="n"/>
      <c r="C303" s="11" t="n"/>
      <c r="D303" s="249" t="n"/>
      <c r="E303" s="249" t="n"/>
      <c r="F303" s="249" t="n"/>
      <c r="G303" s="249" t="n"/>
      <c r="H303" s="249" t="n"/>
    </row>
    <row r="304" ht="14" customHeight="1" s="250">
      <c r="A304" s="11" t="n"/>
      <c r="B304" s="12" t="n"/>
      <c r="C304" s="11" t="n"/>
      <c r="D304" s="249" t="n"/>
      <c r="E304" s="249" t="n"/>
      <c r="F304" s="249" t="n"/>
      <c r="G304" s="249" t="n"/>
      <c r="H304" s="249" t="n"/>
    </row>
    <row r="305" ht="14" customHeight="1" s="250">
      <c r="A305" s="11" t="n"/>
      <c r="B305" s="12" t="n"/>
      <c r="C305" s="11" t="n"/>
      <c r="D305" s="249" t="n"/>
      <c r="E305" s="249" t="n"/>
      <c r="F305" s="249" t="n"/>
      <c r="G305" s="249" t="n"/>
      <c r="H305" s="249" t="n"/>
    </row>
    <row r="306" ht="14" customHeight="1" s="250">
      <c r="A306" s="11" t="n"/>
      <c r="B306" s="12" t="n"/>
      <c r="C306" s="11" t="n"/>
      <c r="D306" s="249" t="n"/>
      <c r="E306" s="249" t="n"/>
      <c r="F306" s="249" t="n"/>
      <c r="G306" s="249" t="n"/>
      <c r="H306" s="249" t="n"/>
    </row>
    <row r="307" ht="14" customHeight="1" s="250">
      <c r="A307" s="11" t="n"/>
      <c r="B307" s="12" t="n"/>
      <c r="C307" s="11" t="n"/>
      <c r="D307" s="249" t="n"/>
      <c r="E307" s="249" t="n"/>
      <c r="F307" s="249" t="n"/>
      <c r="G307" s="249" t="n"/>
      <c r="H307" s="249" t="n"/>
    </row>
    <row r="308" ht="14" customHeight="1" s="250">
      <c r="A308" s="11" t="n"/>
      <c r="B308" s="12" t="n"/>
      <c r="C308" s="11" t="n"/>
      <c r="D308" s="249" t="n"/>
      <c r="E308" s="249" t="n"/>
      <c r="F308" s="249" t="n"/>
      <c r="G308" s="249" t="n"/>
      <c r="H308" s="249" t="n"/>
    </row>
    <row r="309" ht="14" customHeight="1" s="250">
      <c r="A309" s="11" t="n"/>
      <c r="B309" s="12" t="n"/>
      <c r="C309" s="11" t="n"/>
      <c r="D309" s="249" t="n"/>
      <c r="E309" s="249" t="n"/>
      <c r="F309" s="249" t="n"/>
      <c r="G309" s="249" t="n"/>
      <c r="H309" s="249" t="n"/>
    </row>
    <row r="310" ht="14" customHeight="1" s="250">
      <c r="A310" s="11" t="n"/>
      <c r="B310" s="12" t="n"/>
      <c r="C310" s="11" t="n"/>
      <c r="D310" s="249" t="n"/>
      <c r="E310" s="249" t="n"/>
      <c r="F310" s="249" t="n"/>
      <c r="G310" s="249" t="n"/>
      <c r="H310" s="249" t="n"/>
    </row>
    <row r="311" ht="14" customHeight="1" s="250">
      <c r="A311" s="11" t="n"/>
      <c r="B311" s="12" t="n"/>
      <c r="C311" s="11" t="n"/>
      <c r="D311" s="249" t="n"/>
      <c r="E311" s="249" t="n"/>
      <c r="F311" s="249" t="n"/>
      <c r="G311" s="249" t="n"/>
      <c r="H311" s="249" t="n"/>
    </row>
    <row r="312" ht="14" customHeight="1" s="250">
      <c r="A312" s="11" t="n"/>
      <c r="B312" s="12" t="n"/>
      <c r="C312" s="11" t="n"/>
      <c r="D312" s="249" t="n"/>
      <c r="E312" s="249" t="n"/>
      <c r="F312" s="249" t="n"/>
      <c r="G312" s="249" t="n"/>
      <c r="H312" s="249" t="n"/>
    </row>
    <row r="313" ht="14" customHeight="1" s="250">
      <c r="A313" s="11" t="n"/>
      <c r="B313" s="12" t="n"/>
      <c r="C313" s="11" t="n"/>
      <c r="D313" s="249" t="n"/>
      <c r="E313" s="249" t="n"/>
      <c r="F313" s="249" t="n"/>
      <c r="G313" s="249" t="n"/>
      <c r="H313" s="249" t="n"/>
    </row>
    <row r="314" ht="14" customHeight="1" s="250">
      <c r="A314" s="11" t="n"/>
      <c r="B314" s="12" t="n"/>
      <c r="C314" s="11" t="n"/>
      <c r="D314" s="249" t="n"/>
      <c r="E314" s="249" t="n"/>
      <c r="F314" s="249" t="n"/>
      <c r="G314" s="249" t="n"/>
      <c r="H314" s="249" t="n"/>
    </row>
    <row r="315" ht="14" customHeight="1" s="250">
      <c r="A315" s="11" t="n"/>
      <c r="B315" s="12" t="n"/>
      <c r="C315" s="11" t="n"/>
      <c r="D315" s="249" t="n"/>
      <c r="E315" s="249" t="n"/>
      <c r="F315" s="249" t="n"/>
      <c r="G315" s="249" t="n"/>
      <c r="H315" s="249" t="n"/>
    </row>
    <row r="316" ht="14" customHeight="1" s="250">
      <c r="A316" s="11" t="n"/>
      <c r="B316" s="12" t="n"/>
      <c r="C316" s="11" t="n"/>
      <c r="D316" s="249" t="n"/>
      <c r="E316" s="249" t="n"/>
      <c r="F316" s="249" t="n"/>
      <c r="G316" s="249" t="n"/>
      <c r="H316" s="249" t="n"/>
    </row>
    <row r="317" ht="14" customHeight="1" s="250">
      <c r="A317" s="11" t="n"/>
      <c r="B317" s="12" t="n"/>
      <c r="C317" s="11" t="n"/>
      <c r="D317" s="249" t="n"/>
      <c r="E317" s="249" t="n"/>
      <c r="F317" s="249" t="n"/>
      <c r="G317" s="249" t="n"/>
      <c r="H317" s="249" t="n"/>
    </row>
    <row r="318" ht="14" customHeight="1" s="250">
      <c r="A318" s="11" t="n"/>
      <c r="B318" s="12" t="n"/>
      <c r="C318" s="11" t="n"/>
      <c r="D318" s="249" t="n"/>
      <c r="E318" s="249" t="n"/>
      <c r="F318" s="249" t="n"/>
      <c r="G318" s="249" t="n"/>
      <c r="H318" s="249" t="n"/>
    </row>
    <row r="319" ht="14" customHeight="1" s="250">
      <c r="A319" s="11" t="n"/>
      <c r="B319" s="12" t="n"/>
      <c r="C319" s="11" t="n"/>
      <c r="D319" s="249" t="n"/>
      <c r="E319" s="249" t="n"/>
      <c r="F319" s="249" t="n"/>
      <c r="G319" s="249" t="n"/>
      <c r="H319" s="249" t="n"/>
    </row>
    <row r="320" ht="14" customHeight="1" s="250">
      <c r="A320" s="11" t="n"/>
      <c r="B320" s="12" t="n"/>
      <c r="C320" s="11" t="n"/>
      <c r="D320" s="249" t="n"/>
      <c r="E320" s="249" t="n"/>
      <c r="F320" s="249" t="n"/>
      <c r="G320" s="249" t="n"/>
      <c r="H320" s="249" t="n"/>
    </row>
    <row r="321" ht="14" customHeight="1" s="250">
      <c r="A321" s="11" t="n"/>
      <c r="B321" s="12" t="n"/>
      <c r="C321" s="11" t="n"/>
      <c r="D321" s="249" t="n"/>
      <c r="E321" s="249" t="n"/>
      <c r="F321" s="249" t="n"/>
      <c r="G321" s="249" t="n"/>
      <c r="H321" s="249" t="n"/>
    </row>
    <row r="322" ht="14" customHeight="1" s="250">
      <c r="A322" s="11" t="n"/>
      <c r="B322" s="12" t="n"/>
      <c r="C322" s="11" t="n"/>
      <c r="D322" s="249" t="n"/>
      <c r="E322" s="249" t="n"/>
      <c r="F322" s="249" t="n"/>
      <c r="G322" s="249" t="n"/>
      <c r="H322" s="249" t="n"/>
    </row>
    <row r="323" ht="14" customHeight="1" s="250">
      <c r="A323" s="11" t="n"/>
      <c r="B323" s="12" t="n"/>
      <c r="C323" s="11" t="n"/>
      <c r="D323" s="249" t="n"/>
      <c r="E323" s="249" t="n"/>
      <c r="F323" s="249" t="n"/>
      <c r="G323" s="249" t="n"/>
      <c r="H323" s="249" t="n"/>
    </row>
    <row r="324" ht="14" customHeight="1" s="250">
      <c r="A324" s="11" t="n"/>
      <c r="B324" s="12" t="n"/>
      <c r="C324" s="11" t="n"/>
      <c r="D324" s="249" t="n"/>
      <c r="E324" s="249" t="n"/>
      <c r="F324" s="249" t="n"/>
      <c r="G324" s="249" t="n"/>
      <c r="H324" s="249" t="n"/>
    </row>
    <row r="325" ht="14" customHeight="1" s="250">
      <c r="A325" s="11" t="n"/>
      <c r="B325" s="12" t="n"/>
      <c r="C325" s="11" t="n"/>
      <c r="D325" s="249" t="n"/>
      <c r="E325" s="249" t="n"/>
      <c r="F325" s="249" t="n"/>
      <c r="G325" s="249" t="n"/>
      <c r="H325" s="249" t="n"/>
    </row>
    <row r="326" ht="14" customHeight="1" s="250">
      <c r="A326" s="11" t="n"/>
      <c r="B326" s="12" t="n"/>
      <c r="C326" s="11" t="n"/>
      <c r="D326" s="249" t="n"/>
      <c r="E326" s="249" t="n"/>
      <c r="F326" s="249" t="n"/>
      <c r="G326" s="249" t="n"/>
      <c r="H326" s="249" t="n"/>
    </row>
    <row r="327" ht="14" customHeight="1" s="250">
      <c r="A327" s="11" t="n"/>
      <c r="B327" s="12" t="n"/>
      <c r="C327" s="11" t="n"/>
      <c r="D327" s="249" t="n"/>
      <c r="E327" s="249" t="n"/>
      <c r="F327" s="249" t="n"/>
      <c r="G327" s="249" t="n"/>
      <c r="H327" s="249" t="n"/>
    </row>
    <row r="328" ht="14" customHeight="1" s="250">
      <c r="A328" s="11" t="n"/>
      <c r="B328" s="12" t="n"/>
      <c r="C328" s="11" t="n"/>
      <c r="D328" s="249" t="n"/>
      <c r="E328" s="249" t="n"/>
      <c r="F328" s="249" t="n"/>
      <c r="G328" s="249" t="n"/>
      <c r="H328" s="249" t="n"/>
    </row>
    <row r="329" ht="14" customHeight="1" s="250">
      <c r="A329" s="11" t="n"/>
      <c r="B329" s="12" t="n"/>
      <c r="C329" s="11" t="n"/>
      <c r="D329" s="249" t="n"/>
      <c r="E329" s="249" t="n"/>
      <c r="F329" s="249" t="n"/>
      <c r="G329" s="249" t="n"/>
      <c r="H329" s="249" t="n"/>
    </row>
    <row r="330" ht="14" customHeight="1" s="250">
      <c r="A330" s="11" t="n"/>
      <c r="B330" s="12" t="n"/>
      <c r="C330" s="11" t="n"/>
      <c r="D330" s="249" t="n"/>
      <c r="E330" s="249" t="n"/>
      <c r="F330" s="249" t="n"/>
      <c r="G330" s="249" t="n"/>
      <c r="H330" s="249" t="n"/>
    </row>
    <row r="331" ht="14" customHeight="1" s="250">
      <c r="A331" s="11" t="n"/>
      <c r="B331" s="12" t="n"/>
      <c r="C331" s="11" t="n"/>
      <c r="D331" s="249" t="n"/>
      <c r="E331" s="249" t="n"/>
      <c r="F331" s="249" t="n"/>
      <c r="G331" s="249" t="n"/>
      <c r="H331" s="249" t="n"/>
    </row>
    <row r="332" ht="14" customHeight="1" s="250">
      <c r="A332" s="11" t="n"/>
      <c r="B332" s="12" t="n"/>
      <c r="C332" s="11" t="n"/>
      <c r="D332" s="249" t="n"/>
      <c r="E332" s="249" t="n"/>
      <c r="F332" s="249" t="n"/>
      <c r="G332" s="249" t="n"/>
      <c r="H332" s="249" t="n"/>
    </row>
    <row r="333" ht="14" customHeight="1" s="250">
      <c r="A333" s="11" t="n"/>
      <c r="B333" s="12" t="n"/>
      <c r="C333" s="11" t="n"/>
      <c r="D333" s="249" t="n"/>
      <c r="E333" s="249" t="n"/>
      <c r="F333" s="249" t="n"/>
      <c r="G333" s="249" t="n"/>
      <c r="H333" s="249" t="n"/>
    </row>
    <row r="334" ht="14" customHeight="1" s="250">
      <c r="A334" s="11" t="n"/>
      <c r="B334" s="12" t="n"/>
      <c r="C334" s="11" t="n"/>
      <c r="D334" s="249" t="n"/>
      <c r="E334" s="249" t="n"/>
      <c r="F334" s="249" t="n"/>
      <c r="G334" s="249" t="n"/>
      <c r="H334" s="249" t="n"/>
    </row>
    <row r="335" ht="14" customHeight="1" s="250">
      <c r="A335" s="11" t="n"/>
      <c r="B335" s="12" t="n"/>
      <c r="C335" s="11" t="n"/>
      <c r="D335" s="249" t="n"/>
      <c r="E335" s="249" t="n"/>
      <c r="F335" s="249" t="n"/>
      <c r="G335" s="249" t="n"/>
      <c r="H335" s="249" t="n"/>
    </row>
    <row r="336" ht="14" customHeight="1" s="250">
      <c r="A336" s="11" t="n"/>
      <c r="B336" s="12" t="n"/>
      <c r="C336" s="11" t="n"/>
      <c r="D336" s="249" t="n"/>
      <c r="E336" s="249" t="n"/>
      <c r="F336" s="249" t="n"/>
      <c r="G336" s="249" t="n"/>
      <c r="H336" s="249" t="n"/>
    </row>
    <row r="337" ht="14" customHeight="1" s="250">
      <c r="A337" s="11" t="n"/>
      <c r="B337" s="12" t="n"/>
      <c r="C337" s="11" t="n"/>
      <c r="D337" s="249" t="n"/>
      <c r="E337" s="249" t="n"/>
      <c r="F337" s="249" t="n"/>
      <c r="G337" s="249" t="n"/>
      <c r="H337" s="249" t="n"/>
    </row>
    <row r="338" ht="14" customHeight="1" s="250">
      <c r="A338" s="11" t="n"/>
      <c r="B338" s="12" t="n"/>
      <c r="C338" s="11" t="n"/>
      <c r="D338" s="249" t="n"/>
      <c r="E338" s="249" t="n"/>
      <c r="F338" s="249" t="n"/>
      <c r="G338" s="249" t="n"/>
      <c r="H338" s="249" t="n"/>
    </row>
    <row r="339" ht="14" customHeight="1" s="250">
      <c r="A339" s="11" t="n"/>
      <c r="B339" s="12" t="n"/>
      <c r="C339" s="11" t="n"/>
      <c r="D339" s="249" t="n"/>
      <c r="E339" s="249" t="n"/>
      <c r="F339" s="249" t="n"/>
      <c r="G339" s="249" t="n"/>
      <c r="H339" s="249" t="n"/>
    </row>
    <row r="340" ht="14" customHeight="1" s="250">
      <c r="A340" s="11" t="n"/>
      <c r="B340" s="12" t="n"/>
      <c r="C340" s="11" t="n"/>
      <c r="D340" s="249" t="n"/>
      <c r="E340" s="249" t="n"/>
      <c r="F340" s="249" t="n"/>
      <c r="G340" s="249" t="n"/>
      <c r="H340" s="249" t="n"/>
    </row>
    <row r="341" ht="14" customHeight="1" s="250">
      <c r="A341" s="11" t="n"/>
      <c r="B341" s="12" t="n"/>
      <c r="C341" s="11" t="n"/>
      <c r="D341" s="249" t="n"/>
      <c r="E341" s="249" t="n"/>
      <c r="F341" s="249" t="n"/>
      <c r="G341" s="249" t="n"/>
      <c r="H341" s="249" t="n"/>
    </row>
    <row r="342" ht="14" customHeight="1" s="250">
      <c r="A342" s="11" t="n"/>
      <c r="B342" s="12" t="n"/>
      <c r="C342" s="11" t="n"/>
      <c r="D342" s="249" t="n"/>
      <c r="E342" s="249" t="n"/>
      <c r="F342" s="249" t="n"/>
      <c r="G342" s="249" t="n"/>
      <c r="H342" s="249" t="n"/>
    </row>
    <row r="343" ht="14" customHeight="1" s="250">
      <c r="A343" s="11" t="n"/>
      <c r="B343" s="12" t="n"/>
      <c r="C343" s="11" t="n"/>
      <c r="D343" s="249" t="n"/>
      <c r="E343" s="249" t="n"/>
      <c r="F343" s="249" t="n"/>
      <c r="G343" s="249" t="n"/>
      <c r="H343" s="249" t="n"/>
    </row>
    <row r="344" ht="14" customHeight="1" s="250">
      <c r="A344" s="11" t="n"/>
      <c r="B344" s="12" t="n"/>
      <c r="C344" s="11" t="n"/>
      <c r="D344" s="249" t="n"/>
      <c r="E344" s="249" t="n"/>
      <c r="F344" s="249" t="n"/>
      <c r="G344" s="249" t="n"/>
      <c r="H344" s="249" t="n"/>
    </row>
    <row r="345" ht="14" customHeight="1" s="250">
      <c r="A345" s="11" t="n"/>
      <c r="B345" s="12" t="n"/>
      <c r="C345" s="11" t="n"/>
      <c r="D345" s="249" t="n"/>
      <c r="E345" s="249" t="n"/>
      <c r="F345" s="249" t="n"/>
      <c r="G345" s="249" t="n"/>
      <c r="H345" s="249" t="n"/>
    </row>
    <row r="346" ht="14" customHeight="1" s="250">
      <c r="A346" s="11" t="n"/>
      <c r="B346" s="12" t="n"/>
      <c r="C346" s="11" t="n"/>
      <c r="D346" s="249" t="n"/>
      <c r="E346" s="249" t="n"/>
      <c r="F346" s="249" t="n"/>
      <c r="G346" s="249" t="n"/>
      <c r="H346" s="249" t="n"/>
    </row>
    <row r="347" ht="14" customHeight="1" s="250">
      <c r="A347" s="11" t="n"/>
      <c r="B347" s="12" t="n"/>
      <c r="C347" s="11" t="n"/>
      <c r="D347" s="249" t="n"/>
      <c r="E347" s="249" t="n"/>
      <c r="F347" s="249" t="n"/>
      <c r="G347" s="249" t="n"/>
      <c r="H347" s="249" t="n"/>
    </row>
    <row r="348" ht="14" customHeight="1" s="250">
      <c r="A348" s="11" t="n"/>
      <c r="B348" s="12" t="n"/>
      <c r="C348" s="11" t="n"/>
      <c r="D348" s="249" t="n"/>
      <c r="E348" s="249" t="n"/>
      <c r="F348" s="249" t="n"/>
      <c r="G348" s="249" t="n"/>
      <c r="H348" s="249" t="n"/>
    </row>
    <row r="349" ht="14" customHeight="1" s="250">
      <c r="A349" s="11" t="n"/>
      <c r="B349" s="12" t="n"/>
      <c r="C349" s="11" t="n"/>
      <c r="D349" s="249" t="n"/>
      <c r="E349" s="249" t="n"/>
      <c r="F349" s="249" t="n"/>
      <c r="G349" s="249" t="n"/>
      <c r="H349" s="249" t="n"/>
    </row>
    <row r="350" ht="14" customHeight="1" s="250">
      <c r="A350" s="11" t="n"/>
      <c r="B350" s="12" t="n"/>
      <c r="C350" s="11" t="n"/>
      <c r="D350" s="249" t="n"/>
      <c r="E350" s="249" t="n"/>
      <c r="F350" s="249" t="n"/>
      <c r="G350" s="249" t="n"/>
      <c r="H350" s="249" t="n"/>
    </row>
    <row r="351" ht="14" customHeight="1" s="250">
      <c r="A351" s="11" t="n"/>
      <c r="B351" s="12" t="n"/>
      <c r="C351" s="11" t="n"/>
      <c r="D351" s="249" t="n"/>
      <c r="E351" s="249" t="n"/>
      <c r="F351" s="249" t="n"/>
      <c r="G351" s="249" t="n"/>
      <c r="H351" s="249" t="n"/>
    </row>
    <row r="352" ht="14" customHeight="1" s="250">
      <c r="A352" s="11" t="n"/>
      <c r="B352" s="12" t="n"/>
      <c r="C352" s="11" t="n"/>
      <c r="D352" s="249" t="n"/>
      <c r="E352" s="249" t="n"/>
      <c r="F352" s="249" t="n"/>
      <c r="G352" s="249" t="n"/>
      <c r="H352" s="249" t="n"/>
    </row>
    <row r="353" ht="14" customHeight="1" s="250">
      <c r="A353" s="11" t="n"/>
      <c r="B353" s="12" t="n"/>
      <c r="C353" s="11" t="n"/>
      <c r="D353" s="249" t="n"/>
      <c r="E353" s="249" t="n"/>
      <c r="F353" s="249" t="n"/>
      <c r="G353" s="249" t="n"/>
      <c r="H353" s="249" t="n"/>
    </row>
    <row r="354" ht="14" customHeight="1" s="250">
      <c r="A354" s="11" t="n"/>
      <c r="B354" s="12" t="n"/>
      <c r="C354" s="11" t="n"/>
      <c r="D354" s="249" t="n"/>
      <c r="E354" s="249" t="n"/>
      <c r="F354" s="249" t="n"/>
      <c r="G354" s="249" t="n"/>
      <c r="H354" s="249" t="n"/>
    </row>
    <row r="355" ht="14" customHeight="1" s="250">
      <c r="A355" s="11" t="n"/>
      <c r="B355" s="12" t="n"/>
      <c r="C355" s="11" t="n"/>
      <c r="D355" s="249" t="n"/>
      <c r="E355" s="249" t="n"/>
      <c r="F355" s="249" t="n"/>
      <c r="G355" s="249" t="n"/>
      <c r="H355" s="249" t="n"/>
    </row>
    <row r="356" ht="14" customHeight="1" s="250">
      <c r="A356" s="11" t="n"/>
      <c r="B356" s="12" t="n"/>
      <c r="C356" s="11" t="n"/>
      <c r="D356" s="249" t="n"/>
      <c r="E356" s="249" t="n"/>
      <c r="F356" s="249" t="n"/>
      <c r="G356" s="249" t="n"/>
      <c r="H356" s="249" t="n"/>
    </row>
    <row r="357" ht="14" customHeight="1" s="250">
      <c r="A357" s="11" t="n"/>
      <c r="B357" s="12" t="n"/>
      <c r="C357" s="11" t="n"/>
      <c r="D357" s="249" t="n"/>
      <c r="E357" s="249" t="n"/>
      <c r="F357" s="249" t="n"/>
      <c r="G357" s="249" t="n"/>
      <c r="H357" s="249" t="n"/>
    </row>
    <row r="358" ht="14" customHeight="1" s="250">
      <c r="A358" s="11" t="n"/>
      <c r="B358" s="12" t="n"/>
      <c r="C358" s="11" t="n"/>
      <c r="D358" s="249" t="n"/>
      <c r="E358" s="249" t="n"/>
      <c r="F358" s="249" t="n"/>
      <c r="G358" s="249" t="n"/>
      <c r="H358" s="249" t="n"/>
    </row>
    <row r="359" ht="14" customHeight="1" s="250">
      <c r="A359" s="11" t="n"/>
      <c r="B359" s="12" t="n"/>
      <c r="C359" s="11" t="n"/>
      <c r="D359" s="249" t="n"/>
      <c r="E359" s="249" t="n"/>
      <c r="F359" s="249" t="n"/>
      <c r="G359" s="249" t="n"/>
      <c r="H359" s="249" t="n"/>
    </row>
    <row r="360" ht="14" customHeight="1" s="250">
      <c r="A360" s="11" t="n"/>
      <c r="B360" s="12" t="n"/>
      <c r="C360" s="11" t="n"/>
      <c r="D360" s="249" t="n"/>
      <c r="E360" s="249" t="n"/>
      <c r="F360" s="249" t="n"/>
      <c r="G360" s="249" t="n"/>
      <c r="H360" s="249" t="n"/>
    </row>
    <row r="361" ht="14" customHeight="1" s="250">
      <c r="A361" s="11" t="n"/>
      <c r="B361" s="12" t="n"/>
      <c r="C361" s="11" t="n"/>
      <c r="D361" s="249" t="n"/>
      <c r="E361" s="249" t="n"/>
      <c r="F361" s="249" t="n"/>
      <c r="G361" s="249" t="n"/>
      <c r="H361" s="249" t="n"/>
    </row>
    <row r="362" ht="14" customHeight="1" s="250">
      <c r="A362" s="11" t="n"/>
      <c r="B362" s="12" t="n"/>
      <c r="C362" s="11" t="n"/>
      <c r="D362" s="249" t="n"/>
      <c r="E362" s="249" t="n"/>
      <c r="F362" s="249" t="n"/>
      <c r="G362" s="249" t="n"/>
      <c r="H362" s="249" t="n"/>
    </row>
    <row r="363" ht="14" customHeight="1" s="250">
      <c r="A363" s="11" t="n"/>
      <c r="B363" s="12" t="n"/>
      <c r="C363" s="11" t="n"/>
      <c r="D363" s="249" t="n"/>
      <c r="E363" s="249" t="n"/>
      <c r="F363" s="249" t="n"/>
      <c r="G363" s="249" t="n"/>
      <c r="H363" s="249" t="n"/>
    </row>
    <row r="364" ht="14" customHeight="1" s="250">
      <c r="A364" s="11" t="n"/>
      <c r="B364" s="12" t="n"/>
      <c r="C364" s="11" t="n"/>
      <c r="D364" s="249" t="n"/>
      <c r="E364" s="249" t="n"/>
      <c r="F364" s="249" t="n"/>
      <c r="G364" s="249" t="n"/>
      <c r="H364" s="249" t="n"/>
    </row>
    <row r="365" ht="14" customHeight="1" s="250">
      <c r="A365" s="11" t="n"/>
      <c r="B365" s="12" t="n"/>
      <c r="C365" s="11" t="n"/>
      <c r="D365" s="249" t="n"/>
      <c r="E365" s="249" t="n"/>
      <c r="F365" s="249" t="n"/>
      <c r="G365" s="249" t="n"/>
      <c r="H365" s="249" t="n"/>
    </row>
    <row r="366" ht="14" customHeight="1" s="250">
      <c r="A366" s="11" t="n"/>
      <c r="B366" s="12" t="n"/>
      <c r="C366" s="11" t="n"/>
      <c r="D366" s="249" t="n"/>
      <c r="E366" s="249" t="n"/>
      <c r="F366" s="249" t="n"/>
      <c r="G366" s="249" t="n"/>
      <c r="H366" s="249" t="n"/>
    </row>
    <row r="367" ht="14" customHeight="1" s="250">
      <c r="A367" s="11" t="n"/>
      <c r="B367" s="12" t="n"/>
      <c r="C367" s="11" t="n"/>
      <c r="D367" s="249" t="n"/>
      <c r="E367" s="249" t="n"/>
      <c r="F367" s="249" t="n"/>
      <c r="G367" s="249" t="n"/>
      <c r="H367" s="249" t="n"/>
    </row>
    <row r="368" ht="14" customHeight="1" s="250">
      <c r="A368" s="11" t="n"/>
      <c r="B368" s="12" t="n"/>
      <c r="C368" s="11" t="n"/>
      <c r="D368" s="249" t="n"/>
      <c r="E368" s="249" t="n"/>
      <c r="F368" s="249" t="n"/>
      <c r="G368" s="249" t="n"/>
      <c r="H368" s="249" t="n"/>
    </row>
    <row r="369" ht="14" customHeight="1" s="250">
      <c r="A369" s="11" t="n"/>
      <c r="B369" s="12" t="n"/>
      <c r="C369" s="11" t="n"/>
      <c r="D369" s="249" t="n"/>
      <c r="E369" s="249" t="n"/>
      <c r="F369" s="249" t="n"/>
      <c r="G369" s="249" t="n"/>
      <c r="H369" s="249" t="n"/>
    </row>
    <row r="370" ht="14" customHeight="1" s="250">
      <c r="A370" s="11" t="n"/>
      <c r="B370" s="12" t="n"/>
      <c r="C370" s="11" t="n"/>
      <c r="D370" s="249" t="n"/>
      <c r="E370" s="249" t="n"/>
      <c r="F370" s="249" t="n"/>
      <c r="G370" s="249" t="n"/>
      <c r="H370" s="249" t="n"/>
    </row>
    <row r="371" ht="14" customHeight="1" s="250">
      <c r="A371" s="11" t="n"/>
      <c r="B371" s="12" t="n"/>
      <c r="C371" s="11" t="n"/>
      <c r="D371" s="249" t="n"/>
      <c r="E371" s="249" t="n"/>
      <c r="F371" s="249" t="n"/>
      <c r="G371" s="249" t="n"/>
      <c r="H371" s="249" t="n"/>
    </row>
    <row r="372" ht="14" customHeight="1" s="250">
      <c r="A372" s="11" t="n"/>
      <c r="B372" s="12" t="n"/>
      <c r="C372" s="11" t="n"/>
      <c r="D372" s="249" t="n"/>
      <c r="E372" s="249" t="n"/>
      <c r="F372" s="249" t="n"/>
      <c r="G372" s="249" t="n"/>
      <c r="H372" s="249" t="n"/>
    </row>
    <row r="373" ht="14" customHeight="1" s="250">
      <c r="A373" s="11" t="n"/>
      <c r="B373" s="12" t="n"/>
      <c r="C373" s="11" t="n"/>
      <c r="D373" s="249" t="n"/>
      <c r="E373" s="249" t="n"/>
      <c r="F373" s="249" t="n"/>
      <c r="G373" s="249" t="n"/>
      <c r="H373" s="249" t="n"/>
    </row>
    <row r="374" ht="14" customHeight="1" s="250">
      <c r="A374" s="11" t="n"/>
      <c r="B374" s="12" t="n"/>
      <c r="C374" s="11" t="n"/>
      <c r="D374" s="249" t="n"/>
      <c r="E374" s="249" t="n"/>
      <c r="F374" s="249" t="n"/>
      <c r="G374" s="249" t="n"/>
      <c r="H374" s="249" t="n"/>
    </row>
    <row r="375" ht="14" customHeight="1" s="250">
      <c r="A375" s="11" t="n"/>
      <c r="B375" s="12" t="n"/>
      <c r="C375" s="11" t="n"/>
      <c r="D375" s="249" t="n"/>
      <c r="E375" s="249" t="n"/>
      <c r="F375" s="249" t="n"/>
      <c r="G375" s="249" t="n"/>
      <c r="H375" s="249" t="n"/>
    </row>
    <row r="376" ht="14" customHeight="1" s="250">
      <c r="A376" s="11" t="n"/>
      <c r="B376" s="12" t="n"/>
      <c r="C376" s="11" t="n"/>
      <c r="D376" s="249" t="n"/>
      <c r="E376" s="249" t="n"/>
      <c r="F376" s="249" t="n"/>
      <c r="G376" s="249" t="n"/>
      <c r="H376" s="249" t="n"/>
    </row>
    <row r="377" ht="14" customHeight="1" s="250">
      <c r="A377" s="11" t="n"/>
      <c r="B377" s="12" t="n"/>
      <c r="C377" s="11" t="n"/>
      <c r="D377" s="249" t="n"/>
      <c r="E377" s="249" t="n"/>
      <c r="F377" s="249" t="n"/>
      <c r="G377" s="249" t="n"/>
      <c r="H377" s="249" t="n"/>
    </row>
    <row r="378" ht="14" customHeight="1" s="250">
      <c r="A378" s="11" t="n"/>
      <c r="B378" s="12" t="n"/>
      <c r="C378" s="11" t="n"/>
      <c r="D378" s="249" t="n"/>
      <c r="E378" s="249" t="n"/>
      <c r="F378" s="249" t="n"/>
      <c r="G378" s="249" t="n"/>
      <c r="H378" s="249" t="n"/>
    </row>
    <row r="379" ht="14" customHeight="1" s="250">
      <c r="A379" s="11" t="n"/>
      <c r="B379" s="12" t="n"/>
      <c r="C379" s="11" t="n"/>
      <c r="D379" s="249" t="n"/>
      <c r="E379" s="249" t="n"/>
      <c r="F379" s="249" t="n"/>
      <c r="G379" s="249" t="n"/>
      <c r="H379" s="249" t="n"/>
    </row>
    <row r="380" ht="14" customHeight="1" s="250">
      <c r="A380" s="11" t="n"/>
      <c r="B380" s="12" t="n"/>
      <c r="C380" s="11" t="n"/>
      <c r="D380" s="249" t="n"/>
      <c r="E380" s="249" t="n"/>
      <c r="F380" s="249" t="n"/>
      <c r="G380" s="249" t="n"/>
      <c r="H380" s="249" t="n"/>
    </row>
    <row r="381" ht="14" customHeight="1" s="250">
      <c r="A381" s="11" t="n"/>
      <c r="B381" s="12" t="n"/>
      <c r="C381" s="11" t="n"/>
      <c r="D381" s="249" t="n"/>
      <c r="E381" s="249" t="n"/>
      <c r="F381" s="249" t="n"/>
      <c r="G381" s="249" t="n"/>
      <c r="H381" s="249" t="n"/>
    </row>
    <row r="382" ht="14" customHeight="1" s="250">
      <c r="A382" s="11" t="n"/>
      <c r="B382" s="12" t="n"/>
      <c r="C382" s="11" t="n"/>
      <c r="D382" s="249" t="n"/>
      <c r="E382" s="249" t="n"/>
      <c r="F382" s="249" t="n"/>
      <c r="G382" s="249" t="n"/>
      <c r="H382" s="249" t="n"/>
    </row>
    <row r="383" ht="14" customHeight="1" s="250">
      <c r="A383" s="11" t="n"/>
      <c r="B383" s="12" t="n"/>
      <c r="C383" s="11" t="n"/>
      <c r="D383" s="249" t="n"/>
      <c r="E383" s="249" t="n"/>
      <c r="F383" s="249" t="n"/>
      <c r="G383" s="249" t="n"/>
      <c r="H383" s="249" t="n"/>
    </row>
    <row r="384" ht="14" customHeight="1" s="250">
      <c r="A384" s="11" t="n"/>
      <c r="B384" s="12" t="n"/>
      <c r="C384" s="11" t="n"/>
      <c r="D384" s="249" t="n"/>
      <c r="E384" s="249" t="n"/>
      <c r="F384" s="249" t="n"/>
      <c r="G384" s="249" t="n"/>
      <c r="H384" s="249" t="n"/>
    </row>
    <row r="385" ht="14" customHeight="1" s="250">
      <c r="A385" s="11" t="n"/>
      <c r="B385" s="12" t="n"/>
      <c r="C385" s="11" t="n"/>
      <c r="D385" s="249" t="n"/>
      <c r="E385" s="249" t="n"/>
      <c r="F385" s="249" t="n"/>
      <c r="G385" s="249" t="n"/>
      <c r="H385" s="249" t="n"/>
    </row>
    <row r="386" ht="14" customHeight="1" s="250">
      <c r="A386" s="11" t="n"/>
      <c r="B386" s="12" t="n"/>
      <c r="C386" s="11" t="n"/>
      <c r="D386" s="249" t="n"/>
      <c r="E386" s="249" t="n"/>
      <c r="F386" s="249" t="n"/>
      <c r="G386" s="249" t="n"/>
      <c r="H386" s="249" t="n"/>
    </row>
    <row r="387" ht="14" customHeight="1" s="250">
      <c r="A387" s="11" t="n"/>
      <c r="B387" s="12" t="n"/>
      <c r="C387" s="11" t="n"/>
      <c r="D387" s="249" t="n"/>
      <c r="E387" s="249" t="n"/>
      <c r="F387" s="249" t="n"/>
      <c r="G387" s="249" t="n"/>
      <c r="H387" s="249" t="n"/>
    </row>
    <row r="388" ht="14" customHeight="1" s="250">
      <c r="A388" s="11" t="n"/>
      <c r="B388" s="12" t="n"/>
      <c r="C388" s="11" t="n"/>
      <c r="D388" s="249" t="n"/>
      <c r="E388" s="249" t="n"/>
      <c r="F388" s="249" t="n"/>
      <c r="G388" s="249" t="n"/>
      <c r="H388" s="249" t="n"/>
    </row>
    <row r="389" ht="14" customHeight="1" s="250">
      <c r="A389" s="11" t="n"/>
      <c r="B389" s="12" t="n"/>
      <c r="C389" s="11" t="n"/>
      <c r="D389" s="249" t="n"/>
      <c r="E389" s="249" t="n"/>
      <c r="F389" s="249" t="n"/>
      <c r="G389" s="249" t="n"/>
      <c r="H389" s="249" t="n"/>
    </row>
    <row r="390" ht="14" customHeight="1" s="250">
      <c r="A390" s="11" t="n"/>
      <c r="B390" s="12" t="n"/>
      <c r="C390" s="11" t="n"/>
      <c r="D390" s="249" t="n"/>
      <c r="E390" s="249" t="n"/>
      <c r="F390" s="249" t="n"/>
      <c r="G390" s="249" t="n"/>
      <c r="H390" s="249" t="n"/>
    </row>
    <row r="391" ht="14" customHeight="1" s="250">
      <c r="A391" s="11" t="n"/>
      <c r="B391" s="12" t="n"/>
      <c r="C391" s="11" t="n"/>
      <c r="D391" s="249" t="n"/>
      <c r="E391" s="249" t="n"/>
      <c r="F391" s="249" t="n"/>
      <c r="G391" s="249" t="n"/>
      <c r="H391" s="249" t="n"/>
    </row>
    <row r="392" ht="14" customHeight="1" s="250">
      <c r="A392" s="11" t="n"/>
      <c r="B392" s="12" t="n"/>
      <c r="C392" s="11" t="n"/>
      <c r="D392" s="249" t="n"/>
      <c r="E392" s="249" t="n"/>
      <c r="F392" s="249" t="n"/>
      <c r="G392" s="249" t="n"/>
      <c r="H392" s="249" t="n"/>
    </row>
    <row r="393" ht="14" customHeight="1" s="250">
      <c r="A393" s="11" t="n"/>
      <c r="B393" s="12" t="n"/>
      <c r="C393" s="11" t="n"/>
      <c r="D393" s="249" t="n"/>
      <c r="E393" s="249" t="n"/>
      <c r="F393" s="249" t="n"/>
      <c r="G393" s="249" t="n"/>
      <c r="H393" s="249" t="n"/>
    </row>
    <row r="394" ht="14" customHeight="1" s="250">
      <c r="A394" s="11" t="n"/>
      <c r="B394" s="12" t="n"/>
      <c r="C394" s="11" t="n"/>
      <c r="D394" s="249" t="n"/>
      <c r="E394" s="249" t="n"/>
      <c r="F394" s="249" t="n"/>
      <c r="G394" s="249" t="n"/>
      <c r="H394" s="249" t="n"/>
    </row>
    <row r="395" ht="14" customHeight="1" s="250">
      <c r="A395" s="11" t="n"/>
      <c r="B395" s="12" t="n"/>
      <c r="C395" s="11" t="n"/>
      <c r="D395" s="249" t="n"/>
      <c r="E395" s="249" t="n"/>
      <c r="F395" s="249" t="n"/>
      <c r="G395" s="249" t="n"/>
      <c r="H395" s="249" t="n"/>
    </row>
    <row r="396" ht="14" customHeight="1" s="250">
      <c r="A396" s="11" t="n"/>
      <c r="B396" s="12" t="n"/>
      <c r="C396" s="11" t="n"/>
      <c r="D396" s="249" t="n"/>
      <c r="E396" s="249" t="n"/>
      <c r="F396" s="249" t="n"/>
      <c r="G396" s="249" t="n"/>
      <c r="H396" s="249" t="n"/>
    </row>
    <row r="397" ht="14" customHeight="1" s="250">
      <c r="A397" s="11" t="n"/>
      <c r="B397" s="12" t="n"/>
      <c r="C397" s="11" t="n"/>
      <c r="D397" s="249" t="n"/>
      <c r="E397" s="249" t="n"/>
      <c r="F397" s="249" t="n"/>
      <c r="G397" s="249" t="n"/>
      <c r="H397" s="249" t="n"/>
    </row>
    <row r="398" ht="14" customHeight="1" s="250">
      <c r="A398" s="11" t="n"/>
      <c r="B398" s="12" t="n"/>
      <c r="C398" s="11" t="n"/>
      <c r="D398" s="249" t="n"/>
      <c r="E398" s="249" t="n"/>
      <c r="F398" s="249" t="n"/>
      <c r="G398" s="249" t="n"/>
      <c r="H398" s="249" t="n"/>
    </row>
    <row r="399" ht="14" customHeight="1" s="250">
      <c r="A399" s="11" t="n"/>
      <c r="B399" s="12" t="n"/>
      <c r="C399" s="11" t="n"/>
      <c r="D399" s="249" t="n"/>
      <c r="E399" s="249" t="n"/>
      <c r="F399" s="249" t="n"/>
      <c r="G399" s="249" t="n"/>
      <c r="H399" s="249" t="n"/>
    </row>
    <row r="400" ht="14" customHeight="1" s="250">
      <c r="A400" s="11" t="n"/>
      <c r="B400" s="12" t="n"/>
      <c r="C400" s="11" t="n"/>
      <c r="D400" s="249" t="n"/>
      <c r="E400" s="249" t="n"/>
      <c r="F400" s="249" t="n"/>
      <c r="G400" s="249" t="n"/>
      <c r="H400" s="249" t="n"/>
    </row>
    <row r="401" ht="14" customHeight="1" s="250">
      <c r="A401" s="11" t="n"/>
      <c r="B401" s="12" t="n"/>
      <c r="C401" s="11" t="n"/>
      <c r="D401" s="249" t="n"/>
      <c r="E401" s="249" t="n"/>
      <c r="F401" s="249" t="n"/>
      <c r="G401" s="249" t="n"/>
      <c r="H401" s="249" t="n"/>
    </row>
    <row r="402" ht="14" customHeight="1" s="250">
      <c r="A402" s="11" t="n"/>
      <c r="B402" s="12" t="n"/>
      <c r="C402" s="11" t="n"/>
      <c r="D402" s="249" t="n"/>
      <c r="E402" s="249" t="n"/>
      <c r="F402" s="249" t="n"/>
      <c r="G402" s="249" t="n"/>
      <c r="H402" s="249" t="n"/>
    </row>
    <row r="403" ht="14" customHeight="1" s="250">
      <c r="A403" s="11" t="n"/>
      <c r="B403" s="12" t="n"/>
      <c r="C403" s="11" t="n"/>
      <c r="D403" s="249" t="n"/>
      <c r="E403" s="249" t="n"/>
      <c r="F403" s="249" t="n"/>
      <c r="G403" s="249" t="n"/>
      <c r="H403" s="249" t="n"/>
    </row>
    <row r="404" ht="14" customHeight="1" s="250">
      <c r="A404" s="11" t="n"/>
      <c r="B404" s="12" t="n"/>
      <c r="C404" s="11" t="n"/>
      <c r="D404" s="249" t="n"/>
      <c r="E404" s="249" t="n"/>
      <c r="F404" s="249" t="n"/>
      <c r="G404" s="249" t="n"/>
      <c r="H404" s="249" t="n"/>
    </row>
    <row r="405" ht="14" customHeight="1" s="250">
      <c r="A405" s="11" t="n"/>
      <c r="B405" s="12" t="n"/>
      <c r="C405" s="11" t="n"/>
      <c r="D405" s="249" t="n"/>
      <c r="E405" s="249" t="n"/>
      <c r="F405" s="249" t="n"/>
      <c r="G405" s="249" t="n"/>
      <c r="H405" s="249" t="n"/>
    </row>
    <row r="406" ht="14" customHeight="1" s="250">
      <c r="A406" s="11" t="n"/>
      <c r="B406" s="12" t="n"/>
      <c r="C406" s="11" t="n"/>
      <c r="D406" s="249" t="n"/>
      <c r="E406" s="249" t="n"/>
      <c r="F406" s="249" t="n"/>
      <c r="G406" s="249" t="n"/>
      <c r="H406" s="249" t="n"/>
    </row>
    <row r="407" ht="14" customHeight="1" s="250">
      <c r="A407" s="11" t="n"/>
      <c r="B407" s="12" t="n"/>
      <c r="C407" s="11" t="n"/>
      <c r="D407" s="249" t="n"/>
      <c r="E407" s="249" t="n"/>
      <c r="F407" s="249" t="n"/>
      <c r="G407" s="249" t="n"/>
      <c r="H407" s="249" t="n"/>
    </row>
    <row r="408" ht="14" customHeight="1" s="250">
      <c r="A408" s="11" t="n"/>
      <c r="B408" s="12" t="n"/>
      <c r="C408" s="11" t="n"/>
      <c r="D408" s="249" t="n"/>
      <c r="E408" s="249" t="n"/>
      <c r="F408" s="249" t="n"/>
      <c r="G408" s="249" t="n"/>
      <c r="H408" s="249" t="n"/>
    </row>
    <row r="409" ht="14" customHeight="1" s="250">
      <c r="A409" s="11" t="n"/>
      <c r="B409" s="12" t="n"/>
      <c r="C409" s="11" t="n"/>
      <c r="D409" s="249" t="n"/>
      <c r="E409" s="249" t="n"/>
      <c r="F409" s="249" t="n"/>
      <c r="G409" s="249" t="n"/>
      <c r="H409" s="249" t="n"/>
    </row>
    <row r="410" ht="14" customHeight="1" s="250">
      <c r="A410" s="11" t="n"/>
      <c r="B410" s="12" t="n"/>
      <c r="C410" s="11" t="n"/>
      <c r="D410" s="249" t="n"/>
      <c r="E410" s="249" t="n"/>
      <c r="F410" s="249" t="n"/>
      <c r="G410" s="249" t="n"/>
      <c r="H410" s="249" t="n"/>
    </row>
    <row r="411" ht="14" customHeight="1" s="250">
      <c r="A411" s="11" t="n"/>
      <c r="B411" s="12" t="n"/>
      <c r="C411" s="11" t="n"/>
      <c r="D411" s="249" t="n"/>
      <c r="E411" s="249" t="n"/>
      <c r="F411" s="249" t="n"/>
      <c r="G411" s="249" t="n"/>
      <c r="H411" s="249" t="n"/>
    </row>
    <row r="412" ht="14" customHeight="1" s="250">
      <c r="A412" s="11" t="n"/>
      <c r="B412" s="12" t="n"/>
      <c r="C412" s="11" t="n"/>
      <c r="D412" s="249" t="n"/>
      <c r="E412" s="249" t="n"/>
      <c r="F412" s="249" t="n"/>
      <c r="G412" s="249" t="n"/>
      <c r="H412" s="249" t="n"/>
    </row>
    <row r="413" ht="14" customHeight="1" s="250">
      <c r="A413" s="11" t="n"/>
      <c r="B413" s="12" t="n"/>
      <c r="C413" s="11" t="n"/>
      <c r="D413" s="249" t="n"/>
      <c r="E413" s="249" t="n"/>
      <c r="F413" s="249" t="n"/>
      <c r="G413" s="249" t="n"/>
      <c r="H413" s="249" t="n"/>
    </row>
    <row r="414" ht="14" customHeight="1" s="250">
      <c r="A414" s="11" t="n"/>
      <c r="B414" s="12" t="n"/>
      <c r="C414" s="11" t="n"/>
      <c r="D414" s="249" t="n"/>
      <c r="E414" s="249" t="n"/>
      <c r="F414" s="249" t="n"/>
      <c r="G414" s="249" t="n"/>
      <c r="H414" s="249" t="n"/>
    </row>
    <row r="415" ht="14" customHeight="1" s="250">
      <c r="A415" s="11" t="n"/>
      <c r="B415" s="12" t="n"/>
      <c r="C415" s="11" t="n"/>
      <c r="D415" s="249" t="n"/>
      <c r="E415" s="249" t="n"/>
      <c r="F415" s="249" t="n"/>
      <c r="G415" s="249" t="n"/>
      <c r="H415" s="249" t="n"/>
    </row>
    <row r="416" ht="14" customHeight="1" s="250">
      <c r="A416" s="11" t="n"/>
      <c r="B416" s="12" t="n"/>
      <c r="C416" s="11" t="n"/>
      <c r="D416" s="249" t="n"/>
      <c r="E416" s="249" t="n"/>
      <c r="F416" s="249" t="n"/>
      <c r="G416" s="249" t="n"/>
      <c r="H416" s="249" t="n"/>
    </row>
    <row r="417" ht="14" customHeight="1" s="250">
      <c r="A417" s="11" t="n"/>
      <c r="B417" s="12" t="n"/>
      <c r="C417" s="11" t="n"/>
      <c r="D417" s="249" t="n"/>
      <c r="E417" s="249" t="n"/>
      <c r="F417" s="249" t="n"/>
      <c r="G417" s="249" t="n"/>
      <c r="H417" s="249" t="n"/>
    </row>
    <row r="418" ht="14" customHeight="1" s="250">
      <c r="A418" s="11" t="n"/>
      <c r="B418" s="12" t="n"/>
      <c r="C418" s="11" t="n"/>
      <c r="D418" s="249" t="n"/>
      <c r="E418" s="249" t="n"/>
      <c r="F418" s="249" t="n"/>
      <c r="G418" s="249" t="n"/>
      <c r="H418" s="249" t="n"/>
    </row>
    <row r="419" ht="14" customHeight="1" s="250">
      <c r="A419" s="11" t="n"/>
      <c r="B419" s="12" t="n"/>
      <c r="C419" s="11" t="n"/>
      <c r="D419" s="249" t="n"/>
      <c r="E419" s="249" t="n"/>
      <c r="F419" s="249" t="n"/>
      <c r="G419" s="249" t="n"/>
      <c r="H419" s="249" t="n"/>
    </row>
    <row r="420" ht="14" customHeight="1" s="250">
      <c r="A420" s="11" t="n"/>
      <c r="B420" s="12" t="n"/>
      <c r="C420" s="11" t="n"/>
      <c r="D420" s="249" t="n"/>
      <c r="E420" s="249" t="n"/>
      <c r="F420" s="249" t="n"/>
      <c r="G420" s="249" t="n"/>
      <c r="H420" s="249" t="n"/>
    </row>
    <row r="421" ht="14" customHeight="1" s="250">
      <c r="A421" s="11" t="n"/>
      <c r="B421" s="12" t="n"/>
      <c r="C421" s="11" t="n"/>
      <c r="D421" s="249" t="n"/>
      <c r="E421" s="249" t="n"/>
      <c r="F421" s="249" t="n"/>
      <c r="G421" s="249" t="n"/>
      <c r="H421" s="249" t="n"/>
    </row>
    <row r="422" ht="14" customHeight="1" s="250">
      <c r="A422" s="11" t="n"/>
      <c r="B422" s="12" t="n"/>
      <c r="C422" s="11" t="n"/>
      <c r="D422" s="249" t="n"/>
      <c r="E422" s="249" t="n"/>
      <c r="F422" s="249" t="n"/>
      <c r="G422" s="249" t="n"/>
      <c r="H422" s="249" t="n"/>
    </row>
    <row r="423" ht="14" customHeight="1" s="250">
      <c r="A423" s="11" t="n"/>
      <c r="B423" s="12" t="n"/>
      <c r="C423" s="11" t="n"/>
      <c r="D423" s="249" t="n"/>
      <c r="E423" s="249" t="n"/>
      <c r="F423" s="249" t="n"/>
      <c r="G423" s="249" t="n"/>
      <c r="H423" s="249" t="n"/>
    </row>
    <row r="424" ht="14" customHeight="1" s="250">
      <c r="A424" s="11" t="n"/>
      <c r="B424" s="12" t="n"/>
      <c r="C424" s="11" t="n"/>
      <c r="D424" s="249" t="n"/>
      <c r="E424" s="249" t="n"/>
      <c r="F424" s="249" t="n"/>
      <c r="G424" s="249" t="n"/>
      <c r="H424" s="249" t="n"/>
    </row>
    <row r="425" ht="14" customHeight="1" s="250">
      <c r="A425" s="11" t="n"/>
      <c r="B425" s="12" t="n"/>
      <c r="C425" s="11" t="n"/>
      <c r="D425" s="249" t="n"/>
      <c r="E425" s="249" t="n"/>
      <c r="F425" s="249" t="n"/>
      <c r="G425" s="249" t="n"/>
      <c r="H425" s="249" t="n"/>
    </row>
    <row r="426" ht="14" customHeight="1" s="250">
      <c r="A426" s="11" t="n"/>
      <c r="B426" s="12" t="n"/>
      <c r="C426" s="11" t="n"/>
      <c r="D426" s="249" t="n"/>
      <c r="E426" s="249" t="n"/>
      <c r="F426" s="249" t="n"/>
      <c r="G426" s="249" t="n"/>
      <c r="H426" s="249" t="n"/>
    </row>
    <row r="427" ht="14" customHeight="1" s="250">
      <c r="A427" s="11" t="n"/>
      <c r="B427" s="12" t="n"/>
      <c r="C427" s="11" t="n"/>
      <c r="D427" s="249" t="n"/>
      <c r="E427" s="249" t="n"/>
      <c r="F427" s="249" t="n"/>
      <c r="G427" s="249" t="n"/>
      <c r="H427" s="249" t="n"/>
    </row>
    <row r="428" ht="14" customHeight="1" s="250">
      <c r="A428" s="11" t="n"/>
      <c r="B428" s="12" t="n"/>
      <c r="C428" s="11" t="n"/>
      <c r="D428" s="249" t="n"/>
      <c r="E428" s="249" t="n"/>
      <c r="F428" s="249" t="n"/>
      <c r="G428" s="249" t="n"/>
      <c r="H428" s="249" t="n"/>
    </row>
    <row r="429" ht="14" customHeight="1" s="250">
      <c r="A429" s="11" t="n"/>
      <c r="B429" s="12" t="n"/>
      <c r="C429" s="11" t="n"/>
      <c r="D429" s="249" t="n"/>
      <c r="E429" s="249" t="n"/>
      <c r="F429" s="249" t="n"/>
      <c r="G429" s="249" t="n"/>
      <c r="H429" s="249" t="n"/>
    </row>
    <row r="430" ht="14" customHeight="1" s="250">
      <c r="A430" s="11" t="n"/>
      <c r="B430" s="12" t="n"/>
      <c r="C430" s="11" t="n"/>
      <c r="D430" s="249" t="n"/>
      <c r="E430" s="249" t="n"/>
      <c r="F430" s="249" t="n"/>
      <c r="G430" s="249" t="n"/>
      <c r="H430" s="249" t="n"/>
    </row>
    <row r="431" ht="14" customHeight="1" s="250">
      <c r="A431" s="11" t="n"/>
      <c r="B431" s="12" t="n"/>
      <c r="C431" s="11" t="n"/>
      <c r="D431" s="249" t="n"/>
      <c r="E431" s="249" t="n"/>
      <c r="F431" s="249" t="n"/>
      <c r="G431" s="249" t="n"/>
      <c r="H431" s="249" t="n"/>
    </row>
    <row r="432" ht="14" customHeight="1" s="250">
      <c r="A432" s="11" t="n"/>
      <c r="B432" s="12" t="n"/>
      <c r="C432" s="11" t="n"/>
      <c r="D432" s="249" t="n"/>
      <c r="E432" s="249" t="n"/>
      <c r="F432" s="249" t="n"/>
      <c r="G432" s="249" t="n"/>
      <c r="H432" s="249" t="n"/>
    </row>
    <row r="433" ht="14" customHeight="1" s="250">
      <c r="A433" s="11" t="n"/>
      <c r="B433" s="12" t="n"/>
      <c r="C433" s="11" t="n"/>
      <c r="D433" s="249" t="n"/>
      <c r="E433" s="249" t="n"/>
      <c r="F433" s="249" t="n"/>
      <c r="G433" s="249" t="n"/>
      <c r="H433" s="249" t="n"/>
    </row>
    <row r="434" ht="14" customHeight="1" s="250">
      <c r="A434" s="11" t="n"/>
      <c r="B434" s="12" t="n"/>
      <c r="C434" s="11" t="n"/>
      <c r="D434" s="249" t="n"/>
      <c r="E434" s="249" t="n"/>
      <c r="F434" s="249" t="n"/>
      <c r="G434" s="249" t="n"/>
      <c r="H434" s="249" t="n"/>
    </row>
    <row r="435" ht="14" customHeight="1" s="250">
      <c r="A435" s="11" t="n"/>
      <c r="B435" s="12" t="n"/>
      <c r="C435" s="11" t="n"/>
      <c r="D435" s="249" t="n"/>
      <c r="E435" s="249" t="n"/>
      <c r="F435" s="249" t="n"/>
      <c r="G435" s="249" t="n"/>
      <c r="H435" s="249" t="n"/>
    </row>
    <row r="436" ht="14" customHeight="1" s="250">
      <c r="A436" s="11" t="n"/>
      <c r="B436" s="12" t="n"/>
      <c r="C436" s="11" t="n"/>
      <c r="D436" s="249" t="n"/>
      <c r="E436" s="249" t="n"/>
      <c r="F436" s="249" t="n"/>
      <c r="G436" s="249" t="n"/>
      <c r="H436" s="249" t="n"/>
    </row>
    <row r="437" ht="14" customHeight="1" s="250">
      <c r="A437" s="11" t="n"/>
      <c r="B437" s="12" t="n"/>
      <c r="C437" s="11" t="n"/>
      <c r="D437" s="249" t="n"/>
      <c r="E437" s="249" t="n"/>
      <c r="F437" s="249" t="n"/>
      <c r="G437" s="249" t="n"/>
      <c r="H437" s="249" t="n"/>
    </row>
    <row r="438" ht="14" customHeight="1" s="250">
      <c r="A438" s="11" t="n"/>
      <c r="B438" s="12" t="n"/>
      <c r="C438" s="11" t="n"/>
      <c r="D438" s="249" t="n"/>
      <c r="E438" s="249" t="n"/>
      <c r="F438" s="249" t="n"/>
      <c r="G438" s="249" t="n"/>
      <c r="H438" s="249" t="n"/>
    </row>
    <row r="439" ht="14" customHeight="1" s="250">
      <c r="A439" s="11" t="n"/>
      <c r="B439" s="12" t="n"/>
      <c r="C439" s="11" t="n"/>
      <c r="D439" s="249" t="n"/>
      <c r="E439" s="249" t="n"/>
      <c r="F439" s="249" t="n"/>
      <c r="G439" s="249" t="n"/>
      <c r="H439" s="249" t="n"/>
    </row>
    <row r="440" ht="14" customHeight="1" s="250">
      <c r="A440" s="11" t="n"/>
      <c r="B440" s="12" t="n"/>
      <c r="C440" s="11" t="n"/>
      <c r="D440" s="249" t="n"/>
      <c r="E440" s="249" t="n"/>
      <c r="F440" s="249" t="n"/>
      <c r="G440" s="249" t="n"/>
      <c r="H440" s="249" t="n"/>
    </row>
    <row r="441" ht="14" customHeight="1" s="250">
      <c r="A441" s="11" t="n"/>
      <c r="B441" s="12" t="n"/>
      <c r="C441" s="11" t="n"/>
      <c r="D441" s="249" t="n"/>
      <c r="E441" s="249" t="n"/>
      <c r="F441" s="249" t="n"/>
      <c r="G441" s="249" t="n"/>
      <c r="H441" s="249" t="n"/>
    </row>
    <row r="442" ht="14" customHeight="1" s="250">
      <c r="A442" s="11" t="n"/>
      <c r="B442" s="12" t="n"/>
      <c r="C442" s="11" t="n"/>
      <c r="D442" s="249" t="n"/>
      <c r="E442" s="249" t="n"/>
      <c r="F442" s="249" t="n"/>
      <c r="G442" s="249" t="n"/>
      <c r="H442" s="249" t="n"/>
    </row>
    <row r="443" ht="14" customHeight="1" s="250">
      <c r="A443" s="11" t="n"/>
      <c r="B443" s="12" t="n"/>
      <c r="C443" s="11" t="n"/>
      <c r="D443" s="249" t="n"/>
      <c r="E443" s="249" t="n"/>
      <c r="F443" s="249" t="n"/>
      <c r="G443" s="249" t="n"/>
      <c r="H443" s="249" t="n"/>
    </row>
    <row r="444" ht="14" customHeight="1" s="250">
      <c r="A444" s="11" t="n"/>
      <c r="B444" s="12" t="n"/>
      <c r="C444" s="11" t="n"/>
      <c r="D444" s="249" t="n"/>
      <c r="E444" s="249" t="n"/>
      <c r="F444" s="249" t="n"/>
      <c r="G444" s="249" t="n"/>
      <c r="H444" s="249" t="n"/>
    </row>
    <row r="445" ht="14" customHeight="1" s="250">
      <c r="A445" s="11" t="n"/>
      <c r="B445" s="12" t="n"/>
      <c r="C445" s="11" t="n"/>
      <c r="D445" s="249" t="n"/>
      <c r="E445" s="249" t="n"/>
      <c r="F445" s="249" t="n"/>
      <c r="G445" s="249" t="n"/>
      <c r="H445" s="249" t="n"/>
    </row>
    <row r="446" ht="14" customHeight="1" s="250">
      <c r="A446" s="11" t="n"/>
      <c r="B446" s="12" t="n"/>
      <c r="C446" s="11" t="n"/>
      <c r="D446" s="249" t="n"/>
      <c r="E446" s="249" t="n"/>
      <c r="F446" s="249" t="n"/>
      <c r="G446" s="249" t="n"/>
      <c r="H446" s="249" t="n"/>
    </row>
    <row r="447" ht="14" customHeight="1" s="250">
      <c r="A447" s="11" t="n"/>
      <c r="B447" s="12" t="n"/>
      <c r="C447" s="11" t="n"/>
      <c r="D447" s="249" t="n"/>
      <c r="E447" s="249" t="n"/>
      <c r="F447" s="249" t="n"/>
      <c r="G447" s="249" t="n"/>
      <c r="H447" s="249" t="n"/>
    </row>
    <row r="448" ht="14" customHeight="1" s="250">
      <c r="A448" s="11" t="n"/>
      <c r="B448" s="12" t="n"/>
      <c r="C448" s="11" t="n"/>
      <c r="D448" s="249" t="n"/>
      <c r="E448" s="249" t="n"/>
      <c r="F448" s="249" t="n"/>
      <c r="G448" s="249" t="n"/>
      <c r="H448" s="249" t="n"/>
    </row>
    <row r="449" ht="14" customHeight="1" s="250">
      <c r="A449" s="11" t="n"/>
      <c r="B449" s="12" t="n"/>
      <c r="C449" s="11" t="n"/>
      <c r="D449" s="249" t="n"/>
      <c r="E449" s="249" t="n"/>
      <c r="F449" s="249" t="n"/>
      <c r="G449" s="249" t="n"/>
      <c r="H449" s="249" t="n"/>
    </row>
    <row r="450" ht="14" customHeight="1" s="250">
      <c r="A450" s="11" t="n"/>
      <c r="B450" s="12" t="n"/>
      <c r="C450" s="11" t="n"/>
      <c r="D450" s="249" t="n"/>
      <c r="E450" s="249" t="n"/>
      <c r="F450" s="249" t="n"/>
      <c r="G450" s="249" t="n"/>
      <c r="H450" s="249" t="n"/>
    </row>
    <row r="451" ht="14" customHeight="1" s="250">
      <c r="A451" s="11" t="n"/>
      <c r="B451" s="12" t="n"/>
      <c r="C451" s="11" t="n"/>
      <c r="D451" s="249" t="n"/>
      <c r="E451" s="249" t="n"/>
      <c r="F451" s="249" t="n"/>
      <c r="G451" s="249" t="n"/>
      <c r="H451" s="249" t="n"/>
    </row>
    <row r="452" ht="14" customHeight="1" s="250">
      <c r="A452" s="11" t="n"/>
      <c r="B452" s="12" t="n"/>
      <c r="C452" s="11" t="n"/>
      <c r="D452" s="249" t="n"/>
      <c r="E452" s="249" t="n"/>
      <c r="F452" s="249" t="n"/>
      <c r="G452" s="249" t="n"/>
      <c r="H452" s="249" t="n"/>
    </row>
    <row r="453" ht="14" customHeight="1" s="250">
      <c r="A453" s="11" t="n"/>
      <c r="B453" s="12" t="n"/>
      <c r="C453" s="11" t="n"/>
      <c r="D453" s="249" t="n"/>
      <c r="E453" s="249" t="n"/>
      <c r="F453" s="249" t="n"/>
      <c r="G453" s="249" t="n"/>
      <c r="H453" s="249" t="n"/>
    </row>
    <row r="454" ht="14" customHeight="1" s="250">
      <c r="A454" s="11" t="n"/>
      <c r="B454" s="12" t="n"/>
      <c r="C454" s="11" t="n"/>
      <c r="D454" s="249" t="n"/>
      <c r="E454" s="249" t="n"/>
      <c r="F454" s="249" t="n"/>
      <c r="G454" s="249" t="n"/>
      <c r="H454" s="249" t="n"/>
    </row>
    <row r="455" ht="14" customHeight="1" s="250">
      <c r="A455" s="11" t="n"/>
      <c r="B455" s="12" t="n"/>
      <c r="C455" s="11" t="n"/>
      <c r="D455" s="249" t="n"/>
      <c r="E455" s="249" t="n"/>
      <c r="F455" s="249" t="n"/>
      <c r="G455" s="249" t="n"/>
      <c r="H455" s="249" t="n"/>
    </row>
    <row r="456" ht="14" customHeight="1" s="250">
      <c r="A456" s="11" t="n"/>
      <c r="B456" s="12" t="n"/>
      <c r="C456" s="11" t="n"/>
      <c r="D456" s="249" t="n"/>
      <c r="E456" s="249" t="n"/>
      <c r="F456" s="249" t="n"/>
      <c r="G456" s="249" t="n"/>
      <c r="H456" s="249" t="n"/>
    </row>
    <row r="457" ht="14" customHeight="1" s="250">
      <c r="A457" s="11" t="n"/>
      <c r="B457" s="12" t="n"/>
      <c r="C457" s="11" t="n"/>
      <c r="D457" s="249" t="n"/>
      <c r="E457" s="249" t="n"/>
      <c r="F457" s="249" t="n"/>
      <c r="G457" s="249" t="n"/>
      <c r="H457" s="249" t="n"/>
    </row>
    <row r="458" ht="14" customHeight="1" s="250">
      <c r="A458" s="11" t="n"/>
      <c r="B458" s="12" t="n"/>
      <c r="C458" s="11" t="n"/>
      <c r="D458" s="249" t="n"/>
      <c r="E458" s="249" t="n"/>
      <c r="F458" s="249" t="n"/>
      <c r="G458" s="249" t="n"/>
      <c r="H458" s="249" t="n"/>
    </row>
    <row r="459" ht="14" customHeight="1" s="250">
      <c r="A459" s="11" t="n"/>
      <c r="B459" s="12" t="n"/>
      <c r="C459" s="11" t="n"/>
      <c r="D459" s="249" t="n"/>
      <c r="E459" s="249" t="n"/>
      <c r="F459" s="249" t="n"/>
      <c r="G459" s="249" t="n"/>
      <c r="H459" s="249" t="n"/>
    </row>
    <row r="460" ht="14" customHeight="1" s="250">
      <c r="A460" s="11" t="n"/>
      <c r="B460" s="12" t="n"/>
      <c r="C460" s="11" t="n"/>
      <c r="D460" s="249" t="n"/>
      <c r="E460" s="249" t="n"/>
      <c r="F460" s="249" t="n"/>
      <c r="G460" s="249" t="n"/>
      <c r="H460" s="249" t="n"/>
    </row>
    <row r="461" ht="14" customHeight="1" s="250">
      <c r="A461" s="11" t="n"/>
      <c r="B461" s="12" t="n"/>
      <c r="C461" s="11" t="n"/>
      <c r="D461" s="249" t="n"/>
      <c r="E461" s="249" t="n"/>
      <c r="F461" s="249" t="n"/>
      <c r="G461" s="249" t="n"/>
      <c r="H461" s="249" t="n"/>
    </row>
    <row r="462" ht="14" customHeight="1" s="250">
      <c r="A462" s="11" t="n"/>
      <c r="B462" s="12" t="n"/>
      <c r="C462" s="11" t="n"/>
      <c r="D462" s="249" t="n"/>
      <c r="E462" s="249" t="n"/>
      <c r="F462" s="249" t="n"/>
      <c r="G462" s="249" t="n"/>
      <c r="H462" s="249" t="n"/>
    </row>
    <row r="463" ht="14" customHeight="1" s="250">
      <c r="A463" s="11" t="n"/>
      <c r="B463" s="12" t="n"/>
      <c r="C463" s="11" t="n"/>
      <c r="D463" s="249" t="n"/>
      <c r="E463" s="249" t="n"/>
      <c r="F463" s="249" t="n"/>
      <c r="G463" s="249" t="n"/>
      <c r="H463" s="249" t="n"/>
    </row>
    <row r="464" ht="14" customHeight="1" s="250">
      <c r="A464" s="11" t="n"/>
      <c r="B464" s="12" t="n"/>
      <c r="C464" s="11" t="n"/>
      <c r="D464" s="249" t="n"/>
      <c r="E464" s="249" t="n"/>
      <c r="F464" s="249" t="n"/>
      <c r="G464" s="249" t="n"/>
      <c r="H464" s="249" t="n"/>
    </row>
    <row r="465" ht="14" customHeight="1" s="250">
      <c r="A465" s="11" t="n"/>
      <c r="B465" s="12" t="n"/>
      <c r="C465" s="11" t="n"/>
      <c r="D465" s="249" t="n"/>
      <c r="E465" s="249" t="n"/>
      <c r="F465" s="249" t="n"/>
      <c r="G465" s="249" t="n"/>
      <c r="H465" s="249" t="n"/>
    </row>
    <row r="466" ht="14" customHeight="1" s="250">
      <c r="A466" s="11" t="n"/>
      <c r="B466" s="12" t="n"/>
      <c r="C466" s="11" t="n"/>
      <c r="D466" s="249" t="n"/>
      <c r="E466" s="249" t="n"/>
      <c r="F466" s="249" t="n"/>
      <c r="G466" s="249" t="n"/>
      <c r="H466" s="249" t="n"/>
    </row>
    <row r="467" ht="14" customHeight="1" s="250">
      <c r="A467" s="11" t="n"/>
      <c r="B467" s="12" t="n"/>
      <c r="C467" s="11" t="n"/>
      <c r="D467" s="249" t="n"/>
      <c r="E467" s="249" t="n"/>
      <c r="F467" s="249" t="n"/>
      <c r="G467" s="249" t="n"/>
      <c r="H467" s="249" t="n"/>
    </row>
    <row r="468" ht="14" customHeight="1" s="250">
      <c r="A468" s="11" t="n"/>
      <c r="B468" s="12" t="n"/>
      <c r="C468" s="11" t="n"/>
      <c r="D468" s="249" t="n"/>
      <c r="E468" s="249" t="n"/>
      <c r="F468" s="249" t="n"/>
      <c r="G468" s="249" t="n"/>
      <c r="H468" s="249" t="n"/>
    </row>
    <row r="469" ht="14" customHeight="1" s="250">
      <c r="A469" s="11" t="n"/>
      <c r="B469" s="12" t="n"/>
      <c r="C469" s="11" t="n"/>
      <c r="D469" s="249" t="n"/>
      <c r="E469" s="249" t="n"/>
      <c r="F469" s="249" t="n"/>
      <c r="G469" s="249" t="n"/>
      <c r="H469" s="249" t="n"/>
    </row>
    <row r="470" ht="14" customHeight="1" s="250">
      <c r="A470" s="11" t="n"/>
      <c r="B470" s="12" t="n"/>
      <c r="C470" s="11" t="n"/>
      <c r="D470" s="249" t="n"/>
      <c r="E470" s="249" t="n"/>
      <c r="F470" s="249" t="n"/>
      <c r="G470" s="249" t="n"/>
      <c r="H470" s="249" t="n"/>
    </row>
    <row r="471" ht="14" customHeight="1" s="250">
      <c r="A471" s="11" t="n"/>
      <c r="B471" s="12" t="n"/>
      <c r="C471" s="11" t="n"/>
      <c r="D471" s="249" t="n"/>
      <c r="E471" s="249" t="n"/>
      <c r="F471" s="249" t="n"/>
      <c r="G471" s="249" t="n"/>
      <c r="H471" s="249" t="n"/>
    </row>
    <row r="472" ht="14" customHeight="1" s="250">
      <c r="A472" s="11" t="n"/>
      <c r="B472" s="12" t="n"/>
      <c r="C472" s="11" t="n"/>
      <c r="D472" s="249" t="n"/>
      <c r="E472" s="249" t="n"/>
      <c r="F472" s="249" t="n"/>
      <c r="G472" s="249" t="n"/>
      <c r="H472" s="249" t="n"/>
    </row>
    <row r="473" ht="14" customHeight="1" s="250">
      <c r="A473" s="11" t="n"/>
      <c r="B473" s="12" t="n"/>
      <c r="C473" s="11" t="n"/>
      <c r="D473" s="249" t="n"/>
      <c r="E473" s="249" t="n"/>
      <c r="F473" s="249" t="n"/>
      <c r="G473" s="249" t="n"/>
      <c r="H473" s="249" t="n"/>
    </row>
    <row r="474" ht="14" customHeight="1" s="250">
      <c r="A474" s="11" t="n"/>
      <c r="B474" s="12" t="n"/>
      <c r="C474" s="11" t="n"/>
      <c r="D474" s="249" t="n"/>
      <c r="E474" s="249" t="n"/>
      <c r="F474" s="249" t="n"/>
      <c r="G474" s="249" t="n"/>
      <c r="H474" s="249" t="n"/>
    </row>
    <row r="475" ht="14" customHeight="1" s="250">
      <c r="A475" s="11" t="n"/>
      <c r="B475" s="12" t="n"/>
      <c r="C475" s="11" t="n"/>
      <c r="D475" s="249" t="n"/>
      <c r="E475" s="249" t="n"/>
      <c r="F475" s="249" t="n"/>
      <c r="G475" s="249" t="n"/>
      <c r="H475" s="249" t="n"/>
    </row>
    <row r="476" ht="14" customHeight="1" s="250">
      <c r="A476" s="11" t="n"/>
      <c r="B476" s="12" t="n"/>
      <c r="C476" s="11" t="n"/>
      <c r="D476" s="249" t="n"/>
      <c r="E476" s="249" t="n"/>
      <c r="F476" s="249" t="n"/>
      <c r="G476" s="249" t="n"/>
      <c r="H476" s="249" t="n"/>
    </row>
    <row r="477" ht="14" customHeight="1" s="250">
      <c r="A477" s="11" t="n"/>
      <c r="B477" s="12" t="n"/>
      <c r="C477" s="11" t="n"/>
      <c r="D477" s="249" t="n"/>
      <c r="E477" s="249" t="n"/>
      <c r="F477" s="249" t="n"/>
      <c r="G477" s="249" t="n"/>
      <c r="H477" s="249" t="n"/>
    </row>
    <row r="478" ht="14" customHeight="1" s="250">
      <c r="A478" s="11" t="n"/>
      <c r="B478" s="12" t="n"/>
      <c r="C478" s="11" t="n"/>
      <c r="D478" s="249" t="n"/>
      <c r="E478" s="249" t="n"/>
      <c r="F478" s="249" t="n"/>
      <c r="G478" s="249" t="n"/>
      <c r="H478" s="249" t="n"/>
    </row>
    <row r="479" ht="14" customHeight="1" s="250">
      <c r="A479" s="11" t="n"/>
      <c r="B479" s="12" t="n"/>
      <c r="C479" s="11" t="n"/>
      <c r="D479" s="249" t="n"/>
      <c r="E479" s="249" t="n"/>
      <c r="F479" s="249" t="n"/>
      <c r="G479" s="249" t="n"/>
      <c r="H479" s="249" t="n"/>
    </row>
    <row r="480" ht="14" customHeight="1" s="250">
      <c r="A480" s="11" t="n"/>
      <c r="B480" s="12" t="n"/>
      <c r="C480" s="11" t="n"/>
      <c r="D480" s="249" t="n"/>
      <c r="E480" s="249" t="n"/>
      <c r="F480" s="249" t="n"/>
      <c r="G480" s="249" t="n"/>
      <c r="H480" s="249" t="n"/>
    </row>
    <row r="481" ht="14" customHeight="1" s="250">
      <c r="A481" s="11" t="n"/>
      <c r="B481" s="12" t="n"/>
      <c r="C481" s="11" t="n"/>
      <c r="D481" s="249" t="n"/>
      <c r="E481" s="249" t="n"/>
      <c r="F481" s="249" t="n"/>
      <c r="G481" s="249" t="n"/>
      <c r="H481" s="249" t="n"/>
    </row>
    <row r="482" ht="14" customHeight="1" s="250">
      <c r="A482" s="11" t="n"/>
      <c r="B482" s="12" t="n"/>
      <c r="C482" s="11" t="n"/>
      <c r="D482" s="249" t="n"/>
      <c r="E482" s="249" t="n"/>
      <c r="F482" s="249" t="n"/>
      <c r="G482" s="249" t="n"/>
      <c r="H482" s="249" t="n"/>
    </row>
    <row r="483" ht="14" customHeight="1" s="250">
      <c r="A483" s="11" t="n"/>
      <c r="B483" s="12" t="n"/>
      <c r="C483" s="11" t="n"/>
      <c r="D483" s="249" t="n"/>
      <c r="E483" s="249" t="n"/>
      <c r="F483" s="249" t="n"/>
      <c r="G483" s="249" t="n"/>
      <c r="H483" s="249" t="n"/>
    </row>
    <row r="484" ht="14" customHeight="1" s="250">
      <c r="A484" s="11" t="n"/>
      <c r="B484" s="12" t="n"/>
      <c r="C484" s="11" t="n"/>
      <c r="D484" s="249" t="n"/>
      <c r="E484" s="249" t="n"/>
      <c r="F484" s="249" t="n"/>
      <c r="G484" s="249" t="n"/>
      <c r="H484" s="249" t="n"/>
    </row>
    <row r="485" ht="14" customHeight="1" s="250">
      <c r="A485" s="11" t="n"/>
      <c r="B485" s="12" t="n"/>
      <c r="C485" s="11" t="n"/>
      <c r="D485" s="249" t="n"/>
      <c r="E485" s="249" t="n"/>
      <c r="F485" s="249" t="n"/>
      <c r="G485" s="249" t="n"/>
      <c r="H485" s="249" t="n"/>
    </row>
    <row r="486" ht="14" customHeight="1" s="250">
      <c r="A486" s="11" t="n"/>
      <c r="B486" s="12" t="n"/>
      <c r="C486" s="11" t="n"/>
      <c r="D486" s="249" t="n"/>
      <c r="E486" s="249" t="n"/>
      <c r="F486" s="249" t="n"/>
      <c r="G486" s="249" t="n"/>
      <c r="H486" s="249" t="n"/>
    </row>
    <row r="487" ht="14" customHeight="1" s="250">
      <c r="A487" s="11" t="n"/>
      <c r="B487" s="12" t="n"/>
      <c r="C487" s="11" t="n"/>
      <c r="D487" s="249" t="n"/>
      <c r="E487" s="249" t="n"/>
      <c r="F487" s="249" t="n"/>
      <c r="G487" s="249" t="n"/>
      <c r="H487" s="249" t="n"/>
    </row>
    <row r="488" ht="14" customHeight="1" s="250">
      <c r="A488" s="11" t="n"/>
      <c r="B488" s="12" t="n"/>
      <c r="C488" s="11" t="n"/>
      <c r="D488" s="249" t="n"/>
      <c r="E488" s="249" t="n"/>
      <c r="F488" s="249" t="n"/>
      <c r="G488" s="249" t="n"/>
      <c r="H488" s="249" t="n"/>
    </row>
    <row r="489" ht="14" customHeight="1" s="250">
      <c r="A489" s="11" t="n"/>
      <c r="B489" s="12" t="n"/>
      <c r="C489" s="11" t="n"/>
      <c r="D489" s="249" t="n"/>
      <c r="E489" s="249" t="n"/>
      <c r="F489" s="249" t="n"/>
      <c r="G489" s="249" t="n"/>
      <c r="H489" s="249" t="n"/>
    </row>
    <row r="490" ht="14" customHeight="1" s="250">
      <c r="A490" s="11" t="n"/>
      <c r="B490" s="12" t="n"/>
      <c r="C490" s="11" t="n"/>
      <c r="D490" s="249" t="n"/>
      <c r="E490" s="249" t="n"/>
      <c r="F490" s="249" t="n"/>
      <c r="G490" s="249" t="n"/>
      <c r="H490" s="249" t="n"/>
    </row>
    <row r="491" ht="14" customHeight="1" s="250">
      <c r="A491" s="11" t="n"/>
      <c r="B491" s="12" t="n"/>
      <c r="C491" s="11" t="n"/>
      <c r="D491" s="249" t="n"/>
      <c r="E491" s="249" t="n"/>
      <c r="F491" s="249" t="n"/>
      <c r="G491" s="249" t="n"/>
      <c r="H491" s="249" t="n"/>
    </row>
    <row r="492" ht="14" customHeight="1" s="250">
      <c r="A492" s="11" t="n"/>
      <c r="B492" s="12" t="n"/>
      <c r="C492" s="11" t="n"/>
      <c r="D492" s="249" t="n"/>
      <c r="E492" s="249" t="n"/>
      <c r="F492" s="249" t="n"/>
      <c r="G492" s="249" t="n"/>
      <c r="H492" s="249" t="n"/>
    </row>
    <row r="493" ht="14" customHeight="1" s="250">
      <c r="A493" s="11" t="n"/>
      <c r="B493" s="12" t="n"/>
      <c r="C493" s="11" t="n"/>
      <c r="D493" s="249" t="n"/>
      <c r="E493" s="249" t="n"/>
      <c r="F493" s="249" t="n"/>
      <c r="G493" s="249" t="n"/>
      <c r="H493" s="249" t="n"/>
    </row>
    <row r="494" ht="14" customHeight="1" s="250">
      <c r="A494" s="11" t="n"/>
      <c r="B494" s="12" t="n"/>
      <c r="C494" s="11" t="n"/>
      <c r="D494" s="249" t="n"/>
      <c r="E494" s="249" t="n"/>
      <c r="F494" s="249" t="n"/>
      <c r="G494" s="249" t="n"/>
      <c r="H494" s="249" t="n"/>
    </row>
    <row r="495" ht="14" customHeight="1" s="250">
      <c r="A495" s="11" t="n"/>
      <c r="B495" s="12" t="n"/>
      <c r="C495" s="11" t="n"/>
      <c r="D495" s="249" t="n"/>
      <c r="E495" s="249" t="n"/>
      <c r="F495" s="249" t="n"/>
      <c r="G495" s="249" t="n"/>
      <c r="H495" s="249" t="n"/>
    </row>
    <row r="496" ht="14" customHeight="1" s="250">
      <c r="A496" s="11" t="n"/>
      <c r="B496" s="12" t="n"/>
      <c r="C496" s="11" t="n"/>
      <c r="D496" s="249" t="n"/>
      <c r="E496" s="249" t="n"/>
      <c r="F496" s="249" t="n"/>
      <c r="G496" s="249" t="n"/>
      <c r="H496" s="249" t="n"/>
    </row>
    <row r="497" ht="14" customHeight="1" s="250">
      <c r="A497" s="11" t="n"/>
      <c r="B497" s="12" t="n"/>
      <c r="C497" s="11" t="n"/>
      <c r="D497" s="249" t="n"/>
      <c r="E497" s="249" t="n"/>
      <c r="F497" s="249" t="n"/>
      <c r="G497" s="249" t="n"/>
      <c r="H497" s="249" t="n"/>
    </row>
    <row r="498" ht="14" customHeight="1" s="250">
      <c r="A498" s="11" t="n"/>
      <c r="B498" s="12" t="n"/>
      <c r="C498" s="11" t="n"/>
      <c r="D498" s="249" t="n"/>
      <c r="E498" s="249" t="n"/>
      <c r="F498" s="249" t="n"/>
      <c r="G498" s="249" t="n"/>
      <c r="H498" s="249" t="n"/>
    </row>
    <row r="499" ht="14" customHeight="1" s="250">
      <c r="A499" s="11" t="n"/>
      <c r="B499" s="12" t="n"/>
      <c r="C499" s="11" t="n"/>
      <c r="D499" s="249" t="n"/>
      <c r="E499" s="249" t="n"/>
      <c r="F499" s="249" t="n"/>
      <c r="G499" s="249" t="n"/>
      <c r="H499" s="249" t="n"/>
    </row>
    <row r="500">
      <c r="A500" t="inlineStr">
        <is>
          <t>mm_yes</t>
        </is>
      </c>
      <c r="B500" t="inlineStr">
        <is>
          <t>yes</t>
        </is>
      </c>
      <c r="C500" t="inlineStr">
        <is>
          <t>Yes</t>
        </is>
      </c>
    </row>
  </sheetData>
  <conditionalFormatting sqref="A1">
    <cfRule type="expression" priority="2" dxfId="13">
      <formula>OR($A1="begin group", $A1="begin_group", $A1="end group", $A1="end_group")</formula>
    </cfRule>
    <cfRule type="expression" priority="3" dxfId="11">
      <formula>OR($A1="begin repeat", $A1="begin_repeat", $A1="end repeat", $A1="end_repeat")</formula>
    </cfRule>
  </conditionalFormatting>
  <conditionalFormatting sqref="A2:H499">
    <cfRule type="notContainsBlanks" priority="4" dxfId="11">
      <formula>LEN(TRIM(A2))&gt;0</formula>
    </cfRule>
  </conditionalFormatting>
  <conditionalFormatting sqref="A2:X499">
    <cfRule type="expression" priority="1" dxfId="10">
      <formula>MOD(ROW(),2)=0</formula>
    </cfRule>
  </conditionalFormatting>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tabColor rgb="FF009ECC"/>
    <outlinePr summaryBelow="0" summaryRight="0"/>
    <pageSetUpPr/>
  </sheetPr>
  <dimension ref="A1:M499"/>
  <sheetViews>
    <sheetView zoomScale="130" zoomScaleNormal="130" workbookViewId="0">
      <pane ySplit="1" topLeftCell="A2" activePane="bottomLeft" state="frozen"/>
      <selection pane="bottomLeft" activeCell="A2" sqref="A2"/>
    </sheetView>
  </sheetViews>
  <sheetFormatPr baseColWidth="10" defaultColWidth="12.6640625" defaultRowHeight="15.75" customHeight="1"/>
  <cols>
    <col width="25.5" customWidth="1" style="250" min="1" max="1"/>
    <col width="20.1640625" customWidth="1" style="250" min="2" max="2"/>
    <col width="14" customWidth="1" style="250" min="3" max="3"/>
    <col width="32.6640625" customWidth="1" style="250" min="4" max="4"/>
    <col width="14.6640625" customWidth="1" style="250" min="5" max="5"/>
  </cols>
  <sheetData>
    <row r="1" ht="25.5" customHeight="1" s="250">
      <c r="A1" s="8" t="inlineStr">
        <is>
          <t>form_title</t>
        </is>
      </c>
      <c r="B1" s="8" t="inlineStr">
        <is>
          <t>form_id</t>
        </is>
      </c>
      <c r="C1" s="8" t="inlineStr">
        <is>
          <t>version</t>
        </is>
      </c>
      <c r="D1" s="8" t="inlineStr">
        <is>
          <t>instance_name</t>
        </is>
      </c>
      <c r="E1" s="8" t="inlineStr">
        <is>
          <t>default_language</t>
        </is>
      </c>
      <c r="F1" s="8" t="inlineStr">
        <is>
          <t>style</t>
        </is>
      </c>
      <c r="G1" s="10" t="n"/>
      <c r="H1" s="10" t="n"/>
      <c r="I1" s="10" t="n"/>
      <c r="J1" s="10" t="n"/>
      <c r="K1" s="10" t="n"/>
      <c r="L1" s="10" t="n"/>
      <c r="M1" s="10" t="n"/>
    </row>
    <row r="2" ht="13" customHeight="1" s="250">
      <c r="A2" s="249" t="n"/>
      <c r="B2" s="249" t="n"/>
      <c r="C2" s="249">
        <f>TEXT(NOW(), "yyyymmddhhmmss")</f>
        <v/>
      </c>
      <c r="D2" s="249" t="n"/>
      <c r="E2" s="249" t="n"/>
      <c r="F2" s="249" t="n"/>
      <c r="G2" s="249" t="n"/>
      <c r="H2" s="249" t="n"/>
      <c r="I2" s="249" t="n"/>
      <c r="J2" s="249" t="n"/>
      <c r="K2" s="249" t="n"/>
      <c r="L2" s="249" t="n"/>
      <c r="M2" s="249" t="n"/>
    </row>
    <row r="3" ht="13" customHeight="1" s="250">
      <c r="A3" s="249" t="n"/>
      <c r="B3" s="249" t="n"/>
      <c r="C3" s="249" t="n"/>
      <c r="D3" s="249" t="n"/>
      <c r="E3" s="249" t="n"/>
      <c r="F3" s="249" t="n"/>
      <c r="G3" s="249" t="n"/>
      <c r="H3" s="249" t="n"/>
      <c r="I3" s="249" t="n"/>
      <c r="J3" s="249" t="n"/>
      <c r="K3" s="249" t="n"/>
      <c r="L3" s="249" t="n"/>
      <c r="M3" s="249" t="n"/>
    </row>
    <row r="4" ht="13" customHeight="1" s="250">
      <c r="A4" s="249" t="n"/>
      <c r="B4" s="249" t="n"/>
      <c r="C4" s="249" t="n"/>
      <c r="D4" s="249" t="n"/>
      <c r="E4" s="249" t="n"/>
      <c r="F4" s="249" t="n"/>
      <c r="G4" s="249" t="n"/>
      <c r="H4" s="249" t="n"/>
      <c r="I4" s="249" t="n"/>
      <c r="J4" s="249" t="n"/>
      <c r="K4" s="249" t="n"/>
      <c r="L4" s="249" t="n"/>
      <c r="M4" s="249" t="n"/>
    </row>
    <row r="5" ht="13" customHeight="1" s="250">
      <c r="A5" s="249" t="n"/>
      <c r="B5" s="249" t="n"/>
      <c r="C5" s="249" t="n"/>
      <c r="D5" s="249" t="n"/>
      <c r="E5" s="249" t="n"/>
      <c r="F5" s="249" t="n"/>
      <c r="G5" s="249" t="n"/>
      <c r="H5" s="249" t="n"/>
      <c r="I5" s="249" t="n"/>
      <c r="J5" s="249" t="n"/>
      <c r="K5" s="249" t="n"/>
      <c r="L5" s="249" t="n"/>
      <c r="M5" s="249" t="n"/>
    </row>
    <row r="6" ht="13" customHeight="1" s="250">
      <c r="A6" s="249" t="n"/>
      <c r="B6" s="249" t="n"/>
      <c r="C6" s="249" t="n"/>
      <c r="D6" s="249" t="n"/>
      <c r="E6" s="249" t="n"/>
      <c r="F6" s="249" t="n"/>
      <c r="G6" s="249" t="n"/>
      <c r="H6" s="249" t="n"/>
      <c r="I6" s="249" t="n"/>
      <c r="J6" s="249" t="n"/>
      <c r="K6" s="249" t="n"/>
      <c r="L6" s="249" t="n"/>
      <c r="M6" s="249" t="n"/>
    </row>
    <row r="7" ht="13" customHeight="1" s="250">
      <c r="A7" s="249" t="n"/>
      <c r="B7" s="249" t="n"/>
      <c r="C7" s="249" t="n"/>
      <c r="D7" s="249" t="n"/>
      <c r="E7" s="249" t="n"/>
      <c r="F7" s="249" t="n"/>
      <c r="G7" s="249" t="n"/>
      <c r="H7" s="249" t="n"/>
      <c r="I7" s="249" t="n"/>
      <c r="J7" s="249" t="n"/>
      <c r="K7" s="249" t="n"/>
      <c r="L7" s="249" t="n"/>
      <c r="M7" s="249" t="n"/>
    </row>
    <row r="8" ht="13" customHeight="1" s="250">
      <c r="A8" s="249" t="n"/>
      <c r="B8" s="249" t="n"/>
      <c r="C8" s="249" t="n"/>
      <c r="D8" s="249" t="n"/>
      <c r="E8" s="249" t="n"/>
      <c r="F8" s="249" t="n"/>
      <c r="G8" s="249" t="n"/>
      <c r="H8" s="249" t="n"/>
      <c r="I8" s="249" t="n"/>
      <c r="J8" s="249" t="n"/>
      <c r="K8" s="249" t="n"/>
      <c r="L8" s="249" t="n"/>
      <c r="M8" s="249" t="n"/>
    </row>
    <row r="9" ht="13" customHeight="1" s="250">
      <c r="A9" s="249" t="n"/>
      <c r="B9" s="249" t="n"/>
      <c r="C9" s="249" t="n"/>
      <c r="D9" s="249" t="n"/>
      <c r="E9" s="249" t="n"/>
      <c r="F9" s="249" t="n"/>
      <c r="G9" s="249" t="n"/>
      <c r="H9" s="249" t="n"/>
      <c r="I9" s="249" t="n"/>
      <c r="J9" s="249" t="n"/>
      <c r="K9" s="249" t="n"/>
      <c r="L9" s="249" t="n"/>
      <c r="M9" s="249" t="n"/>
    </row>
    <row r="10" ht="13" customHeight="1" s="250">
      <c r="A10" s="249" t="n"/>
      <c r="B10" s="249" t="n"/>
      <c r="C10" s="249" t="n"/>
      <c r="D10" s="249" t="n"/>
      <c r="E10" s="249" t="n"/>
      <c r="F10" s="249" t="n"/>
      <c r="G10" s="249" t="n"/>
      <c r="H10" s="249" t="n"/>
      <c r="I10" s="249" t="n"/>
      <c r="J10" s="249" t="n"/>
      <c r="K10" s="249" t="n"/>
      <c r="L10" s="249" t="n"/>
      <c r="M10" s="249" t="n"/>
    </row>
    <row r="11" ht="13" customHeight="1" s="250">
      <c r="A11" s="249" t="n"/>
      <c r="B11" s="249" t="n"/>
      <c r="C11" s="249" t="n"/>
      <c r="D11" s="249" t="n"/>
      <c r="E11" s="249" t="n"/>
      <c r="F11" s="249" t="n"/>
      <c r="G11" s="249" t="n"/>
      <c r="H11" s="249" t="n"/>
      <c r="I11" s="249" t="n"/>
      <c r="J11" s="249" t="n"/>
      <c r="K11" s="249" t="n"/>
      <c r="L11" s="249" t="n"/>
      <c r="M11" s="249" t="n"/>
    </row>
    <row r="12" ht="13" customHeight="1" s="250">
      <c r="A12" s="249" t="n"/>
      <c r="B12" s="249" t="n"/>
      <c r="C12" s="249" t="n"/>
      <c r="D12" s="249" t="n"/>
      <c r="E12" s="249" t="n"/>
      <c r="F12" s="249" t="n"/>
      <c r="G12" s="249" t="n"/>
      <c r="H12" s="249" t="n"/>
      <c r="I12" s="249" t="n"/>
      <c r="J12" s="249" t="n"/>
      <c r="K12" s="249" t="n"/>
      <c r="L12" s="249" t="n"/>
      <c r="M12" s="249" t="n"/>
    </row>
    <row r="13" ht="13" customHeight="1" s="250">
      <c r="A13" s="249" t="n"/>
      <c r="B13" s="249" t="n"/>
      <c r="C13" s="249" t="n"/>
      <c r="D13" s="249" t="n"/>
      <c r="E13" s="249" t="n"/>
      <c r="F13" s="249" t="n"/>
      <c r="G13" s="249" t="n"/>
      <c r="H13" s="249" t="n"/>
      <c r="I13" s="249" t="n"/>
      <c r="J13" s="249" t="n"/>
      <c r="K13" s="249" t="n"/>
      <c r="L13" s="249" t="n"/>
      <c r="M13" s="249" t="n"/>
    </row>
    <row r="14" ht="13" customHeight="1" s="250">
      <c r="A14" s="249" t="n"/>
      <c r="B14" s="249" t="n"/>
      <c r="C14" s="249" t="n"/>
      <c r="D14" s="249" t="n"/>
      <c r="E14" s="249" t="n"/>
      <c r="F14" s="249" t="n"/>
      <c r="G14" s="249" t="n"/>
      <c r="H14" s="249" t="n"/>
      <c r="I14" s="249" t="n"/>
      <c r="J14" s="249" t="n"/>
      <c r="K14" s="249" t="n"/>
      <c r="L14" s="249" t="n"/>
      <c r="M14" s="249" t="n"/>
    </row>
    <row r="15" ht="13" customHeight="1" s="250">
      <c r="A15" s="249" t="n"/>
      <c r="B15" s="249" t="n"/>
      <c r="C15" s="249" t="n"/>
      <c r="D15" s="249" t="n"/>
      <c r="E15" s="249" t="n"/>
      <c r="F15" s="249" t="n"/>
      <c r="G15" s="249" t="n"/>
      <c r="H15" s="249" t="n"/>
      <c r="I15" s="249" t="n"/>
      <c r="J15" s="249" t="n"/>
      <c r="K15" s="249" t="n"/>
      <c r="L15" s="249" t="n"/>
      <c r="M15" s="249" t="n"/>
    </row>
    <row r="16" ht="13" customHeight="1" s="250">
      <c r="A16" s="249" t="n"/>
      <c r="B16" s="249" t="n"/>
      <c r="C16" s="249" t="n"/>
      <c r="D16" s="249" t="n"/>
      <c r="E16" s="249" t="n"/>
      <c r="F16" s="249" t="n"/>
      <c r="G16" s="249" t="n"/>
      <c r="H16" s="249" t="n"/>
      <c r="I16" s="249" t="n"/>
      <c r="J16" s="249" t="n"/>
      <c r="K16" s="249" t="n"/>
      <c r="L16" s="249" t="n"/>
      <c r="M16" s="249" t="n"/>
    </row>
    <row r="17" ht="13" customHeight="1" s="250">
      <c r="A17" s="249" t="n"/>
      <c r="B17" s="249" t="n"/>
      <c r="C17" s="249" t="n"/>
      <c r="D17" s="249" t="n"/>
      <c r="E17" s="249" t="n"/>
      <c r="F17" s="249" t="n"/>
      <c r="G17" s="249" t="n"/>
      <c r="H17" s="249" t="n"/>
      <c r="I17" s="249" t="n"/>
      <c r="J17" s="249" t="n"/>
      <c r="K17" s="249" t="n"/>
      <c r="L17" s="249" t="n"/>
      <c r="M17" s="249" t="n"/>
    </row>
    <row r="18" ht="13" customHeight="1" s="250">
      <c r="A18" s="249" t="n"/>
      <c r="B18" s="249" t="n"/>
      <c r="C18" s="249" t="n"/>
      <c r="D18" s="249" t="n"/>
      <c r="E18" s="249" t="n"/>
      <c r="F18" s="249" t="n"/>
      <c r="G18" s="249" t="n"/>
      <c r="H18" s="249" t="n"/>
      <c r="I18" s="249" t="n"/>
      <c r="J18" s="249" t="n"/>
      <c r="K18" s="249" t="n"/>
      <c r="L18" s="249" t="n"/>
      <c r="M18" s="249" t="n"/>
    </row>
    <row r="19" ht="13" customHeight="1" s="250">
      <c r="A19" s="249" t="n"/>
      <c r="B19" s="249" t="n"/>
      <c r="C19" s="249" t="n"/>
      <c r="D19" s="249" t="n"/>
      <c r="E19" s="249" t="n"/>
      <c r="F19" s="249" t="n"/>
      <c r="G19" s="249" t="n"/>
      <c r="H19" s="249" t="n"/>
      <c r="I19" s="249" t="n"/>
      <c r="J19" s="249" t="n"/>
      <c r="K19" s="249" t="n"/>
      <c r="L19" s="249" t="n"/>
      <c r="M19" s="249" t="n"/>
    </row>
    <row r="20" ht="13" customHeight="1" s="250">
      <c r="A20" s="249" t="n"/>
      <c r="B20" s="249" t="n"/>
      <c r="C20" s="249" t="n"/>
      <c r="D20" s="249" t="n"/>
      <c r="E20" s="249" t="n"/>
      <c r="F20" s="249" t="n"/>
      <c r="G20" s="249" t="n"/>
      <c r="H20" s="249" t="n"/>
      <c r="I20" s="249" t="n"/>
      <c r="J20" s="249" t="n"/>
      <c r="K20" s="249" t="n"/>
      <c r="L20" s="249" t="n"/>
      <c r="M20" s="249" t="n"/>
    </row>
    <row r="21" ht="13" customHeight="1" s="250">
      <c r="A21" s="249" t="n"/>
      <c r="B21" s="249" t="n"/>
      <c r="C21" s="249" t="n"/>
      <c r="D21" s="249" t="n"/>
      <c r="E21" s="249" t="n"/>
      <c r="F21" s="249" t="n"/>
      <c r="G21" s="249" t="n"/>
      <c r="H21" s="249" t="n"/>
      <c r="I21" s="249" t="n"/>
      <c r="J21" s="249" t="n"/>
      <c r="K21" s="249" t="n"/>
      <c r="L21" s="249" t="n"/>
      <c r="M21" s="249" t="n"/>
    </row>
    <row r="22" ht="13" customHeight="1" s="250">
      <c r="A22" s="249" t="n"/>
      <c r="B22" s="249" t="n"/>
      <c r="C22" s="249" t="n"/>
      <c r="D22" s="249" t="n"/>
      <c r="E22" s="249" t="n"/>
      <c r="F22" s="249" t="n"/>
      <c r="G22" s="249" t="n"/>
      <c r="H22" s="249" t="n"/>
      <c r="I22" s="249" t="n"/>
      <c r="J22" s="249" t="n"/>
      <c r="K22" s="249" t="n"/>
      <c r="L22" s="249" t="n"/>
      <c r="M22" s="249" t="n"/>
    </row>
    <row r="23" ht="13" customHeight="1" s="250">
      <c r="A23" s="249" t="n"/>
      <c r="B23" s="249" t="n"/>
      <c r="C23" s="249" t="n"/>
      <c r="D23" s="249" t="n"/>
      <c r="E23" s="249" t="n"/>
      <c r="F23" s="249" t="n"/>
      <c r="G23" s="249" t="n"/>
      <c r="H23" s="249" t="n"/>
      <c r="I23" s="249" t="n"/>
      <c r="J23" s="249" t="n"/>
      <c r="K23" s="249" t="n"/>
      <c r="L23" s="249" t="n"/>
      <c r="M23" s="249" t="n"/>
    </row>
    <row r="24" ht="13" customHeight="1" s="250">
      <c r="A24" s="249" t="n"/>
      <c r="B24" s="249" t="n"/>
      <c r="C24" s="249" t="n"/>
      <c r="D24" s="249" t="n"/>
      <c r="E24" s="249" t="n"/>
      <c r="F24" s="249" t="n"/>
      <c r="G24" s="249" t="n"/>
      <c r="H24" s="249" t="n"/>
      <c r="I24" s="249" t="n"/>
      <c r="J24" s="249" t="n"/>
      <c r="K24" s="249" t="n"/>
      <c r="L24" s="249" t="n"/>
      <c r="M24" s="249" t="n"/>
    </row>
    <row r="25" ht="13" customHeight="1" s="250">
      <c r="A25" s="249" t="n"/>
      <c r="B25" s="249" t="n"/>
      <c r="C25" s="249" t="n"/>
      <c r="D25" s="249" t="n"/>
      <c r="E25" s="249" t="n"/>
      <c r="F25" s="249" t="n"/>
      <c r="G25" s="249" t="n"/>
      <c r="H25" s="249" t="n"/>
      <c r="I25" s="249" t="n"/>
      <c r="J25" s="249" t="n"/>
      <c r="K25" s="249" t="n"/>
      <c r="L25" s="249" t="n"/>
      <c r="M25" s="249" t="n"/>
    </row>
    <row r="26" ht="13" customHeight="1" s="250">
      <c r="A26" s="249" t="n"/>
      <c r="B26" s="249" t="n"/>
      <c r="C26" s="249" t="n"/>
      <c r="D26" s="249" t="n"/>
      <c r="E26" s="249" t="n"/>
      <c r="F26" s="249" t="n"/>
      <c r="G26" s="249" t="n"/>
      <c r="H26" s="249" t="n"/>
      <c r="I26" s="249" t="n"/>
      <c r="J26" s="249" t="n"/>
      <c r="K26" s="249" t="n"/>
      <c r="L26" s="249" t="n"/>
      <c r="M26" s="249" t="n"/>
    </row>
    <row r="27" ht="13" customHeight="1" s="250">
      <c r="A27" s="249" t="n"/>
      <c r="B27" s="249" t="n"/>
      <c r="C27" s="249" t="n"/>
      <c r="D27" s="249" t="n"/>
      <c r="E27" s="249" t="n"/>
      <c r="F27" s="249" t="n"/>
      <c r="G27" s="249" t="n"/>
      <c r="H27" s="249" t="n"/>
      <c r="I27" s="249" t="n"/>
      <c r="J27" s="249" t="n"/>
      <c r="K27" s="249" t="n"/>
      <c r="L27" s="249" t="n"/>
      <c r="M27" s="249" t="n"/>
    </row>
    <row r="28" ht="13" customHeight="1" s="250">
      <c r="A28" s="249" t="n"/>
      <c r="B28" s="249" t="n"/>
      <c r="C28" s="249" t="n"/>
      <c r="D28" s="249" t="n"/>
      <c r="E28" s="249" t="n"/>
      <c r="F28" s="249" t="n"/>
      <c r="G28" s="249" t="n"/>
      <c r="H28" s="249" t="n"/>
      <c r="I28" s="249" t="n"/>
      <c r="J28" s="249" t="n"/>
      <c r="K28" s="249" t="n"/>
      <c r="L28" s="249" t="n"/>
      <c r="M28" s="249" t="n"/>
    </row>
    <row r="29" ht="13" customHeight="1" s="250">
      <c r="A29" s="249" t="n"/>
      <c r="B29" s="249" t="n"/>
      <c r="C29" s="249" t="n"/>
      <c r="D29" s="249" t="n"/>
      <c r="E29" s="249" t="n"/>
      <c r="F29" s="249" t="n"/>
      <c r="G29" s="249" t="n"/>
      <c r="H29" s="249" t="n"/>
      <c r="I29" s="249" t="n"/>
      <c r="J29" s="249" t="n"/>
      <c r="K29" s="249" t="n"/>
      <c r="L29" s="249" t="n"/>
      <c r="M29" s="249" t="n"/>
    </row>
    <row r="30" ht="13" customHeight="1" s="250">
      <c r="A30" s="249" t="n"/>
      <c r="B30" s="249" t="n"/>
      <c r="C30" s="249" t="n"/>
      <c r="D30" s="249" t="n"/>
      <c r="E30" s="249" t="n"/>
      <c r="F30" s="249" t="n"/>
      <c r="G30" s="249" t="n"/>
      <c r="H30" s="249" t="n"/>
      <c r="I30" s="249" t="n"/>
      <c r="J30" s="249" t="n"/>
      <c r="K30" s="249" t="n"/>
      <c r="L30" s="249" t="n"/>
      <c r="M30" s="249" t="n"/>
    </row>
    <row r="31" ht="13" customHeight="1" s="250">
      <c r="A31" s="249" t="n"/>
      <c r="B31" s="249" t="n"/>
      <c r="C31" s="249" t="n"/>
      <c r="D31" s="249" t="n"/>
      <c r="E31" s="249" t="n"/>
      <c r="F31" s="249" t="n"/>
      <c r="G31" s="249" t="n"/>
      <c r="H31" s="249" t="n"/>
      <c r="I31" s="249" t="n"/>
      <c r="J31" s="249" t="n"/>
      <c r="K31" s="249" t="n"/>
      <c r="L31" s="249" t="n"/>
      <c r="M31" s="249" t="n"/>
    </row>
    <row r="32" ht="13" customHeight="1" s="250">
      <c r="A32" s="249" t="n"/>
      <c r="B32" s="249" t="n"/>
      <c r="C32" s="249" t="n"/>
      <c r="D32" s="249" t="n"/>
      <c r="E32" s="249" t="n"/>
      <c r="F32" s="249" t="n"/>
      <c r="G32" s="249" t="n"/>
      <c r="H32" s="249" t="n"/>
      <c r="I32" s="249" t="n"/>
      <c r="J32" s="249" t="n"/>
      <c r="K32" s="249" t="n"/>
      <c r="L32" s="249" t="n"/>
      <c r="M32" s="249" t="n"/>
    </row>
    <row r="33" ht="13" customHeight="1" s="250">
      <c r="A33" s="249" t="n"/>
      <c r="B33" s="249" t="n"/>
      <c r="C33" s="249" t="n"/>
      <c r="D33" s="249" t="n"/>
      <c r="E33" s="249" t="n"/>
      <c r="F33" s="249" t="n"/>
      <c r="G33" s="249" t="n"/>
      <c r="H33" s="249" t="n"/>
      <c r="I33" s="249" t="n"/>
      <c r="J33" s="249" t="n"/>
      <c r="K33" s="249" t="n"/>
      <c r="L33" s="249" t="n"/>
      <c r="M33" s="249" t="n"/>
    </row>
    <row r="34" ht="13" customHeight="1" s="250">
      <c r="A34" s="249" t="n"/>
      <c r="B34" s="249" t="n"/>
      <c r="C34" s="249" t="n"/>
      <c r="D34" s="249" t="n"/>
      <c r="E34" s="249" t="n"/>
      <c r="F34" s="249" t="n"/>
      <c r="G34" s="249" t="n"/>
      <c r="H34" s="249" t="n"/>
      <c r="I34" s="249" t="n"/>
      <c r="J34" s="249" t="n"/>
      <c r="K34" s="249" t="n"/>
      <c r="L34" s="249" t="n"/>
      <c r="M34" s="249" t="n"/>
    </row>
    <row r="35" ht="13" customHeight="1" s="250">
      <c r="A35" s="249" t="n"/>
      <c r="B35" s="249" t="n"/>
      <c r="C35" s="249" t="n"/>
      <c r="D35" s="249" t="n"/>
      <c r="E35" s="249" t="n"/>
      <c r="F35" s="249" t="n"/>
      <c r="G35" s="249" t="n"/>
      <c r="H35" s="249" t="n"/>
      <c r="I35" s="249" t="n"/>
      <c r="J35" s="249" t="n"/>
      <c r="K35" s="249" t="n"/>
      <c r="L35" s="249" t="n"/>
      <c r="M35" s="249" t="n"/>
    </row>
    <row r="36" ht="13" customHeight="1" s="250">
      <c r="A36" s="249" t="n"/>
      <c r="B36" s="249" t="n"/>
      <c r="C36" s="249" t="n"/>
      <c r="D36" s="249" t="n"/>
      <c r="E36" s="249" t="n"/>
      <c r="F36" s="249" t="n"/>
      <c r="G36" s="249" t="n"/>
      <c r="H36" s="249" t="n"/>
      <c r="I36" s="249" t="n"/>
      <c r="J36" s="249" t="n"/>
      <c r="K36" s="249" t="n"/>
      <c r="L36" s="249" t="n"/>
      <c r="M36" s="249" t="n"/>
    </row>
    <row r="37" ht="13" customHeight="1" s="250">
      <c r="A37" s="249" t="n"/>
      <c r="B37" s="249" t="n"/>
      <c r="C37" s="249" t="n"/>
      <c r="D37" s="249" t="n"/>
      <c r="E37" s="249" t="n"/>
      <c r="F37" s="249" t="n"/>
      <c r="G37" s="249" t="n"/>
      <c r="H37" s="249" t="n"/>
      <c r="I37" s="249" t="n"/>
      <c r="J37" s="249" t="n"/>
      <c r="K37" s="249" t="n"/>
      <c r="L37" s="249" t="n"/>
      <c r="M37" s="249" t="n"/>
    </row>
    <row r="38" ht="13" customHeight="1" s="250">
      <c r="A38" s="249" t="n"/>
      <c r="B38" s="249" t="n"/>
      <c r="C38" s="249" t="n"/>
      <c r="D38" s="249" t="n"/>
      <c r="E38" s="249" t="n"/>
      <c r="F38" s="249" t="n"/>
      <c r="G38" s="249" t="n"/>
      <c r="H38" s="249" t="n"/>
      <c r="I38" s="249" t="n"/>
      <c r="J38" s="249" t="n"/>
      <c r="K38" s="249" t="n"/>
      <c r="L38" s="249" t="n"/>
      <c r="M38" s="249" t="n"/>
    </row>
    <row r="39" ht="13" customHeight="1" s="250">
      <c r="A39" s="249" t="n"/>
      <c r="B39" s="249" t="n"/>
      <c r="C39" s="249" t="n"/>
      <c r="D39" s="249" t="n"/>
      <c r="E39" s="249" t="n"/>
      <c r="F39" s="249" t="n"/>
      <c r="G39" s="249" t="n"/>
      <c r="H39" s="249" t="n"/>
      <c r="I39" s="249" t="n"/>
      <c r="J39" s="249" t="n"/>
      <c r="K39" s="249" t="n"/>
      <c r="L39" s="249" t="n"/>
      <c r="M39" s="249" t="n"/>
    </row>
    <row r="40" ht="13" customHeight="1" s="250">
      <c r="A40" s="249" t="n"/>
      <c r="B40" s="249" t="n"/>
      <c r="C40" s="249" t="n"/>
      <c r="D40" s="249" t="n"/>
      <c r="E40" s="249" t="n"/>
      <c r="F40" s="249" t="n"/>
      <c r="G40" s="249" t="n"/>
      <c r="H40" s="249" t="n"/>
      <c r="I40" s="249" t="n"/>
      <c r="J40" s="249" t="n"/>
      <c r="K40" s="249" t="n"/>
      <c r="L40" s="249" t="n"/>
      <c r="M40" s="249" t="n"/>
    </row>
    <row r="41" ht="13" customHeight="1" s="250">
      <c r="A41" s="249" t="n"/>
      <c r="B41" s="249" t="n"/>
      <c r="C41" s="249" t="n"/>
      <c r="D41" s="249" t="n"/>
      <c r="E41" s="249" t="n"/>
      <c r="F41" s="249" t="n"/>
      <c r="G41" s="249" t="n"/>
      <c r="H41" s="249" t="n"/>
      <c r="I41" s="249" t="n"/>
      <c r="J41" s="249" t="n"/>
      <c r="K41" s="249" t="n"/>
      <c r="L41" s="249" t="n"/>
      <c r="M41" s="249" t="n"/>
    </row>
    <row r="42" ht="13" customHeight="1" s="250">
      <c r="A42" s="249" t="n"/>
      <c r="B42" s="249" t="n"/>
      <c r="C42" s="249" t="n"/>
      <c r="D42" s="249" t="n"/>
      <c r="E42" s="249" t="n"/>
      <c r="F42" s="249" t="n"/>
      <c r="G42" s="249" t="n"/>
      <c r="H42" s="249" t="n"/>
      <c r="I42" s="249" t="n"/>
      <c r="J42" s="249" t="n"/>
      <c r="K42" s="249" t="n"/>
      <c r="L42" s="249" t="n"/>
      <c r="M42" s="249" t="n"/>
    </row>
    <row r="43" ht="13" customHeight="1" s="250">
      <c r="A43" s="249" t="n"/>
      <c r="B43" s="249" t="n"/>
      <c r="C43" s="249" t="n"/>
      <c r="D43" s="249" t="n"/>
      <c r="E43" s="249" t="n"/>
      <c r="F43" s="249" t="n"/>
      <c r="G43" s="249" t="n"/>
      <c r="H43" s="249" t="n"/>
      <c r="I43" s="249" t="n"/>
      <c r="J43" s="249" t="n"/>
      <c r="K43" s="249" t="n"/>
      <c r="L43" s="249" t="n"/>
      <c r="M43" s="249" t="n"/>
    </row>
    <row r="44" ht="13" customHeight="1" s="250">
      <c r="A44" s="249" t="n"/>
      <c r="B44" s="249" t="n"/>
      <c r="C44" s="249" t="n"/>
      <c r="D44" s="249" t="n"/>
      <c r="E44" s="249" t="n"/>
      <c r="F44" s="249" t="n"/>
      <c r="G44" s="249" t="n"/>
      <c r="H44" s="249" t="n"/>
      <c r="I44" s="249" t="n"/>
      <c r="J44" s="249" t="n"/>
      <c r="K44" s="249" t="n"/>
      <c r="L44" s="249" t="n"/>
      <c r="M44" s="249" t="n"/>
    </row>
    <row r="45" ht="13" customHeight="1" s="250">
      <c r="A45" s="249" t="n"/>
      <c r="B45" s="249" t="n"/>
      <c r="C45" s="249" t="n"/>
      <c r="D45" s="249" t="n"/>
      <c r="E45" s="249" t="n"/>
      <c r="F45" s="249" t="n"/>
      <c r="G45" s="249" t="n"/>
      <c r="H45" s="249" t="n"/>
      <c r="I45" s="249" t="n"/>
      <c r="J45" s="249" t="n"/>
      <c r="K45" s="249" t="n"/>
      <c r="L45" s="249" t="n"/>
      <c r="M45" s="249" t="n"/>
    </row>
    <row r="46" ht="13" customHeight="1" s="250">
      <c r="A46" s="249" t="n"/>
      <c r="B46" s="249" t="n"/>
      <c r="C46" s="249" t="n"/>
      <c r="D46" s="249" t="n"/>
      <c r="E46" s="249" t="n"/>
      <c r="F46" s="249" t="n"/>
      <c r="G46" s="249" t="n"/>
      <c r="H46" s="249" t="n"/>
      <c r="I46" s="249" t="n"/>
      <c r="J46" s="249" t="n"/>
      <c r="K46" s="249" t="n"/>
      <c r="L46" s="249" t="n"/>
      <c r="M46" s="249" t="n"/>
    </row>
    <row r="47" ht="13" customHeight="1" s="250">
      <c r="A47" s="249" t="n"/>
      <c r="B47" s="249" t="n"/>
      <c r="C47" s="249" t="n"/>
      <c r="D47" s="249" t="n"/>
      <c r="E47" s="249" t="n"/>
      <c r="F47" s="249" t="n"/>
      <c r="G47" s="249" t="n"/>
      <c r="H47" s="249" t="n"/>
      <c r="I47" s="249" t="n"/>
      <c r="J47" s="249" t="n"/>
      <c r="K47" s="249" t="n"/>
      <c r="L47" s="249" t="n"/>
      <c r="M47" s="249" t="n"/>
    </row>
    <row r="48" ht="13" customHeight="1" s="250">
      <c r="A48" s="249" t="n"/>
      <c r="B48" s="249" t="n"/>
      <c r="C48" s="249" t="n"/>
      <c r="D48" s="249" t="n"/>
      <c r="E48" s="249" t="n"/>
      <c r="F48" s="249" t="n"/>
      <c r="G48" s="249" t="n"/>
      <c r="H48" s="249" t="n"/>
      <c r="I48" s="249" t="n"/>
      <c r="J48" s="249" t="n"/>
      <c r="K48" s="249" t="n"/>
      <c r="L48" s="249" t="n"/>
      <c r="M48" s="249" t="n"/>
    </row>
    <row r="49" ht="13" customHeight="1" s="250">
      <c r="A49" s="249" t="n"/>
      <c r="B49" s="249" t="n"/>
      <c r="C49" s="249" t="n"/>
      <c r="D49" s="249" t="n"/>
      <c r="E49" s="249" t="n"/>
      <c r="F49" s="249" t="n"/>
      <c r="G49" s="249" t="n"/>
      <c r="H49" s="249" t="n"/>
      <c r="I49" s="249" t="n"/>
      <c r="J49" s="249" t="n"/>
      <c r="K49" s="249" t="n"/>
      <c r="L49" s="249" t="n"/>
      <c r="M49" s="249" t="n"/>
    </row>
    <row r="50" ht="13" customHeight="1" s="250">
      <c r="A50" s="249" t="n"/>
      <c r="B50" s="249" t="n"/>
      <c r="C50" s="249" t="n"/>
      <c r="D50" s="249" t="n"/>
      <c r="E50" s="249" t="n"/>
      <c r="F50" s="249" t="n"/>
      <c r="G50" s="249" t="n"/>
      <c r="H50" s="249" t="n"/>
      <c r="I50" s="249" t="n"/>
      <c r="J50" s="249" t="n"/>
      <c r="K50" s="249" t="n"/>
      <c r="L50" s="249" t="n"/>
      <c r="M50" s="249" t="n"/>
    </row>
    <row r="51" ht="13" customHeight="1" s="250">
      <c r="A51" s="249" t="n"/>
      <c r="B51" s="249" t="n"/>
      <c r="C51" s="249" t="n"/>
      <c r="D51" s="249" t="n"/>
      <c r="E51" s="249" t="n"/>
      <c r="F51" s="249" t="n"/>
      <c r="G51" s="249" t="n"/>
      <c r="H51" s="249" t="n"/>
      <c r="I51" s="249" t="n"/>
      <c r="J51" s="249" t="n"/>
      <c r="K51" s="249" t="n"/>
      <c r="L51" s="249" t="n"/>
      <c r="M51" s="249" t="n"/>
    </row>
    <row r="52" ht="13" customHeight="1" s="250">
      <c r="A52" s="249" t="n"/>
      <c r="B52" s="249" t="n"/>
      <c r="C52" s="249" t="n"/>
      <c r="D52" s="249" t="n"/>
      <c r="E52" s="249" t="n"/>
      <c r="F52" s="249" t="n"/>
      <c r="G52" s="249" t="n"/>
      <c r="H52" s="249" t="n"/>
      <c r="I52" s="249" t="n"/>
      <c r="J52" s="249" t="n"/>
      <c r="K52" s="249" t="n"/>
      <c r="L52" s="249" t="n"/>
      <c r="M52" s="249" t="n"/>
    </row>
    <row r="53" ht="13" customHeight="1" s="250">
      <c r="A53" s="249" t="n"/>
      <c r="B53" s="249" t="n"/>
      <c r="C53" s="249" t="n"/>
      <c r="D53" s="249" t="n"/>
      <c r="E53" s="249" t="n"/>
      <c r="F53" s="249" t="n"/>
      <c r="G53" s="249" t="n"/>
      <c r="H53" s="249" t="n"/>
      <c r="I53" s="249" t="n"/>
      <c r="J53" s="249" t="n"/>
      <c r="K53" s="249" t="n"/>
      <c r="L53" s="249" t="n"/>
      <c r="M53" s="249" t="n"/>
    </row>
    <row r="54" ht="13" customHeight="1" s="250">
      <c r="A54" s="249" t="n"/>
      <c r="B54" s="249" t="n"/>
      <c r="C54" s="249" t="n"/>
      <c r="D54" s="249" t="n"/>
      <c r="E54" s="249" t="n"/>
      <c r="F54" s="249" t="n"/>
      <c r="G54" s="249" t="n"/>
      <c r="H54" s="249" t="n"/>
      <c r="I54" s="249" t="n"/>
      <c r="J54" s="249" t="n"/>
      <c r="K54" s="249" t="n"/>
      <c r="L54" s="249" t="n"/>
      <c r="M54" s="249" t="n"/>
    </row>
    <row r="55" ht="13" customHeight="1" s="250">
      <c r="A55" s="249" t="n"/>
      <c r="B55" s="249" t="n"/>
      <c r="C55" s="249" t="n"/>
      <c r="D55" s="249" t="n"/>
      <c r="E55" s="249" t="n"/>
      <c r="F55" s="249" t="n"/>
      <c r="G55" s="249" t="n"/>
      <c r="H55" s="249" t="n"/>
      <c r="I55" s="249" t="n"/>
      <c r="J55" s="249" t="n"/>
      <c r="K55" s="249" t="n"/>
      <c r="L55" s="249" t="n"/>
      <c r="M55" s="249" t="n"/>
    </row>
    <row r="56" ht="13" customHeight="1" s="250">
      <c r="A56" s="249" t="n"/>
      <c r="B56" s="249" t="n"/>
      <c r="C56" s="249" t="n"/>
      <c r="D56" s="249" t="n"/>
      <c r="E56" s="249" t="n"/>
      <c r="F56" s="249" t="n"/>
      <c r="G56" s="249" t="n"/>
      <c r="H56" s="249" t="n"/>
      <c r="I56" s="249" t="n"/>
      <c r="J56" s="249" t="n"/>
      <c r="K56" s="249" t="n"/>
      <c r="L56" s="249" t="n"/>
      <c r="M56" s="249" t="n"/>
    </row>
    <row r="57" ht="13" customHeight="1" s="250">
      <c r="A57" s="249" t="n"/>
      <c r="B57" s="249" t="n"/>
      <c r="C57" s="249" t="n"/>
      <c r="D57" s="249" t="n"/>
      <c r="E57" s="249" t="n"/>
      <c r="F57" s="249" t="n"/>
      <c r="G57" s="249" t="n"/>
      <c r="H57" s="249" t="n"/>
      <c r="I57" s="249" t="n"/>
      <c r="J57" s="249" t="n"/>
      <c r="K57" s="249" t="n"/>
      <c r="L57" s="249" t="n"/>
      <c r="M57" s="249" t="n"/>
    </row>
    <row r="58" ht="13" customHeight="1" s="250">
      <c r="A58" s="249" t="n"/>
      <c r="B58" s="249" t="n"/>
      <c r="C58" s="249" t="n"/>
      <c r="D58" s="249" t="n"/>
      <c r="E58" s="249" t="n"/>
      <c r="F58" s="249" t="n"/>
      <c r="G58" s="249" t="n"/>
      <c r="H58" s="249" t="n"/>
      <c r="I58" s="249" t="n"/>
      <c r="J58" s="249" t="n"/>
      <c r="K58" s="249" t="n"/>
      <c r="L58" s="249" t="n"/>
      <c r="M58" s="249" t="n"/>
    </row>
    <row r="59" ht="13" customHeight="1" s="250">
      <c r="A59" s="249" t="n"/>
      <c r="B59" s="249" t="n"/>
      <c r="C59" s="249" t="n"/>
      <c r="D59" s="249" t="n"/>
      <c r="E59" s="249" t="n"/>
      <c r="F59" s="249" t="n"/>
      <c r="G59" s="249" t="n"/>
      <c r="H59" s="249" t="n"/>
      <c r="I59" s="249" t="n"/>
      <c r="J59" s="249" t="n"/>
      <c r="K59" s="249" t="n"/>
      <c r="L59" s="249" t="n"/>
      <c r="M59" s="249" t="n"/>
    </row>
    <row r="60" ht="13" customHeight="1" s="250">
      <c r="A60" s="249" t="n"/>
      <c r="B60" s="249" t="n"/>
      <c r="C60" s="249" t="n"/>
      <c r="D60" s="249" t="n"/>
      <c r="E60" s="249" t="n"/>
      <c r="F60" s="249" t="n"/>
      <c r="G60" s="249" t="n"/>
      <c r="H60" s="249" t="n"/>
      <c r="I60" s="249" t="n"/>
      <c r="J60" s="249" t="n"/>
      <c r="K60" s="249" t="n"/>
      <c r="L60" s="249" t="n"/>
      <c r="M60" s="249" t="n"/>
    </row>
    <row r="61" ht="13" customHeight="1" s="250">
      <c r="A61" s="249" t="n"/>
      <c r="B61" s="249" t="n"/>
      <c r="C61" s="249" t="n"/>
      <c r="D61" s="249" t="n"/>
      <c r="E61" s="249" t="n"/>
      <c r="F61" s="249" t="n"/>
      <c r="G61" s="249" t="n"/>
      <c r="H61" s="249" t="n"/>
      <c r="I61" s="249" t="n"/>
      <c r="J61" s="249" t="n"/>
      <c r="K61" s="249" t="n"/>
      <c r="L61" s="249" t="n"/>
      <c r="M61" s="249" t="n"/>
    </row>
    <row r="62" ht="13" customHeight="1" s="250">
      <c r="A62" s="249" t="n"/>
      <c r="B62" s="249" t="n"/>
      <c r="C62" s="249" t="n"/>
      <c r="D62" s="249" t="n"/>
      <c r="E62" s="249" t="n"/>
      <c r="F62" s="249" t="n"/>
      <c r="G62" s="249" t="n"/>
      <c r="H62" s="249" t="n"/>
      <c r="I62" s="249" t="n"/>
      <c r="J62" s="249" t="n"/>
      <c r="K62" s="249" t="n"/>
      <c r="L62" s="249" t="n"/>
      <c r="M62" s="249" t="n"/>
    </row>
    <row r="63" ht="13" customHeight="1" s="250">
      <c r="A63" s="249" t="n"/>
      <c r="B63" s="249" t="n"/>
      <c r="C63" s="249" t="n"/>
      <c r="D63" s="249" t="n"/>
      <c r="E63" s="249" t="n"/>
      <c r="F63" s="249" t="n"/>
      <c r="G63" s="249" t="n"/>
      <c r="H63" s="249" t="n"/>
      <c r="I63" s="249" t="n"/>
      <c r="J63" s="249" t="n"/>
      <c r="K63" s="249" t="n"/>
      <c r="L63" s="249" t="n"/>
      <c r="M63" s="249" t="n"/>
    </row>
    <row r="64" ht="13" customHeight="1" s="250">
      <c r="A64" s="249" t="n"/>
      <c r="B64" s="249" t="n"/>
      <c r="C64" s="249" t="n"/>
      <c r="D64" s="249" t="n"/>
      <c r="E64" s="249" t="n"/>
      <c r="F64" s="249" t="n"/>
      <c r="G64" s="249" t="n"/>
      <c r="H64" s="249" t="n"/>
      <c r="I64" s="249" t="n"/>
      <c r="J64" s="249" t="n"/>
      <c r="K64" s="249" t="n"/>
      <c r="L64" s="249" t="n"/>
      <c r="M64" s="249" t="n"/>
    </row>
    <row r="65" ht="13" customHeight="1" s="250">
      <c r="A65" s="249" t="n"/>
      <c r="B65" s="249" t="n"/>
      <c r="C65" s="249" t="n"/>
      <c r="D65" s="249" t="n"/>
      <c r="E65" s="249" t="n"/>
      <c r="F65" s="249" t="n"/>
      <c r="G65" s="249" t="n"/>
      <c r="H65" s="249" t="n"/>
      <c r="I65" s="249" t="n"/>
      <c r="J65" s="249" t="n"/>
      <c r="K65" s="249" t="n"/>
      <c r="L65" s="249" t="n"/>
      <c r="M65" s="249" t="n"/>
    </row>
    <row r="66" ht="13" customHeight="1" s="250">
      <c r="A66" s="249" t="n"/>
      <c r="B66" s="249" t="n"/>
      <c r="C66" s="249" t="n"/>
      <c r="D66" s="249" t="n"/>
      <c r="E66" s="249" t="n"/>
      <c r="F66" s="249" t="n"/>
      <c r="G66" s="249" t="n"/>
      <c r="H66" s="249" t="n"/>
      <c r="I66" s="249" t="n"/>
      <c r="J66" s="249" t="n"/>
      <c r="K66" s="249" t="n"/>
      <c r="L66" s="249" t="n"/>
      <c r="M66" s="249" t="n"/>
    </row>
    <row r="67" ht="13" customHeight="1" s="250">
      <c r="A67" s="249" t="n"/>
      <c r="B67" s="249" t="n"/>
      <c r="C67" s="249" t="n"/>
      <c r="D67" s="249" t="n"/>
      <c r="E67" s="249" t="n"/>
      <c r="F67" s="249" t="n"/>
      <c r="G67" s="249" t="n"/>
      <c r="H67" s="249" t="n"/>
      <c r="I67" s="249" t="n"/>
      <c r="J67" s="249" t="n"/>
      <c r="K67" s="249" t="n"/>
      <c r="L67" s="249" t="n"/>
      <c r="M67" s="249" t="n"/>
    </row>
    <row r="68" ht="13" customHeight="1" s="250">
      <c r="A68" s="249" t="n"/>
      <c r="B68" s="249" t="n"/>
      <c r="C68" s="249" t="n"/>
      <c r="D68" s="249" t="n"/>
      <c r="E68" s="249" t="n"/>
      <c r="F68" s="249" t="n"/>
      <c r="G68" s="249" t="n"/>
      <c r="H68" s="249" t="n"/>
      <c r="I68" s="249" t="n"/>
      <c r="J68" s="249" t="n"/>
      <c r="K68" s="249" t="n"/>
      <c r="L68" s="249" t="n"/>
      <c r="M68" s="249" t="n"/>
    </row>
    <row r="69" ht="13" customHeight="1" s="250">
      <c r="A69" s="249" t="n"/>
      <c r="B69" s="249" t="n"/>
      <c r="C69" s="249" t="n"/>
      <c r="D69" s="249" t="n"/>
      <c r="E69" s="249" t="n"/>
      <c r="F69" s="249" t="n"/>
      <c r="G69" s="249" t="n"/>
      <c r="H69" s="249" t="n"/>
      <c r="I69" s="249" t="n"/>
      <c r="J69" s="249" t="n"/>
      <c r="K69" s="249" t="n"/>
      <c r="L69" s="249" t="n"/>
      <c r="M69" s="249" t="n"/>
    </row>
    <row r="70" ht="13" customHeight="1" s="250">
      <c r="A70" s="249" t="n"/>
      <c r="B70" s="249" t="n"/>
      <c r="C70" s="249" t="n"/>
      <c r="D70" s="249" t="n"/>
      <c r="E70" s="249" t="n"/>
      <c r="F70" s="249" t="n"/>
      <c r="G70" s="249" t="n"/>
      <c r="H70" s="249" t="n"/>
      <c r="I70" s="249" t="n"/>
      <c r="J70" s="249" t="n"/>
      <c r="K70" s="249" t="n"/>
      <c r="L70" s="249" t="n"/>
      <c r="M70" s="249" t="n"/>
    </row>
    <row r="71" ht="13" customHeight="1" s="250">
      <c r="A71" s="249" t="n"/>
      <c r="B71" s="249" t="n"/>
      <c r="C71" s="249" t="n"/>
      <c r="D71" s="249" t="n"/>
      <c r="E71" s="249" t="n"/>
      <c r="F71" s="249" t="n"/>
      <c r="G71" s="249" t="n"/>
      <c r="H71" s="249" t="n"/>
      <c r="I71" s="249" t="n"/>
      <c r="J71" s="249" t="n"/>
      <c r="K71" s="249" t="n"/>
      <c r="L71" s="249" t="n"/>
      <c r="M71" s="249" t="n"/>
    </row>
    <row r="72" ht="13" customHeight="1" s="250">
      <c r="A72" s="249" t="n"/>
      <c r="B72" s="249" t="n"/>
      <c r="C72" s="249" t="n"/>
      <c r="D72" s="249" t="n"/>
      <c r="E72" s="249" t="n"/>
      <c r="F72" s="249" t="n"/>
      <c r="G72" s="249" t="n"/>
      <c r="H72" s="249" t="n"/>
      <c r="I72" s="249" t="n"/>
      <c r="J72" s="249" t="n"/>
      <c r="K72" s="249" t="n"/>
      <c r="L72" s="249" t="n"/>
      <c r="M72" s="249" t="n"/>
    </row>
    <row r="73" ht="13" customHeight="1" s="250">
      <c r="A73" s="249" t="n"/>
      <c r="B73" s="249" t="n"/>
      <c r="C73" s="249" t="n"/>
      <c r="D73" s="249" t="n"/>
      <c r="E73" s="249" t="n"/>
      <c r="F73" s="249" t="n"/>
      <c r="G73" s="249" t="n"/>
      <c r="H73" s="249" t="n"/>
      <c r="I73" s="249" t="n"/>
      <c r="J73" s="249" t="n"/>
      <c r="K73" s="249" t="n"/>
      <c r="L73" s="249" t="n"/>
      <c r="M73" s="249" t="n"/>
    </row>
    <row r="74" ht="13" customHeight="1" s="250">
      <c r="A74" s="249" t="n"/>
      <c r="B74" s="249" t="n"/>
      <c r="C74" s="249" t="n"/>
      <c r="D74" s="249" t="n"/>
      <c r="E74" s="249" t="n"/>
      <c r="F74" s="249" t="n"/>
      <c r="G74" s="249" t="n"/>
      <c r="H74" s="249" t="n"/>
      <c r="I74" s="249" t="n"/>
      <c r="J74" s="249" t="n"/>
      <c r="K74" s="249" t="n"/>
      <c r="L74" s="249" t="n"/>
      <c r="M74" s="249" t="n"/>
    </row>
    <row r="75" ht="13" customHeight="1" s="250">
      <c r="A75" s="249" t="n"/>
      <c r="B75" s="249" t="n"/>
      <c r="C75" s="249" t="n"/>
      <c r="D75" s="249" t="n"/>
      <c r="E75" s="249" t="n"/>
      <c r="F75" s="249" t="n"/>
      <c r="G75" s="249" t="n"/>
      <c r="H75" s="249" t="n"/>
      <c r="I75" s="249" t="n"/>
      <c r="J75" s="249" t="n"/>
      <c r="K75" s="249" t="n"/>
      <c r="L75" s="249" t="n"/>
      <c r="M75" s="249" t="n"/>
    </row>
    <row r="76" ht="13" customHeight="1" s="250">
      <c r="A76" s="249" t="n"/>
      <c r="B76" s="249" t="n"/>
      <c r="C76" s="249" t="n"/>
      <c r="D76" s="249" t="n"/>
      <c r="E76" s="249" t="n"/>
      <c r="F76" s="249" t="n"/>
      <c r="G76" s="249" t="n"/>
      <c r="H76" s="249" t="n"/>
      <c r="I76" s="249" t="n"/>
      <c r="J76" s="249" t="n"/>
      <c r="K76" s="249" t="n"/>
      <c r="L76" s="249" t="n"/>
      <c r="M76" s="249" t="n"/>
    </row>
    <row r="77" ht="13" customHeight="1" s="250">
      <c r="A77" s="249" t="n"/>
      <c r="B77" s="249" t="n"/>
      <c r="C77" s="249" t="n"/>
      <c r="D77" s="249" t="n"/>
      <c r="E77" s="249" t="n"/>
      <c r="F77" s="249" t="n"/>
      <c r="G77" s="249" t="n"/>
      <c r="H77" s="249" t="n"/>
      <c r="I77" s="249" t="n"/>
      <c r="J77" s="249" t="n"/>
      <c r="K77" s="249" t="n"/>
      <c r="L77" s="249" t="n"/>
      <c r="M77" s="249" t="n"/>
    </row>
    <row r="78" ht="13" customHeight="1" s="250">
      <c r="A78" s="249" t="n"/>
      <c r="B78" s="249" t="n"/>
      <c r="C78" s="249" t="n"/>
      <c r="D78" s="249" t="n"/>
      <c r="E78" s="249" t="n"/>
      <c r="F78" s="249" t="n"/>
      <c r="G78" s="249" t="n"/>
      <c r="H78" s="249" t="n"/>
      <c r="I78" s="249" t="n"/>
      <c r="J78" s="249" t="n"/>
      <c r="K78" s="249" t="n"/>
      <c r="L78" s="249" t="n"/>
      <c r="M78" s="249" t="n"/>
    </row>
    <row r="79" ht="13" customHeight="1" s="250">
      <c r="A79" s="249" t="n"/>
      <c r="B79" s="249" t="n"/>
      <c r="C79" s="249" t="n"/>
      <c r="D79" s="249" t="n"/>
      <c r="E79" s="249" t="n"/>
      <c r="F79" s="249" t="n"/>
      <c r="G79" s="249" t="n"/>
      <c r="H79" s="249" t="n"/>
      <c r="I79" s="249" t="n"/>
      <c r="J79" s="249" t="n"/>
      <c r="K79" s="249" t="n"/>
      <c r="L79" s="249" t="n"/>
      <c r="M79" s="249" t="n"/>
    </row>
    <row r="80" ht="13" customHeight="1" s="250">
      <c r="A80" s="249" t="n"/>
      <c r="B80" s="249" t="n"/>
      <c r="C80" s="249" t="n"/>
      <c r="D80" s="249" t="n"/>
      <c r="E80" s="249" t="n"/>
      <c r="F80" s="249" t="n"/>
      <c r="G80" s="249" t="n"/>
      <c r="H80" s="249" t="n"/>
      <c r="I80" s="249" t="n"/>
      <c r="J80" s="249" t="n"/>
      <c r="K80" s="249" t="n"/>
      <c r="L80" s="249" t="n"/>
      <c r="M80" s="249" t="n"/>
    </row>
    <row r="81" ht="13" customHeight="1" s="250">
      <c r="A81" s="249" t="n"/>
      <c r="B81" s="249" t="n"/>
      <c r="C81" s="249" t="n"/>
      <c r="D81" s="249" t="n"/>
      <c r="E81" s="249" t="n"/>
      <c r="F81" s="249" t="n"/>
      <c r="G81" s="249" t="n"/>
      <c r="H81" s="249" t="n"/>
      <c r="I81" s="249" t="n"/>
      <c r="J81" s="249" t="n"/>
      <c r="K81" s="249" t="n"/>
      <c r="L81" s="249" t="n"/>
      <c r="M81" s="249" t="n"/>
    </row>
    <row r="82" ht="13" customHeight="1" s="250">
      <c r="A82" s="249" t="n"/>
      <c r="B82" s="249" t="n"/>
      <c r="C82" s="249" t="n"/>
      <c r="D82" s="249" t="n"/>
      <c r="E82" s="249" t="n"/>
      <c r="F82" s="249" t="n"/>
      <c r="G82" s="249" t="n"/>
      <c r="H82" s="249" t="n"/>
      <c r="I82" s="249" t="n"/>
      <c r="J82" s="249" t="n"/>
      <c r="K82" s="249" t="n"/>
      <c r="L82" s="249" t="n"/>
      <c r="M82" s="249" t="n"/>
    </row>
    <row r="83" ht="13" customHeight="1" s="250">
      <c r="A83" s="249" t="n"/>
      <c r="B83" s="249" t="n"/>
      <c r="C83" s="249" t="n"/>
      <c r="D83" s="249" t="n"/>
      <c r="E83" s="249" t="n"/>
      <c r="F83" s="249" t="n"/>
      <c r="G83" s="249" t="n"/>
      <c r="H83" s="249" t="n"/>
      <c r="I83" s="249" t="n"/>
      <c r="J83" s="249" t="n"/>
      <c r="K83" s="249" t="n"/>
      <c r="L83" s="249" t="n"/>
      <c r="M83" s="249" t="n"/>
    </row>
    <row r="84" ht="13" customHeight="1" s="250">
      <c r="A84" s="249" t="n"/>
      <c r="B84" s="249" t="n"/>
      <c r="C84" s="249" t="n"/>
      <c r="D84" s="249" t="n"/>
      <c r="E84" s="249" t="n"/>
      <c r="F84" s="249" t="n"/>
      <c r="G84" s="249" t="n"/>
      <c r="H84" s="249" t="n"/>
      <c r="I84" s="249" t="n"/>
      <c r="J84" s="249" t="n"/>
      <c r="K84" s="249" t="n"/>
      <c r="L84" s="249" t="n"/>
      <c r="M84" s="249" t="n"/>
    </row>
    <row r="85" ht="13" customHeight="1" s="250">
      <c r="A85" s="249" t="n"/>
      <c r="B85" s="249" t="n"/>
      <c r="C85" s="249" t="n"/>
      <c r="D85" s="249" t="n"/>
      <c r="E85" s="249" t="n"/>
      <c r="F85" s="249" t="n"/>
      <c r="G85" s="249" t="n"/>
      <c r="H85" s="249" t="n"/>
      <c r="I85" s="249" t="n"/>
      <c r="J85" s="249" t="n"/>
      <c r="K85" s="249" t="n"/>
      <c r="L85" s="249" t="n"/>
      <c r="M85" s="249" t="n"/>
    </row>
    <row r="86" ht="13" customHeight="1" s="250">
      <c r="A86" s="249" t="n"/>
      <c r="B86" s="249" t="n"/>
      <c r="C86" s="249" t="n"/>
      <c r="D86" s="249" t="n"/>
      <c r="E86" s="249" t="n"/>
      <c r="F86" s="249" t="n"/>
      <c r="G86" s="249" t="n"/>
      <c r="H86" s="249" t="n"/>
      <c r="I86" s="249" t="n"/>
      <c r="J86" s="249" t="n"/>
      <c r="K86" s="249" t="n"/>
      <c r="L86" s="249" t="n"/>
      <c r="M86" s="249" t="n"/>
    </row>
    <row r="87" ht="13" customHeight="1" s="250">
      <c r="A87" s="249" t="n"/>
      <c r="B87" s="249" t="n"/>
      <c r="C87" s="249" t="n"/>
      <c r="D87" s="249" t="n"/>
      <c r="E87" s="249" t="n"/>
      <c r="F87" s="249" t="n"/>
      <c r="G87" s="249" t="n"/>
      <c r="H87" s="249" t="n"/>
      <c r="I87" s="249" t="n"/>
      <c r="J87" s="249" t="n"/>
      <c r="K87" s="249" t="n"/>
      <c r="L87" s="249" t="n"/>
      <c r="M87" s="249" t="n"/>
    </row>
    <row r="88" ht="13" customHeight="1" s="250">
      <c r="A88" s="249" t="n"/>
      <c r="B88" s="249" t="n"/>
      <c r="C88" s="249" t="n"/>
      <c r="D88" s="249" t="n"/>
      <c r="E88" s="249" t="n"/>
      <c r="F88" s="249" t="n"/>
      <c r="G88" s="249" t="n"/>
      <c r="H88" s="249" t="n"/>
      <c r="I88" s="249" t="n"/>
      <c r="J88" s="249" t="n"/>
      <c r="K88" s="249" t="n"/>
      <c r="L88" s="249" t="n"/>
      <c r="M88" s="249" t="n"/>
    </row>
    <row r="89" ht="13" customHeight="1" s="250">
      <c r="A89" s="249" t="n"/>
      <c r="B89" s="249" t="n"/>
      <c r="C89" s="249" t="n"/>
      <c r="D89" s="249" t="n"/>
      <c r="E89" s="249" t="n"/>
      <c r="F89" s="249" t="n"/>
      <c r="G89" s="249" t="n"/>
      <c r="H89" s="249" t="n"/>
      <c r="I89" s="249" t="n"/>
      <c r="J89" s="249" t="n"/>
      <c r="K89" s="249" t="n"/>
      <c r="L89" s="249" t="n"/>
      <c r="M89" s="249" t="n"/>
    </row>
    <row r="90" ht="13" customHeight="1" s="250">
      <c r="A90" s="249" t="n"/>
      <c r="B90" s="249" t="n"/>
      <c r="C90" s="249" t="n"/>
      <c r="D90" s="249" t="n"/>
      <c r="E90" s="249" t="n"/>
      <c r="F90" s="249" t="n"/>
      <c r="G90" s="249" t="n"/>
      <c r="H90" s="249" t="n"/>
      <c r="I90" s="249" t="n"/>
      <c r="J90" s="249" t="n"/>
      <c r="K90" s="249" t="n"/>
      <c r="L90" s="249" t="n"/>
      <c r="M90" s="249" t="n"/>
    </row>
    <row r="91" ht="13" customHeight="1" s="250">
      <c r="A91" s="249" t="n"/>
      <c r="B91" s="249" t="n"/>
      <c r="C91" s="249" t="n"/>
      <c r="D91" s="249" t="n"/>
      <c r="E91" s="249" t="n"/>
      <c r="F91" s="249" t="n"/>
      <c r="G91" s="249" t="n"/>
      <c r="H91" s="249" t="n"/>
      <c r="I91" s="249" t="n"/>
      <c r="J91" s="249" t="n"/>
      <c r="K91" s="249" t="n"/>
      <c r="L91" s="249" t="n"/>
      <c r="M91" s="249" t="n"/>
    </row>
    <row r="92" ht="13" customHeight="1" s="250">
      <c r="A92" s="249" t="n"/>
      <c r="B92" s="249" t="n"/>
      <c r="C92" s="249" t="n"/>
      <c r="D92" s="249" t="n"/>
      <c r="E92" s="249" t="n"/>
      <c r="F92" s="249" t="n"/>
      <c r="G92" s="249" t="n"/>
      <c r="H92" s="249" t="n"/>
      <c r="I92" s="249" t="n"/>
      <c r="J92" s="249" t="n"/>
      <c r="K92" s="249" t="n"/>
      <c r="L92" s="249" t="n"/>
      <c r="M92" s="249" t="n"/>
    </row>
    <row r="93" ht="13" customHeight="1" s="250">
      <c r="A93" s="249" t="n"/>
      <c r="B93" s="249" t="n"/>
      <c r="C93" s="249" t="n"/>
      <c r="D93" s="249" t="n"/>
      <c r="E93" s="249" t="n"/>
      <c r="F93" s="249" t="n"/>
      <c r="G93" s="249" t="n"/>
      <c r="H93" s="249" t="n"/>
      <c r="I93" s="249" t="n"/>
      <c r="J93" s="249" t="n"/>
      <c r="K93" s="249" t="n"/>
      <c r="L93" s="249" t="n"/>
      <c r="M93" s="249" t="n"/>
    </row>
    <row r="94" ht="13" customHeight="1" s="250">
      <c r="A94" s="249" t="n"/>
      <c r="B94" s="249" t="n"/>
      <c r="C94" s="249" t="n"/>
      <c r="D94" s="249" t="n"/>
      <c r="E94" s="249" t="n"/>
      <c r="F94" s="249" t="n"/>
      <c r="G94" s="249" t="n"/>
      <c r="H94" s="249" t="n"/>
      <c r="I94" s="249" t="n"/>
      <c r="J94" s="249" t="n"/>
      <c r="K94" s="249" t="n"/>
      <c r="L94" s="249" t="n"/>
      <c r="M94" s="249" t="n"/>
    </row>
    <row r="95" ht="13" customHeight="1" s="250">
      <c r="A95" s="249" t="n"/>
      <c r="B95" s="249" t="n"/>
      <c r="C95" s="249" t="n"/>
      <c r="D95" s="249" t="n"/>
      <c r="E95" s="249" t="n"/>
      <c r="F95" s="249" t="n"/>
      <c r="G95" s="249" t="n"/>
      <c r="H95" s="249" t="n"/>
      <c r="I95" s="249" t="n"/>
      <c r="J95" s="249" t="n"/>
      <c r="K95" s="249" t="n"/>
      <c r="L95" s="249" t="n"/>
      <c r="M95" s="249" t="n"/>
    </row>
    <row r="96" ht="13" customHeight="1" s="250">
      <c r="A96" s="249" t="n"/>
      <c r="B96" s="249" t="n"/>
      <c r="C96" s="249" t="n"/>
      <c r="D96" s="249" t="n"/>
      <c r="E96" s="249" t="n"/>
      <c r="F96" s="249" t="n"/>
      <c r="G96" s="249" t="n"/>
      <c r="H96" s="249" t="n"/>
      <c r="I96" s="249" t="n"/>
      <c r="J96" s="249" t="n"/>
      <c r="K96" s="249" t="n"/>
      <c r="L96" s="249" t="n"/>
      <c r="M96" s="249" t="n"/>
    </row>
    <row r="97" ht="13" customHeight="1" s="250">
      <c r="A97" s="249" t="n"/>
      <c r="B97" s="249" t="n"/>
      <c r="C97" s="249" t="n"/>
      <c r="D97" s="249" t="n"/>
      <c r="E97" s="249" t="n"/>
      <c r="F97" s="249" t="n"/>
      <c r="G97" s="249" t="n"/>
      <c r="H97" s="249" t="n"/>
      <c r="I97" s="249" t="n"/>
      <c r="J97" s="249" t="n"/>
      <c r="K97" s="249" t="n"/>
      <c r="L97" s="249" t="n"/>
      <c r="M97" s="249" t="n"/>
    </row>
    <row r="98" ht="13" customHeight="1" s="250">
      <c r="A98" s="249" t="n"/>
      <c r="B98" s="249" t="n"/>
      <c r="C98" s="249" t="n"/>
      <c r="D98" s="249" t="n"/>
      <c r="E98" s="249" t="n"/>
      <c r="F98" s="249" t="n"/>
      <c r="G98" s="249" t="n"/>
      <c r="H98" s="249" t="n"/>
      <c r="I98" s="249" t="n"/>
      <c r="J98" s="249" t="n"/>
      <c r="K98" s="249" t="n"/>
      <c r="L98" s="249" t="n"/>
      <c r="M98" s="249" t="n"/>
    </row>
    <row r="99" ht="13" customHeight="1" s="250">
      <c r="A99" s="249" t="n"/>
      <c r="B99" s="249" t="n"/>
      <c r="C99" s="249" t="n"/>
      <c r="D99" s="249" t="n"/>
      <c r="E99" s="249" t="n"/>
      <c r="F99" s="249" t="n"/>
      <c r="G99" s="249" t="n"/>
      <c r="H99" s="249" t="n"/>
      <c r="I99" s="249" t="n"/>
      <c r="J99" s="249" t="n"/>
      <c r="K99" s="249" t="n"/>
      <c r="L99" s="249" t="n"/>
      <c r="M99" s="249" t="n"/>
    </row>
    <row r="100" ht="13" customHeight="1" s="250">
      <c r="A100" s="249" t="n"/>
      <c r="B100" s="249" t="n"/>
      <c r="C100" s="249" t="n"/>
      <c r="D100" s="249" t="n"/>
      <c r="E100" s="249" t="n"/>
      <c r="F100" s="249" t="n"/>
      <c r="G100" s="249" t="n"/>
      <c r="H100" s="249" t="n"/>
      <c r="I100" s="249" t="n"/>
      <c r="J100" s="249" t="n"/>
      <c r="K100" s="249" t="n"/>
      <c r="L100" s="249" t="n"/>
      <c r="M100" s="249" t="n"/>
    </row>
    <row r="101" ht="13" customHeight="1" s="250">
      <c r="A101" s="249" t="n"/>
      <c r="B101" s="249" t="n"/>
      <c r="C101" s="249" t="n"/>
      <c r="D101" s="249" t="n"/>
      <c r="E101" s="249" t="n"/>
      <c r="F101" s="249" t="n"/>
      <c r="G101" s="249" t="n"/>
      <c r="H101" s="249" t="n"/>
      <c r="I101" s="249" t="n"/>
      <c r="J101" s="249" t="n"/>
      <c r="K101" s="249" t="n"/>
      <c r="L101" s="249" t="n"/>
      <c r="M101" s="249" t="n"/>
    </row>
    <row r="102" ht="13" customHeight="1" s="250">
      <c r="A102" s="249" t="n"/>
      <c r="B102" s="249" t="n"/>
      <c r="C102" s="249" t="n"/>
      <c r="D102" s="249" t="n"/>
      <c r="E102" s="249" t="n"/>
      <c r="F102" s="249" t="n"/>
      <c r="G102" s="249" t="n"/>
      <c r="H102" s="249" t="n"/>
      <c r="I102" s="249" t="n"/>
      <c r="J102" s="249" t="n"/>
      <c r="K102" s="249" t="n"/>
      <c r="L102" s="249" t="n"/>
      <c r="M102" s="249" t="n"/>
    </row>
    <row r="103" ht="13" customHeight="1" s="250">
      <c r="A103" s="249" t="n"/>
      <c r="B103" s="249" t="n"/>
      <c r="C103" s="249" t="n"/>
      <c r="D103" s="249" t="n"/>
      <c r="E103" s="249" t="n"/>
      <c r="F103" s="249" t="n"/>
      <c r="G103" s="249" t="n"/>
      <c r="H103" s="249" t="n"/>
      <c r="I103" s="249" t="n"/>
      <c r="J103" s="249" t="n"/>
      <c r="K103" s="249" t="n"/>
      <c r="L103" s="249" t="n"/>
      <c r="M103" s="249" t="n"/>
    </row>
    <row r="104" ht="13" customHeight="1" s="250">
      <c r="A104" s="249" t="n"/>
      <c r="B104" s="249" t="n"/>
      <c r="C104" s="249" t="n"/>
      <c r="D104" s="249" t="n"/>
      <c r="E104" s="249" t="n"/>
      <c r="F104" s="249" t="n"/>
      <c r="G104" s="249" t="n"/>
      <c r="H104" s="249" t="n"/>
      <c r="I104" s="249" t="n"/>
      <c r="J104" s="249" t="n"/>
      <c r="K104" s="249" t="n"/>
      <c r="L104" s="249" t="n"/>
      <c r="M104" s="249" t="n"/>
    </row>
    <row r="105" ht="13" customHeight="1" s="250">
      <c r="A105" s="249" t="n"/>
      <c r="B105" s="249" t="n"/>
      <c r="C105" s="249" t="n"/>
      <c r="D105" s="249" t="n"/>
      <c r="E105" s="249" t="n"/>
      <c r="F105" s="249" t="n"/>
      <c r="G105" s="249" t="n"/>
      <c r="H105" s="249" t="n"/>
      <c r="I105" s="249" t="n"/>
      <c r="J105" s="249" t="n"/>
      <c r="K105" s="249" t="n"/>
      <c r="L105" s="249" t="n"/>
      <c r="M105" s="249" t="n"/>
    </row>
    <row r="106" ht="13" customHeight="1" s="250">
      <c r="A106" s="249" t="n"/>
      <c r="B106" s="249" t="n"/>
      <c r="C106" s="249" t="n"/>
      <c r="D106" s="249" t="n"/>
      <c r="E106" s="249" t="n"/>
      <c r="F106" s="249" t="n"/>
      <c r="G106" s="249" t="n"/>
      <c r="H106" s="249" t="n"/>
      <c r="I106" s="249" t="n"/>
      <c r="J106" s="249" t="n"/>
      <c r="K106" s="249" t="n"/>
      <c r="L106" s="249" t="n"/>
      <c r="M106" s="249" t="n"/>
    </row>
    <row r="107" ht="13" customHeight="1" s="250">
      <c r="A107" s="249" t="n"/>
      <c r="B107" s="249" t="n"/>
      <c r="C107" s="249" t="n"/>
      <c r="D107" s="249" t="n"/>
      <c r="E107" s="249" t="n"/>
      <c r="F107" s="249" t="n"/>
      <c r="G107" s="249" t="n"/>
      <c r="H107" s="249" t="n"/>
      <c r="I107" s="249" t="n"/>
      <c r="J107" s="249" t="n"/>
      <c r="K107" s="249" t="n"/>
      <c r="L107" s="249" t="n"/>
      <c r="M107" s="249" t="n"/>
    </row>
    <row r="108" ht="13" customHeight="1" s="250">
      <c r="A108" s="249" t="n"/>
      <c r="B108" s="249" t="n"/>
      <c r="C108" s="249" t="n"/>
      <c r="D108" s="249" t="n"/>
      <c r="E108" s="249" t="n"/>
      <c r="F108" s="249" t="n"/>
      <c r="G108" s="249" t="n"/>
      <c r="H108" s="249" t="n"/>
      <c r="I108" s="249" t="n"/>
      <c r="J108" s="249" t="n"/>
      <c r="K108" s="249" t="n"/>
      <c r="L108" s="249" t="n"/>
      <c r="M108" s="249" t="n"/>
    </row>
    <row r="109" ht="13" customHeight="1" s="250">
      <c r="A109" s="249" t="n"/>
      <c r="B109" s="249" t="n"/>
      <c r="C109" s="249" t="n"/>
      <c r="D109" s="249" t="n"/>
      <c r="E109" s="249" t="n"/>
      <c r="F109" s="249" t="n"/>
      <c r="G109" s="249" t="n"/>
      <c r="H109" s="249" t="n"/>
      <c r="I109" s="249" t="n"/>
      <c r="J109" s="249" t="n"/>
      <c r="K109" s="249" t="n"/>
      <c r="L109" s="249" t="n"/>
      <c r="M109" s="249" t="n"/>
    </row>
    <row r="110" ht="13" customHeight="1" s="250">
      <c r="A110" s="249" t="n"/>
      <c r="B110" s="249" t="n"/>
      <c r="C110" s="249" t="n"/>
      <c r="D110" s="249" t="n"/>
      <c r="E110" s="249" t="n"/>
      <c r="F110" s="249" t="n"/>
      <c r="G110" s="249" t="n"/>
      <c r="H110" s="249" t="n"/>
      <c r="I110" s="249" t="n"/>
      <c r="J110" s="249" t="n"/>
      <c r="K110" s="249" t="n"/>
      <c r="L110" s="249" t="n"/>
      <c r="M110" s="249" t="n"/>
    </row>
    <row r="111" ht="13" customHeight="1" s="250">
      <c r="A111" s="249" t="n"/>
      <c r="B111" s="249" t="n"/>
      <c r="C111" s="249" t="n"/>
      <c r="D111" s="249" t="n"/>
      <c r="E111" s="249" t="n"/>
      <c r="F111" s="249" t="n"/>
      <c r="G111" s="249" t="n"/>
      <c r="H111" s="249" t="n"/>
      <c r="I111" s="249" t="n"/>
      <c r="J111" s="249" t="n"/>
      <c r="K111" s="249" t="n"/>
      <c r="L111" s="249" t="n"/>
      <c r="M111" s="249" t="n"/>
    </row>
    <row r="112" ht="13" customHeight="1" s="250">
      <c r="A112" s="249" t="n"/>
      <c r="B112" s="249" t="n"/>
      <c r="C112" s="249" t="n"/>
      <c r="D112" s="249" t="n"/>
      <c r="E112" s="249" t="n"/>
      <c r="F112" s="249" t="n"/>
      <c r="G112" s="249" t="n"/>
      <c r="H112" s="249" t="n"/>
      <c r="I112" s="249" t="n"/>
      <c r="J112" s="249" t="n"/>
      <c r="K112" s="249" t="n"/>
      <c r="L112" s="249" t="n"/>
      <c r="M112" s="249" t="n"/>
    </row>
    <row r="113" ht="13" customHeight="1" s="250">
      <c r="A113" s="249" t="n"/>
      <c r="B113" s="249" t="n"/>
      <c r="C113" s="249" t="n"/>
      <c r="D113" s="249" t="n"/>
      <c r="E113" s="249" t="n"/>
      <c r="F113" s="249" t="n"/>
      <c r="G113" s="249" t="n"/>
      <c r="H113" s="249" t="n"/>
      <c r="I113" s="249" t="n"/>
      <c r="J113" s="249" t="n"/>
      <c r="K113" s="249" t="n"/>
      <c r="L113" s="249" t="n"/>
      <c r="M113" s="249" t="n"/>
    </row>
    <row r="114" ht="13" customHeight="1" s="250">
      <c r="A114" s="249" t="n"/>
      <c r="B114" s="249" t="n"/>
      <c r="C114" s="249" t="n"/>
      <c r="D114" s="249" t="n"/>
      <c r="E114" s="249" t="n"/>
      <c r="F114" s="249" t="n"/>
      <c r="G114" s="249" t="n"/>
      <c r="H114" s="249" t="n"/>
      <c r="I114" s="249" t="n"/>
      <c r="J114" s="249" t="n"/>
      <c r="K114" s="249" t="n"/>
      <c r="L114" s="249" t="n"/>
      <c r="M114" s="249" t="n"/>
    </row>
    <row r="115" ht="13" customHeight="1" s="250">
      <c r="A115" s="249" t="n"/>
      <c r="B115" s="249" t="n"/>
      <c r="C115" s="249" t="n"/>
      <c r="D115" s="249" t="n"/>
      <c r="E115" s="249" t="n"/>
      <c r="F115" s="249" t="n"/>
      <c r="G115" s="249" t="n"/>
      <c r="H115" s="249" t="n"/>
      <c r="I115" s="249" t="n"/>
      <c r="J115" s="249" t="n"/>
      <c r="K115" s="249" t="n"/>
      <c r="L115" s="249" t="n"/>
      <c r="M115" s="249" t="n"/>
    </row>
    <row r="116" ht="13" customHeight="1" s="250">
      <c r="A116" s="249" t="n"/>
      <c r="B116" s="249" t="n"/>
      <c r="C116" s="249" t="n"/>
      <c r="D116" s="249" t="n"/>
      <c r="E116" s="249" t="n"/>
      <c r="F116" s="249" t="n"/>
      <c r="G116" s="249" t="n"/>
      <c r="H116" s="249" t="n"/>
      <c r="I116" s="249" t="n"/>
      <c r="J116" s="249" t="n"/>
      <c r="K116" s="249" t="n"/>
      <c r="L116" s="249" t="n"/>
      <c r="M116" s="249" t="n"/>
    </row>
    <row r="117" ht="13" customHeight="1" s="250">
      <c r="A117" s="249" t="n"/>
      <c r="B117" s="249" t="n"/>
      <c r="C117" s="249" t="n"/>
      <c r="D117" s="249" t="n"/>
      <c r="E117" s="249" t="n"/>
      <c r="F117" s="249" t="n"/>
      <c r="G117" s="249" t="n"/>
      <c r="H117" s="249" t="n"/>
      <c r="I117" s="249" t="n"/>
      <c r="J117" s="249" t="n"/>
      <c r="K117" s="249" t="n"/>
      <c r="L117" s="249" t="n"/>
      <c r="M117" s="249" t="n"/>
    </row>
    <row r="118" ht="13" customHeight="1" s="250">
      <c r="A118" s="249" t="n"/>
      <c r="B118" s="249" t="n"/>
      <c r="C118" s="249" t="n"/>
      <c r="D118" s="249" t="n"/>
      <c r="E118" s="249" t="n"/>
      <c r="F118" s="249" t="n"/>
      <c r="G118" s="249" t="n"/>
      <c r="H118" s="249" t="n"/>
      <c r="I118" s="249" t="n"/>
      <c r="J118" s="249" t="n"/>
      <c r="K118" s="249" t="n"/>
      <c r="L118" s="249" t="n"/>
      <c r="M118" s="249" t="n"/>
    </row>
    <row r="119" ht="13" customHeight="1" s="250">
      <c r="A119" s="249" t="n"/>
      <c r="B119" s="249" t="n"/>
      <c r="C119" s="249" t="n"/>
      <c r="D119" s="249" t="n"/>
      <c r="E119" s="249" t="n"/>
      <c r="F119" s="249" t="n"/>
      <c r="G119" s="249" t="n"/>
      <c r="H119" s="249" t="n"/>
      <c r="I119" s="249" t="n"/>
      <c r="J119" s="249" t="n"/>
      <c r="K119" s="249" t="n"/>
      <c r="L119" s="249" t="n"/>
      <c r="M119" s="249" t="n"/>
    </row>
    <row r="120" ht="13" customHeight="1" s="250">
      <c r="A120" s="249" t="n"/>
      <c r="B120" s="249" t="n"/>
      <c r="C120" s="249" t="n"/>
      <c r="D120" s="249" t="n"/>
      <c r="E120" s="249" t="n"/>
      <c r="F120" s="249" t="n"/>
      <c r="G120" s="249" t="n"/>
      <c r="H120" s="249" t="n"/>
      <c r="I120" s="249" t="n"/>
      <c r="J120" s="249" t="n"/>
      <c r="K120" s="249" t="n"/>
      <c r="L120" s="249" t="n"/>
      <c r="M120" s="249" t="n"/>
    </row>
    <row r="121" ht="13" customHeight="1" s="250">
      <c r="A121" s="249" t="n"/>
      <c r="B121" s="249" t="n"/>
      <c r="C121" s="249" t="n"/>
      <c r="D121" s="249" t="n"/>
      <c r="E121" s="249" t="n"/>
      <c r="F121" s="249" t="n"/>
      <c r="G121" s="249" t="n"/>
      <c r="H121" s="249" t="n"/>
      <c r="I121" s="249" t="n"/>
      <c r="J121" s="249" t="n"/>
      <c r="K121" s="249" t="n"/>
      <c r="L121" s="249" t="n"/>
      <c r="M121" s="249" t="n"/>
    </row>
    <row r="122" ht="13" customHeight="1" s="250">
      <c r="A122" s="249" t="n"/>
      <c r="B122" s="249" t="n"/>
      <c r="C122" s="249" t="n"/>
      <c r="D122" s="249" t="n"/>
      <c r="E122" s="249" t="n"/>
      <c r="F122" s="249" t="n"/>
      <c r="G122" s="249" t="n"/>
      <c r="H122" s="249" t="n"/>
      <c r="I122" s="249" t="n"/>
      <c r="J122" s="249" t="n"/>
      <c r="K122" s="249" t="n"/>
      <c r="L122" s="249" t="n"/>
      <c r="M122" s="249" t="n"/>
    </row>
    <row r="123" ht="13" customHeight="1" s="250">
      <c r="A123" s="249" t="n"/>
      <c r="B123" s="249" t="n"/>
      <c r="C123" s="249" t="n"/>
      <c r="D123" s="249" t="n"/>
      <c r="E123" s="249" t="n"/>
      <c r="F123" s="249" t="n"/>
      <c r="G123" s="249" t="n"/>
      <c r="H123" s="249" t="n"/>
      <c r="I123" s="249" t="n"/>
      <c r="J123" s="249" t="n"/>
      <c r="K123" s="249" t="n"/>
      <c r="L123" s="249" t="n"/>
      <c r="M123" s="249" t="n"/>
    </row>
    <row r="124" ht="13" customHeight="1" s="250">
      <c r="A124" s="249" t="n"/>
      <c r="B124" s="249" t="n"/>
      <c r="C124" s="249" t="n"/>
      <c r="D124" s="249" t="n"/>
      <c r="E124" s="249" t="n"/>
      <c r="F124" s="249" t="n"/>
      <c r="G124" s="249" t="n"/>
      <c r="H124" s="249" t="n"/>
      <c r="I124" s="249" t="n"/>
      <c r="J124" s="249" t="n"/>
      <c r="K124" s="249" t="n"/>
      <c r="L124" s="249" t="n"/>
      <c r="M124" s="249" t="n"/>
    </row>
    <row r="125" ht="13" customHeight="1" s="250">
      <c r="A125" s="249" t="n"/>
      <c r="B125" s="249" t="n"/>
      <c r="C125" s="249" t="n"/>
      <c r="D125" s="249" t="n"/>
      <c r="E125" s="249" t="n"/>
      <c r="F125" s="249" t="n"/>
      <c r="G125" s="249" t="n"/>
      <c r="H125" s="249" t="n"/>
      <c r="I125" s="249" t="n"/>
      <c r="J125" s="249" t="n"/>
      <c r="K125" s="249" t="n"/>
      <c r="L125" s="249" t="n"/>
      <c r="M125" s="249" t="n"/>
    </row>
    <row r="126" ht="13" customHeight="1" s="250">
      <c r="A126" s="249" t="n"/>
      <c r="B126" s="249" t="n"/>
      <c r="C126" s="249" t="n"/>
      <c r="D126" s="249" t="n"/>
      <c r="E126" s="249" t="n"/>
      <c r="F126" s="249" t="n"/>
      <c r="G126" s="249" t="n"/>
      <c r="H126" s="249" t="n"/>
      <c r="I126" s="249" t="n"/>
      <c r="J126" s="249" t="n"/>
      <c r="K126" s="249" t="n"/>
      <c r="L126" s="249" t="n"/>
      <c r="M126" s="249" t="n"/>
    </row>
    <row r="127" ht="13" customHeight="1" s="250">
      <c r="A127" s="249" t="n"/>
      <c r="B127" s="249" t="n"/>
      <c r="C127" s="249" t="n"/>
      <c r="D127" s="249" t="n"/>
      <c r="E127" s="249" t="n"/>
      <c r="F127" s="249" t="n"/>
      <c r="G127" s="249" t="n"/>
      <c r="H127" s="249" t="n"/>
      <c r="I127" s="249" t="n"/>
      <c r="J127" s="249" t="n"/>
      <c r="K127" s="249" t="n"/>
      <c r="L127" s="249" t="n"/>
      <c r="M127" s="249" t="n"/>
    </row>
    <row r="128" ht="13" customHeight="1" s="250">
      <c r="A128" s="249" t="n"/>
      <c r="B128" s="249" t="n"/>
      <c r="C128" s="249" t="n"/>
      <c r="D128" s="249" t="n"/>
      <c r="E128" s="249" t="n"/>
      <c r="F128" s="249" t="n"/>
      <c r="G128" s="249" t="n"/>
      <c r="H128" s="249" t="n"/>
      <c r="I128" s="249" t="n"/>
      <c r="J128" s="249" t="n"/>
      <c r="K128" s="249" t="n"/>
      <c r="L128" s="249" t="n"/>
      <c r="M128" s="249" t="n"/>
    </row>
    <row r="129" ht="13" customHeight="1" s="250">
      <c r="A129" s="249" t="n"/>
      <c r="B129" s="249" t="n"/>
      <c r="C129" s="249" t="n"/>
      <c r="D129" s="249" t="n"/>
      <c r="E129" s="249" t="n"/>
      <c r="F129" s="249" t="n"/>
      <c r="G129" s="249" t="n"/>
      <c r="H129" s="249" t="n"/>
      <c r="I129" s="249" t="n"/>
      <c r="J129" s="249" t="n"/>
      <c r="K129" s="249" t="n"/>
      <c r="L129" s="249" t="n"/>
      <c r="M129" s="249" t="n"/>
    </row>
    <row r="130" ht="13" customHeight="1" s="250">
      <c r="A130" s="249" t="n"/>
      <c r="B130" s="249" t="n"/>
      <c r="C130" s="249" t="n"/>
      <c r="D130" s="249" t="n"/>
      <c r="E130" s="249" t="n"/>
      <c r="F130" s="249" t="n"/>
      <c r="G130" s="249" t="n"/>
      <c r="H130" s="249" t="n"/>
      <c r="I130" s="249" t="n"/>
      <c r="J130" s="249" t="n"/>
      <c r="K130" s="249" t="n"/>
      <c r="L130" s="249" t="n"/>
      <c r="M130" s="249" t="n"/>
    </row>
    <row r="131" ht="13" customHeight="1" s="250">
      <c r="A131" s="249" t="n"/>
      <c r="B131" s="249" t="n"/>
      <c r="C131" s="249" t="n"/>
      <c r="D131" s="249" t="n"/>
      <c r="E131" s="249" t="n"/>
      <c r="F131" s="249" t="n"/>
      <c r="G131" s="249" t="n"/>
      <c r="H131" s="249" t="n"/>
      <c r="I131" s="249" t="n"/>
      <c r="J131" s="249" t="n"/>
      <c r="K131" s="249" t="n"/>
      <c r="L131" s="249" t="n"/>
      <c r="M131" s="249" t="n"/>
    </row>
    <row r="132" ht="13" customHeight="1" s="250">
      <c r="A132" s="249" t="n"/>
      <c r="B132" s="249" t="n"/>
      <c r="C132" s="249" t="n"/>
      <c r="D132" s="249" t="n"/>
      <c r="E132" s="249" t="n"/>
      <c r="F132" s="249" t="n"/>
      <c r="G132" s="249" t="n"/>
      <c r="H132" s="249" t="n"/>
      <c r="I132" s="249" t="n"/>
      <c r="J132" s="249" t="n"/>
      <c r="K132" s="249" t="n"/>
      <c r="L132" s="249" t="n"/>
      <c r="M132" s="249" t="n"/>
    </row>
    <row r="133" ht="13" customHeight="1" s="250">
      <c r="A133" s="249" t="n"/>
      <c r="B133" s="249" t="n"/>
      <c r="C133" s="249" t="n"/>
      <c r="D133" s="249" t="n"/>
      <c r="E133" s="249" t="n"/>
      <c r="F133" s="249" t="n"/>
      <c r="G133" s="249" t="n"/>
      <c r="H133" s="249" t="n"/>
      <c r="I133" s="249" t="n"/>
      <c r="J133" s="249" t="n"/>
      <c r="K133" s="249" t="n"/>
      <c r="L133" s="249" t="n"/>
      <c r="M133" s="249" t="n"/>
    </row>
    <row r="134" ht="13" customHeight="1" s="250">
      <c r="A134" s="249" t="n"/>
      <c r="B134" s="249" t="n"/>
      <c r="C134" s="249" t="n"/>
      <c r="D134" s="249" t="n"/>
      <c r="E134" s="249" t="n"/>
      <c r="F134" s="249" t="n"/>
      <c r="G134" s="249" t="n"/>
      <c r="H134" s="249" t="n"/>
      <c r="I134" s="249" t="n"/>
      <c r="J134" s="249" t="n"/>
      <c r="K134" s="249" t="n"/>
      <c r="L134" s="249" t="n"/>
      <c r="M134" s="249" t="n"/>
    </row>
    <row r="135" ht="13" customHeight="1" s="250">
      <c r="A135" s="249" t="n"/>
      <c r="B135" s="249" t="n"/>
      <c r="C135" s="249" t="n"/>
      <c r="D135" s="249" t="n"/>
      <c r="E135" s="249" t="n"/>
      <c r="F135" s="249" t="n"/>
      <c r="G135" s="249" t="n"/>
      <c r="H135" s="249" t="n"/>
      <c r="I135" s="249" t="n"/>
      <c r="J135" s="249" t="n"/>
      <c r="K135" s="249" t="n"/>
      <c r="L135" s="249" t="n"/>
      <c r="M135" s="249" t="n"/>
    </row>
    <row r="136" ht="13" customHeight="1" s="250">
      <c r="A136" s="249" t="n"/>
      <c r="B136" s="249" t="n"/>
      <c r="C136" s="249" t="n"/>
      <c r="D136" s="249" t="n"/>
      <c r="E136" s="249" t="n"/>
      <c r="F136" s="249" t="n"/>
      <c r="G136" s="249" t="n"/>
      <c r="H136" s="249" t="n"/>
      <c r="I136" s="249" t="n"/>
      <c r="J136" s="249" t="n"/>
      <c r="K136" s="249" t="n"/>
      <c r="L136" s="249" t="n"/>
      <c r="M136" s="249" t="n"/>
    </row>
    <row r="137" ht="13" customHeight="1" s="250">
      <c r="A137" s="249" t="n"/>
      <c r="B137" s="249" t="n"/>
      <c r="C137" s="249" t="n"/>
      <c r="D137" s="249" t="n"/>
      <c r="E137" s="249" t="n"/>
      <c r="F137" s="249" t="n"/>
      <c r="G137" s="249" t="n"/>
      <c r="H137" s="249" t="n"/>
      <c r="I137" s="249" t="n"/>
      <c r="J137" s="249" t="n"/>
      <c r="K137" s="249" t="n"/>
      <c r="L137" s="249" t="n"/>
      <c r="M137" s="249" t="n"/>
    </row>
    <row r="138" ht="13" customHeight="1" s="250">
      <c r="A138" s="249" t="n"/>
      <c r="B138" s="249" t="n"/>
      <c r="C138" s="249" t="n"/>
      <c r="D138" s="249" t="n"/>
      <c r="E138" s="249" t="n"/>
      <c r="F138" s="249" t="n"/>
      <c r="G138" s="249" t="n"/>
      <c r="H138" s="249" t="n"/>
      <c r="I138" s="249" t="n"/>
      <c r="J138" s="249" t="n"/>
      <c r="K138" s="249" t="n"/>
      <c r="L138" s="249" t="n"/>
      <c r="M138" s="249" t="n"/>
    </row>
    <row r="139" ht="13" customHeight="1" s="250">
      <c r="A139" s="249" t="n"/>
      <c r="B139" s="249" t="n"/>
      <c r="C139" s="249" t="n"/>
      <c r="D139" s="249" t="n"/>
      <c r="E139" s="249" t="n"/>
      <c r="F139" s="249" t="n"/>
      <c r="G139" s="249" t="n"/>
      <c r="H139" s="249" t="n"/>
      <c r="I139" s="249" t="n"/>
      <c r="J139" s="249" t="n"/>
      <c r="K139" s="249" t="n"/>
      <c r="L139" s="249" t="n"/>
      <c r="M139" s="249" t="n"/>
    </row>
    <row r="140" ht="13" customHeight="1" s="250">
      <c r="A140" s="249" t="n"/>
      <c r="B140" s="249" t="n"/>
      <c r="C140" s="249" t="n"/>
      <c r="D140" s="249" t="n"/>
      <c r="E140" s="249" t="n"/>
      <c r="F140" s="249" t="n"/>
      <c r="G140" s="249" t="n"/>
      <c r="H140" s="249" t="n"/>
      <c r="I140" s="249" t="n"/>
      <c r="J140" s="249" t="n"/>
      <c r="K140" s="249" t="n"/>
      <c r="L140" s="249" t="n"/>
      <c r="M140" s="249" t="n"/>
    </row>
    <row r="141" ht="13" customHeight="1" s="250">
      <c r="A141" s="249" t="n"/>
      <c r="B141" s="249" t="n"/>
      <c r="C141" s="249" t="n"/>
      <c r="D141" s="249" t="n"/>
      <c r="E141" s="249" t="n"/>
      <c r="F141" s="249" t="n"/>
      <c r="G141" s="249" t="n"/>
      <c r="H141" s="249" t="n"/>
      <c r="I141" s="249" t="n"/>
      <c r="J141" s="249" t="n"/>
      <c r="K141" s="249" t="n"/>
      <c r="L141" s="249" t="n"/>
      <c r="M141" s="249" t="n"/>
    </row>
    <row r="142" ht="13" customHeight="1" s="250">
      <c r="A142" s="249" t="n"/>
      <c r="B142" s="249" t="n"/>
      <c r="C142" s="249" t="n"/>
      <c r="D142" s="249" t="n"/>
      <c r="E142" s="249" t="n"/>
      <c r="F142" s="249" t="n"/>
      <c r="G142" s="249" t="n"/>
      <c r="H142" s="249" t="n"/>
      <c r="I142" s="249" t="n"/>
      <c r="J142" s="249" t="n"/>
      <c r="K142" s="249" t="n"/>
      <c r="L142" s="249" t="n"/>
      <c r="M142" s="249" t="n"/>
    </row>
    <row r="143" ht="13" customHeight="1" s="250">
      <c r="A143" s="249" t="n"/>
      <c r="B143" s="249" t="n"/>
      <c r="C143" s="249" t="n"/>
      <c r="D143" s="249" t="n"/>
      <c r="E143" s="249" t="n"/>
      <c r="F143" s="249" t="n"/>
      <c r="G143" s="249" t="n"/>
      <c r="H143" s="249" t="n"/>
      <c r="I143" s="249" t="n"/>
      <c r="J143" s="249" t="n"/>
      <c r="K143" s="249" t="n"/>
      <c r="L143" s="249" t="n"/>
      <c r="M143" s="249" t="n"/>
    </row>
    <row r="144" ht="13" customHeight="1" s="250">
      <c r="A144" s="249" t="n"/>
      <c r="B144" s="249" t="n"/>
      <c r="C144" s="249" t="n"/>
      <c r="D144" s="249" t="n"/>
      <c r="E144" s="249" t="n"/>
      <c r="F144" s="249" t="n"/>
      <c r="G144" s="249" t="n"/>
      <c r="H144" s="249" t="n"/>
      <c r="I144" s="249" t="n"/>
      <c r="J144" s="249" t="n"/>
      <c r="K144" s="249" t="n"/>
      <c r="L144" s="249" t="n"/>
      <c r="M144" s="249" t="n"/>
    </row>
    <row r="145" ht="13" customHeight="1" s="250">
      <c r="A145" s="249" t="n"/>
      <c r="B145" s="249" t="n"/>
      <c r="C145" s="249" t="n"/>
      <c r="D145" s="249" t="n"/>
      <c r="E145" s="249" t="n"/>
      <c r="F145" s="249" t="n"/>
      <c r="G145" s="249" t="n"/>
      <c r="H145" s="249" t="n"/>
      <c r="I145" s="249" t="n"/>
      <c r="J145" s="249" t="n"/>
      <c r="K145" s="249" t="n"/>
      <c r="L145" s="249" t="n"/>
      <c r="M145" s="249" t="n"/>
    </row>
    <row r="146" ht="13" customHeight="1" s="250">
      <c r="A146" s="249" t="n"/>
      <c r="B146" s="249" t="n"/>
      <c r="C146" s="249" t="n"/>
      <c r="D146" s="249" t="n"/>
      <c r="E146" s="249" t="n"/>
      <c r="F146" s="249" t="n"/>
      <c r="G146" s="249" t="n"/>
      <c r="H146" s="249" t="n"/>
      <c r="I146" s="249" t="n"/>
      <c r="J146" s="249" t="n"/>
      <c r="K146" s="249" t="n"/>
      <c r="L146" s="249" t="n"/>
      <c r="M146" s="249" t="n"/>
    </row>
    <row r="147" ht="13" customHeight="1" s="250">
      <c r="A147" s="249" t="n"/>
      <c r="B147" s="249" t="n"/>
      <c r="C147" s="249" t="n"/>
      <c r="D147" s="249" t="n"/>
      <c r="E147" s="249" t="n"/>
      <c r="F147" s="249" t="n"/>
      <c r="G147" s="249" t="n"/>
      <c r="H147" s="249" t="n"/>
      <c r="I147" s="249" t="n"/>
      <c r="J147" s="249" t="n"/>
      <c r="K147" s="249" t="n"/>
      <c r="L147" s="249" t="n"/>
      <c r="M147" s="249" t="n"/>
    </row>
    <row r="148" ht="13" customHeight="1" s="250">
      <c r="A148" s="249" t="n"/>
      <c r="B148" s="249" t="n"/>
      <c r="C148" s="249" t="n"/>
      <c r="D148" s="249" t="n"/>
      <c r="E148" s="249" t="n"/>
      <c r="F148" s="249" t="n"/>
      <c r="G148" s="249" t="n"/>
      <c r="H148" s="249" t="n"/>
      <c r="I148" s="249" t="n"/>
      <c r="J148" s="249" t="n"/>
      <c r="K148" s="249" t="n"/>
      <c r="L148" s="249" t="n"/>
      <c r="M148" s="249" t="n"/>
    </row>
    <row r="149" ht="13" customHeight="1" s="250">
      <c r="A149" s="249" t="n"/>
      <c r="B149" s="249" t="n"/>
      <c r="C149" s="249" t="n"/>
      <c r="D149" s="249" t="n"/>
      <c r="E149" s="249" t="n"/>
      <c r="F149" s="249" t="n"/>
      <c r="G149" s="249" t="n"/>
      <c r="H149" s="249" t="n"/>
      <c r="I149" s="249" t="n"/>
      <c r="J149" s="249" t="n"/>
      <c r="K149" s="249" t="n"/>
      <c r="L149" s="249" t="n"/>
      <c r="M149" s="249" t="n"/>
    </row>
    <row r="150" ht="13" customHeight="1" s="250">
      <c r="A150" s="249" t="n"/>
      <c r="B150" s="249" t="n"/>
      <c r="C150" s="249" t="n"/>
      <c r="D150" s="249" t="n"/>
      <c r="E150" s="249" t="n"/>
      <c r="F150" s="249" t="n"/>
      <c r="G150" s="249" t="n"/>
      <c r="H150" s="249" t="n"/>
      <c r="I150" s="249" t="n"/>
      <c r="J150" s="249" t="n"/>
      <c r="K150" s="249" t="n"/>
      <c r="L150" s="249" t="n"/>
      <c r="M150" s="249" t="n"/>
    </row>
    <row r="151" ht="13" customHeight="1" s="250">
      <c r="A151" s="249" t="n"/>
      <c r="B151" s="249" t="n"/>
      <c r="C151" s="249" t="n"/>
      <c r="D151" s="249" t="n"/>
      <c r="E151" s="249" t="n"/>
      <c r="F151" s="249" t="n"/>
      <c r="G151" s="249" t="n"/>
      <c r="H151" s="249" t="n"/>
      <c r="I151" s="249" t="n"/>
      <c r="J151" s="249" t="n"/>
      <c r="K151" s="249" t="n"/>
      <c r="L151" s="249" t="n"/>
      <c r="M151" s="249" t="n"/>
    </row>
    <row r="152" ht="13" customHeight="1" s="250">
      <c r="A152" s="249" t="n"/>
      <c r="B152" s="249" t="n"/>
      <c r="C152" s="249" t="n"/>
      <c r="D152" s="249" t="n"/>
      <c r="E152" s="249" t="n"/>
      <c r="F152" s="249" t="n"/>
      <c r="G152" s="249" t="n"/>
      <c r="H152" s="249" t="n"/>
      <c r="I152" s="249" t="n"/>
      <c r="J152" s="249" t="n"/>
      <c r="K152" s="249" t="n"/>
      <c r="L152" s="249" t="n"/>
      <c r="M152" s="249" t="n"/>
    </row>
    <row r="153" ht="13" customHeight="1" s="250">
      <c r="A153" s="249" t="n"/>
      <c r="B153" s="249" t="n"/>
      <c r="C153" s="249" t="n"/>
      <c r="D153" s="249" t="n"/>
      <c r="E153" s="249" t="n"/>
      <c r="F153" s="249" t="n"/>
      <c r="G153" s="249" t="n"/>
      <c r="H153" s="249" t="n"/>
      <c r="I153" s="249" t="n"/>
      <c r="J153" s="249" t="n"/>
      <c r="K153" s="249" t="n"/>
      <c r="L153" s="249" t="n"/>
      <c r="M153" s="249" t="n"/>
    </row>
    <row r="154" ht="13" customHeight="1" s="250">
      <c r="A154" s="249" t="n"/>
      <c r="B154" s="249" t="n"/>
      <c r="C154" s="249" t="n"/>
      <c r="D154" s="249" t="n"/>
      <c r="E154" s="249" t="n"/>
      <c r="F154" s="249" t="n"/>
      <c r="G154" s="249" t="n"/>
      <c r="H154" s="249" t="n"/>
      <c r="I154" s="249" t="n"/>
      <c r="J154" s="249" t="n"/>
      <c r="K154" s="249" t="n"/>
      <c r="L154" s="249" t="n"/>
      <c r="M154" s="249" t="n"/>
    </row>
    <row r="155" ht="13" customHeight="1" s="250">
      <c r="A155" s="249" t="n"/>
      <c r="B155" s="249" t="n"/>
      <c r="C155" s="249" t="n"/>
      <c r="D155" s="249" t="n"/>
      <c r="E155" s="249" t="n"/>
      <c r="F155" s="249" t="n"/>
      <c r="G155" s="249" t="n"/>
      <c r="H155" s="249" t="n"/>
      <c r="I155" s="249" t="n"/>
      <c r="J155" s="249" t="n"/>
      <c r="K155" s="249" t="n"/>
      <c r="L155" s="249" t="n"/>
      <c r="M155" s="249" t="n"/>
    </row>
    <row r="156" ht="13" customHeight="1" s="250">
      <c r="A156" s="249" t="n"/>
      <c r="B156" s="249" t="n"/>
      <c r="C156" s="249" t="n"/>
      <c r="D156" s="249" t="n"/>
      <c r="E156" s="249" t="n"/>
      <c r="F156" s="249" t="n"/>
      <c r="G156" s="249" t="n"/>
      <c r="H156" s="249" t="n"/>
      <c r="I156" s="249" t="n"/>
      <c r="J156" s="249" t="n"/>
      <c r="K156" s="249" t="n"/>
      <c r="L156" s="249" t="n"/>
      <c r="M156" s="249" t="n"/>
    </row>
    <row r="157" ht="13" customHeight="1" s="250">
      <c r="A157" s="249" t="n"/>
      <c r="B157" s="249" t="n"/>
      <c r="C157" s="249" t="n"/>
      <c r="D157" s="249" t="n"/>
      <c r="E157" s="249" t="n"/>
      <c r="F157" s="249" t="n"/>
      <c r="G157" s="249" t="n"/>
      <c r="H157" s="249" t="n"/>
      <c r="I157" s="249" t="n"/>
      <c r="J157" s="249" t="n"/>
      <c r="K157" s="249" t="n"/>
      <c r="L157" s="249" t="n"/>
      <c r="M157" s="249" t="n"/>
    </row>
    <row r="158" ht="13" customHeight="1" s="250">
      <c r="A158" s="249" t="n"/>
      <c r="B158" s="249" t="n"/>
      <c r="C158" s="249" t="n"/>
      <c r="D158" s="249" t="n"/>
      <c r="E158" s="249" t="n"/>
      <c r="F158" s="249" t="n"/>
      <c r="G158" s="249" t="n"/>
      <c r="H158" s="249" t="n"/>
      <c r="I158" s="249" t="n"/>
      <c r="J158" s="249" t="n"/>
      <c r="K158" s="249" t="n"/>
      <c r="L158" s="249" t="n"/>
      <c r="M158" s="249" t="n"/>
    </row>
    <row r="159" ht="13" customHeight="1" s="250">
      <c r="A159" s="249" t="n"/>
      <c r="B159" s="249" t="n"/>
      <c r="C159" s="249" t="n"/>
      <c r="D159" s="249" t="n"/>
      <c r="E159" s="249" t="n"/>
      <c r="F159" s="249" t="n"/>
      <c r="G159" s="249" t="n"/>
      <c r="H159" s="249" t="n"/>
      <c r="I159" s="249" t="n"/>
      <c r="J159" s="249" t="n"/>
      <c r="K159" s="249" t="n"/>
      <c r="L159" s="249" t="n"/>
      <c r="M159" s="249" t="n"/>
    </row>
    <row r="160" ht="13" customHeight="1" s="250">
      <c r="A160" s="249" t="n"/>
      <c r="B160" s="249" t="n"/>
      <c r="C160" s="249" t="n"/>
      <c r="D160" s="249" t="n"/>
      <c r="E160" s="249" t="n"/>
      <c r="F160" s="249" t="n"/>
      <c r="G160" s="249" t="n"/>
      <c r="H160" s="249" t="n"/>
      <c r="I160" s="249" t="n"/>
      <c r="J160" s="249" t="n"/>
      <c r="K160" s="249" t="n"/>
      <c r="L160" s="249" t="n"/>
      <c r="M160" s="249" t="n"/>
    </row>
    <row r="161" ht="13" customHeight="1" s="250">
      <c r="A161" s="249" t="n"/>
      <c r="B161" s="249" t="n"/>
      <c r="C161" s="249" t="n"/>
      <c r="D161" s="249" t="n"/>
      <c r="E161" s="249" t="n"/>
      <c r="F161" s="249" t="n"/>
      <c r="G161" s="249" t="n"/>
      <c r="H161" s="249" t="n"/>
      <c r="I161" s="249" t="n"/>
      <c r="J161" s="249" t="n"/>
      <c r="K161" s="249" t="n"/>
      <c r="L161" s="249" t="n"/>
      <c r="M161" s="249" t="n"/>
    </row>
    <row r="162" ht="13" customHeight="1" s="250">
      <c r="A162" s="249" t="n"/>
      <c r="B162" s="249" t="n"/>
      <c r="C162" s="249" t="n"/>
      <c r="D162" s="249" t="n"/>
      <c r="E162" s="249" t="n"/>
      <c r="F162" s="249" t="n"/>
      <c r="G162" s="249" t="n"/>
      <c r="H162" s="249" t="n"/>
      <c r="I162" s="249" t="n"/>
      <c r="J162" s="249" t="n"/>
      <c r="K162" s="249" t="n"/>
      <c r="L162" s="249" t="n"/>
      <c r="M162" s="249" t="n"/>
    </row>
    <row r="163" ht="13" customHeight="1" s="250">
      <c r="A163" s="249" t="n"/>
      <c r="B163" s="249" t="n"/>
      <c r="C163" s="249" t="n"/>
      <c r="D163" s="249" t="n"/>
      <c r="E163" s="249" t="n"/>
      <c r="F163" s="249" t="n"/>
      <c r="G163" s="249" t="n"/>
      <c r="H163" s="249" t="n"/>
      <c r="I163" s="249" t="n"/>
      <c r="J163" s="249" t="n"/>
      <c r="K163" s="249" t="n"/>
      <c r="L163" s="249" t="n"/>
      <c r="M163" s="249" t="n"/>
    </row>
    <row r="164" ht="13" customHeight="1" s="250">
      <c r="A164" s="249" t="n"/>
      <c r="B164" s="249" t="n"/>
      <c r="C164" s="249" t="n"/>
      <c r="D164" s="249" t="n"/>
      <c r="E164" s="249" t="n"/>
      <c r="F164" s="249" t="n"/>
      <c r="G164" s="249" t="n"/>
      <c r="H164" s="249" t="n"/>
      <c r="I164" s="249" t="n"/>
      <c r="J164" s="249" t="n"/>
      <c r="K164" s="249" t="n"/>
      <c r="L164" s="249" t="n"/>
      <c r="M164" s="249" t="n"/>
    </row>
    <row r="165" ht="13" customHeight="1" s="250">
      <c r="A165" s="249" t="n"/>
      <c r="B165" s="249" t="n"/>
      <c r="C165" s="249" t="n"/>
      <c r="D165" s="249" t="n"/>
      <c r="E165" s="249" t="n"/>
      <c r="F165" s="249" t="n"/>
      <c r="G165" s="249" t="n"/>
      <c r="H165" s="249" t="n"/>
      <c r="I165" s="249" t="n"/>
      <c r="J165" s="249" t="n"/>
      <c r="K165" s="249" t="n"/>
      <c r="L165" s="249" t="n"/>
      <c r="M165" s="249" t="n"/>
    </row>
    <row r="166" ht="13" customHeight="1" s="250">
      <c r="A166" s="249" t="n"/>
      <c r="B166" s="249" t="n"/>
      <c r="C166" s="249" t="n"/>
      <c r="D166" s="249" t="n"/>
      <c r="E166" s="249" t="n"/>
      <c r="F166" s="249" t="n"/>
      <c r="G166" s="249" t="n"/>
      <c r="H166" s="249" t="n"/>
      <c r="I166" s="249" t="n"/>
      <c r="J166" s="249" t="n"/>
      <c r="K166" s="249" t="n"/>
      <c r="L166" s="249" t="n"/>
      <c r="M166" s="249" t="n"/>
    </row>
    <row r="167" ht="13" customHeight="1" s="250">
      <c r="A167" s="249" t="n"/>
      <c r="B167" s="249" t="n"/>
      <c r="C167" s="249" t="n"/>
      <c r="D167" s="249" t="n"/>
      <c r="E167" s="249" t="n"/>
      <c r="F167" s="249" t="n"/>
      <c r="G167" s="249" t="n"/>
      <c r="H167" s="249" t="n"/>
      <c r="I167" s="249" t="n"/>
      <c r="J167" s="249" t="n"/>
      <c r="K167" s="249" t="n"/>
      <c r="L167" s="249" t="n"/>
      <c r="M167" s="249" t="n"/>
    </row>
    <row r="168" ht="13" customHeight="1" s="250">
      <c r="A168" s="249" t="n"/>
      <c r="B168" s="249" t="n"/>
      <c r="C168" s="249" t="n"/>
      <c r="D168" s="249" t="n"/>
      <c r="E168" s="249" t="n"/>
      <c r="F168" s="249" t="n"/>
      <c r="G168" s="249" t="n"/>
      <c r="H168" s="249" t="n"/>
      <c r="I168" s="249" t="n"/>
      <c r="J168" s="249" t="n"/>
      <c r="K168" s="249" t="n"/>
      <c r="L168" s="249" t="n"/>
      <c r="M168" s="249" t="n"/>
    </row>
    <row r="169" ht="13" customHeight="1" s="250">
      <c r="A169" s="249" t="n"/>
      <c r="B169" s="249" t="n"/>
      <c r="C169" s="249" t="n"/>
      <c r="D169" s="249" t="n"/>
      <c r="E169" s="249" t="n"/>
      <c r="F169" s="249" t="n"/>
      <c r="G169" s="249" t="n"/>
      <c r="H169" s="249" t="n"/>
      <c r="I169" s="249" t="n"/>
      <c r="J169" s="249" t="n"/>
      <c r="K169" s="249" t="n"/>
      <c r="L169" s="249" t="n"/>
      <c r="M169" s="249" t="n"/>
    </row>
    <row r="170" ht="13" customHeight="1" s="250">
      <c r="A170" s="249" t="n"/>
      <c r="B170" s="249" t="n"/>
      <c r="C170" s="249" t="n"/>
      <c r="D170" s="249" t="n"/>
      <c r="E170" s="249" t="n"/>
      <c r="F170" s="249" t="n"/>
      <c r="G170" s="249" t="n"/>
      <c r="H170" s="249" t="n"/>
      <c r="I170" s="249" t="n"/>
      <c r="J170" s="249" t="n"/>
      <c r="K170" s="249" t="n"/>
      <c r="L170" s="249" t="n"/>
      <c r="M170" s="249" t="n"/>
    </row>
    <row r="171" ht="13" customHeight="1" s="250">
      <c r="A171" s="249" t="n"/>
      <c r="B171" s="249" t="n"/>
      <c r="C171" s="249" t="n"/>
      <c r="D171" s="249" t="n"/>
      <c r="E171" s="249" t="n"/>
      <c r="F171" s="249" t="n"/>
      <c r="G171" s="249" t="n"/>
      <c r="H171" s="249" t="n"/>
      <c r="I171" s="249" t="n"/>
      <c r="J171" s="249" t="n"/>
      <c r="K171" s="249" t="n"/>
      <c r="L171" s="249" t="n"/>
      <c r="M171" s="249" t="n"/>
    </row>
    <row r="172" ht="13" customHeight="1" s="250">
      <c r="A172" s="249" t="n"/>
      <c r="B172" s="249" t="n"/>
      <c r="C172" s="249" t="n"/>
      <c r="D172" s="249" t="n"/>
      <c r="E172" s="249" t="n"/>
      <c r="F172" s="249" t="n"/>
      <c r="G172" s="249" t="n"/>
      <c r="H172" s="249" t="n"/>
      <c r="I172" s="249" t="n"/>
      <c r="J172" s="249" t="n"/>
      <c r="K172" s="249" t="n"/>
      <c r="L172" s="249" t="n"/>
      <c r="M172" s="249" t="n"/>
    </row>
    <row r="173" ht="13" customHeight="1" s="250">
      <c r="A173" s="249" t="n"/>
      <c r="B173" s="249" t="n"/>
      <c r="C173" s="249" t="n"/>
      <c r="D173" s="249" t="n"/>
      <c r="E173" s="249" t="n"/>
      <c r="F173" s="249" t="n"/>
      <c r="G173" s="249" t="n"/>
      <c r="H173" s="249" t="n"/>
      <c r="I173" s="249" t="n"/>
      <c r="J173" s="249" t="n"/>
      <c r="K173" s="249" t="n"/>
      <c r="L173" s="249" t="n"/>
      <c r="M173" s="249" t="n"/>
    </row>
    <row r="174" ht="13" customHeight="1" s="250">
      <c r="A174" s="249" t="n"/>
      <c r="B174" s="249" t="n"/>
      <c r="C174" s="249" t="n"/>
      <c r="D174" s="249" t="n"/>
      <c r="E174" s="249" t="n"/>
      <c r="F174" s="249" t="n"/>
      <c r="G174" s="249" t="n"/>
      <c r="H174" s="249" t="n"/>
      <c r="I174" s="249" t="n"/>
      <c r="J174" s="249" t="n"/>
      <c r="K174" s="249" t="n"/>
      <c r="L174" s="249" t="n"/>
      <c r="M174" s="249" t="n"/>
    </row>
    <row r="175" ht="13" customHeight="1" s="250">
      <c r="A175" s="249" t="n"/>
      <c r="B175" s="249" t="n"/>
      <c r="C175" s="249" t="n"/>
      <c r="D175" s="249" t="n"/>
      <c r="E175" s="249" t="n"/>
      <c r="F175" s="249" t="n"/>
      <c r="G175" s="249" t="n"/>
      <c r="H175" s="249" t="n"/>
      <c r="I175" s="249" t="n"/>
      <c r="J175" s="249" t="n"/>
      <c r="K175" s="249" t="n"/>
      <c r="L175" s="249" t="n"/>
      <c r="M175" s="249" t="n"/>
    </row>
    <row r="176" ht="13" customHeight="1" s="250">
      <c r="A176" s="249" t="n"/>
      <c r="B176" s="249" t="n"/>
      <c r="C176" s="249" t="n"/>
      <c r="D176" s="249" t="n"/>
      <c r="E176" s="249" t="n"/>
      <c r="F176" s="249" t="n"/>
      <c r="G176" s="249" t="n"/>
      <c r="H176" s="249" t="n"/>
      <c r="I176" s="249" t="n"/>
      <c r="J176" s="249" t="n"/>
      <c r="K176" s="249" t="n"/>
      <c r="L176" s="249" t="n"/>
      <c r="M176" s="249" t="n"/>
    </row>
    <row r="177" ht="13" customHeight="1" s="250">
      <c r="A177" s="249" t="n"/>
      <c r="B177" s="249" t="n"/>
      <c r="C177" s="249" t="n"/>
      <c r="D177" s="249" t="n"/>
      <c r="E177" s="249" t="n"/>
      <c r="F177" s="249" t="n"/>
      <c r="G177" s="249" t="n"/>
      <c r="H177" s="249" t="n"/>
      <c r="I177" s="249" t="n"/>
      <c r="J177" s="249" t="n"/>
      <c r="K177" s="249" t="n"/>
      <c r="L177" s="249" t="n"/>
      <c r="M177" s="249" t="n"/>
    </row>
    <row r="178" ht="13" customHeight="1" s="250">
      <c r="A178" s="249" t="n"/>
      <c r="B178" s="249" t="n"/>
      <c r="C178" s="249" t="n"/>
      <c r="D178" s="249" t="n"/>
      <c r="E178" s="249" t="n"/>
      <c r="F178" s="249" t="n"/>
      <c r="G178" s="249" t="n"/>
      <c r="H178" s="249" t="n"/>
      <c r="I178" s="249" t="n"/>
      <c r="J178" s="249" t="n"/>
      <c r="K178" s="249" t="n"/>
      <c r="L178" s="249" t="n"/>
      <c r="M178" s="249" t="n"/>
    </row>
    <row r="179" ht="13" customHeight="1" s="250">
      <c r="A179" s="249" t="n"/>
      <c r="B179" s="249" t="n"/>
      <c r="C179" s="249" t="n"/>
      <c r="D179" s="249" t="n"/>
      <c r="E179" s="249" t="n"/>
      <c r="F179" s="249" t="n"/>
      <c r="G179" s="249" t="n"/>
      <c r="H179" s="249" t="n"/>
      <c r="I179" s="249" t="n"/>
      <c r="J179" s="249" t="n"/>
      <c r="K179" s="249" t="n"/>
      <c r="L179" s="249" t="n"/>
      <c r="M179" s="249" t="n"/>
    </row>
    <row r="180" ht="13" customHeight="1" s="250">
      <c r="A180" s="249" t="n"/>
      <c r="B180" s="249" t="n"/>
      <c r="C180" s="249" t="n"/>
      <c r="D180" s="249" t="n"/>
      <c r="E180" s="249" t="n"/>
      <c r="F180" s="249" t="n"/>
      <c r="G180" s="249" t="n"/>
      <c r="H180" s="249" t="n"/>
      <c r="I180" s="249" t="n"/>
      <c r="J180" s="249" t="n"/>
      <c r="K180" s="249" t="n"/>
      <c r="L180" s="249" t="n"/>
      <c r="M180" s="249" t="n"/>
    </row>
    <row r="181" ht="13" customHeight="1" s="250">
      <c r="A181" s="249" t="n"/>
      <c r="B181" s="249" t="n"/>
      <c r="C181" s="249" t="n"/>
      <c r="D181" s="249" t="n"/>
      <c r="E181" s="249" t="n"/>
      <c r="F181" s="249" t="n"/>
      <c r="G181" s="249" t="n"/>
      <c r="H181" s="249" t="n"/>
      <c r="I181" s="249" t="n"/>
      <c r="J181" s="249" t="n"/>
      <c r="K181" s="249" t="n"/>
      <c r="L181" s="249" t="n"/>
      <c r="M181" s="249" t="n"/>
    </row>
    <row r="182" ht="13" customHeight="1" s="250">
      <c r="A182" s="249" t="n"/>
      <c r="B182" s="249" t="n"/>
      <c r="C182" s="249" t="n"/>
      <c r="D182" s="249" t="n"/>
      <c r="E182" s="249" t="n"/>
      <c r="F182" s="249" t="n"/>
      <c r="G182" s="249" t="n"/>
      <c r="H182" s="249" t="n"/>
      <c r="I182" s="249" t="n"/>
      <c r="J182" s="249" t="n"/>
      <c r="K182" s="249" t="n"/>
      <c r="L182" s="249" t="n"/>
      <c r="M182" s="249" t="n"/>
    </row>
    <row r="183" ht="13" customHeight="1" s="250">
      <c r="A183" s="249" t="n"/>
      <c r="B183" s="249" t="n"/>
      <c r="C183" s="249" t="n"/>
      <c r="D183" s="249" t="n"/>
      <c r="E183" s="249" t="n"/>
      <c r="F183" s="249" t="n"/>
      <c r="G183" s="249" t="n"/>
      <c r="H183" s="249" t="n"/>
      <c r="I183" s="249" t="n"/>
      <c r="J183" s="249" t="n"/>
      <c r="K183" s="249" t="n"/>
      <c r="L183" s="249" t="n"/>
      <c r="M183" s="249" t="n"/>
    </row>
    <row r="184" ht="13" customHeight="1" s="250">
      <c r="A184" s="249" t="n"/>
      <c r="B184" s="249" t="n"/>
      <c r="C184" s="249" t="n"/>
      <c r="D184" s="249" t="n"/>
      <c r="E184" s="249" t="n"/>
      <c r="F184" s="249" t="n"/>
      <c r="G184" s="249" t="n"/>
      <c r="H184" s="249" t="n"/>
      <c r="I184" s="249" t="n"/>
      <c r="J184" s="249" t="n"/>
      <c r="K184" s="249" t="n"/>
      <c r="L184" s="249" t="n"/>
      <c r="M184" s="249" t="n"/>
    </row>
    <row r="185" ht="13" customHeight="1" s="250">
      <c r="A185" s="249" t="n"/>
      <c r="B185" s="249" t="n"/>
      <c r="C185" s="249" t="n"/>
      <c r="D185" s="249" t="n"/>
      <c r="E185" s="249" t="n"/>
      <c r="F185" s="249" t="n"/>
      <c r="G185" s="249" t="n"/>
      <c r="H185" s="249" t="n"/>
      <c r="I185" s="249" t="n"/>
      <c r="J185" s="249" t="n"/>
      <c r="K185" s="249" t="n"/>
      <c r="L185" s="249" t="n"/>
      <c r="M185" s="249" t="n"/>
    </row>
    <row r="186" ht="13" customHeight="1" s="250">
      <c r="A186" s="249" t="n"/>
      <c r="B186" s="249" t="n"/>
      <c r="C186" s="249" t="n"/>
      <c r="D186" s="249" t="n"/>
      <c r="E186" s="249" t="n"/>
      <c r="F186" s="249" t="n"/>
      <c r="G186" s="249" t="n"/>
      <c r="H186" s="249" t="n"/>
      <c r="I186" s="249" t="n"/>
      <c r="J186" s="249" t="n"/>
      <c r="K186" s="249" t="n"/>
      <c r="L186" s="249" t="n"/>
      <c r="M186" s="249" t="n"/>
    </row>
    <row r="187" ht="13" customHeight="1" s="250">
      <c r="A187" s="249" t="n"/>
      <c r="B187" s="249" t="n"/>
      <c r="C187" s="249" t="n"/>
      <c r="D187" s="249" t="n"/>
      <c r="E187" s="249" t="n"/>
      <c r="F187" s="249" t="n"/>
      <c r="G187" s="249" t="n"/>
      <c r="H187" s="249" t="n"/>
      <c r="I187" s="249" t="n"/>
      <c r="J187" s="249" t="n"/>
      <c r="K187" s="249" t="n"/>
      <c r="L187" s="249" t="n"/>
      <c r="M187" s="249" t="n"/>
    </row>
    <row r="188" ht="13" customHeight="1" s="250">
      <c r="A188" s="249" t="n"/>
      <c r="B188" s="249" t="n"/>
      <c r="C188" s="249" t="n"/>
      <c r="D188" s="249" t="n"/>
      <c r="E188" s="249" t="n"/>
      <c r="F188" s="249" t="n"/>
      <c r="G188" s="249" t="n"/>
      <c r="H188" s="249" t="n"/>
      <c r="I188" s="249" t="n"/>
      <c r="J188" s="249" t="n"/>
      <c r="K188" s="249" t="n"/>
      <c r="L188" s="249" t="n"/>
      <c r="M188" s="249" t="n"/>
    </row>
    <row r="189" ht="13" customHeight="1" s="250">
      <c r="A189" s="249" t="n"/>
      <c r="B189" s="249" t="n"/>
      <c r="C189" s="249" t="n"/>
      <c r="D189" s="249" t="n"/>
      <c r="E189" s="249" t="n"/>
      <c r="F189" s="249" t="n"/>
      <c r="G189" s="249" t="n"/>
      <c r="H189" s="249" t="n"/>
      <c r="I189" s="249" t="n"/>
      <c r="J189" s="249" t="n"/>
      <c r="K189" s="249" t="n"/>
      <c r="L189" s="249" t="n"/>
      <c r="M189" s="249" t="n"/>
    </row>
    <row r="190" ht="13" customHeight="1" s="250">
      <c r="A190" s="249" t="n"/>
      <c r="B190" s="249" t="n"/>
      <c r="C190" s="249" t="n"/>
      <c r="D190" s="249" t="n"/>
      <c r="E190" s="249" t="n"/>
      <c r="F190" s="249" t="n"/>
      <c r="G190" s="249" t="n"/>
      <c r="H190" s="249" t="n"/>
      <c r="I190" s="249" t="n"/>
      <c r="J190" s="249" t="n"/>
      <c r="K190" s="249" t="n"/>
      <c r="L190" s="249" t="n"/>
      <c r="M190" s="249" t="n"/>
    </row>
    <row r="191" ht="13" customHeight="1" s="250">
      <c r="A191" s="249" t="n"/>
      <c r="B191" s="249" t="n"/>
      <c r="C191" s="249" t="n"/>
      <c r="D191" s="249" t="n"/>
      <c r="E191" s="249" t="n"/>
      <c r="F191" s="249" t="n"/>
      <c r="G191" s="249" t="n"/>
      <c r="H191" s="249" t="n"/>
      <c r="I191" s="249" t="n"/>
      <c r="J191" s="249" t="n"/>
      <c r="K191" s="249" t="n"/>
      <c r="L191" s="249" t="n"/>
      <c r="M191" s="249" t="n"/>
    </row>
    <row r="192" ht="13" customHeight="1" s="250">
      <c r="A192" s="249" t="n"/>
      <c r="B192" s="249" t="n"/>
      <c r="C192" s="249" t="n"/>
      <c r="D192" s="249" t="n"/>
      <c r="E192" s="249" t="n"/>
      <c r="F192" s="249" t="n"/>
      <c r="G192" s="249" t="n"/>
      <c r="H192" s="249" t="n"/>
      <c r="I192" s="249" t="n"/>
      <c r="J192" s="249" t="n"/>
      <c r="K192" s="249" t="n"/>
      <c r="L192" s="249" t="n"/>
      <c r="M192" s="249" t="n"/>
    </row>
    <row r="193" ht="13" customHeight="1" s="250">
      <c r="A193" s="249" t="n"/>
      <c r="B193" s="249" t="n"/>
      <c r="C193" s="249" t="n"/>
      <c r="D193" s="249" t="n"/>
      <c r="E193" s="249" t="n"/>
      <c r="F193" s="249" t="n"/>
      <c r="G193" s="249" t="n"/>
      <c r="H193" s="249" t="n"/>
      <c r="I193" s="249" t="n"/>
      <c r="J193" s="249" t="n"/>
      <c r="K193" s="249" t="n"/>
      <c r="L193" s="249" t="n"/>
      <c r="M193" s="249" t="n"/>
    </row>
    <row r="194" ht="13" customHeight="1" s="250">
      <c r="A194" s="249" t="n"/>
      <c r="B194" s="249" t="n"/>
      <c r="C194" s="249" t="n"/>
      <c r="D194" s="249" t="n"/>
      <c r="E194" s="249" t="n"/>
      <c r="F194" s="249" t="n"/>
      <c r="G194" s="249" t="n"/>
      <c r="H194" s="249" t="n"/>
      <c r="I194" s="249" t="n"/>
      <c r="J194" s="249" t="n"/>
      <c r="K194" s="249" t="n"/>
      <c r="L194" s="249" t="n"/>
      <c r="M194" s="249" t="n"/>
    </row>
    <row r="195" ht="13" customHeight="1" s="250">
      <c r="A195" s="249" t="n"/>
      <c r="B195" s="249" t="n"/>
      <c r="C195" s="249" t="n"/>
      <c r="D195" s="249" t="n"/>
      <c r="E195" s="249" t="n"/>
      <c r="F195" s="249" t="n"/>
      <c r="G195" s="249" t="n"/>
      <c r="H195" s="249" t="n"/>
      <c r="I195" s="249" t="n"/>
      <c r="J195" s="249" t="n"/>
      <c r="K195" s="249" t="n"/>
      <c r="L195" s="249" t="n"/>
      <c r="M195" s="249" t="n"/>
    </row>
    <row r="196" ht="13" customHeight="1" s="250">
      <c r="A196" s="249" t="n"/>
      <c r="B196" s="249" t="n"/>
      <c r="C196" s="249" t="n"/>
      <c r="D196" s="249" t="n"/>
      <c r="E196" s="249" t="n"/>
      <c r="F196" s="249" t="n"/>
      <c r="G196" s="249" t="n"/>
      <c r="H196" s="249" t="n"/>
      <c r="I196" s="249" t="n"/>
      <c r="J196" s="249" t="n"/>
      <c r="K196" s="249" t="n"/>
      <c r="L196" s="249" t="n"/>
      <c r="M196" s="249" t="n"/>
    </row>
    <row r="197" ht="13" customHeight="1" s="250">
      <c r="A197" s="249" t="n"/>
      <c r="B197" s="249" t="n"/>
      <c r="C197" s="249" t="n"/>
      <c r="D197" s="249" t="n"/>
      <c r="E197" s="249" t="n"/>
      <c r="F197" s="249" t="n"/>
      <c r="G197" s="249" t="n"/>
      <c r="H197" s="249" t="n"/>
      <c r="I197" s="249" t="n"/>
      <c r="J197" s="249" t="n"/>
      <c r="K197" s="249" t="n"/>
      <c r="L197" s="249" t="n"/>
      <c r="M197" s="249" t="n"/>
    </row>
    <row r="198" ht="13" customHeight="1" s="250">
      <c r="A198" s="249" t="n"/>
      <c r="B198" s="249" t="n"/>
      <c r="C198" s="249" t="n"/>
      <c r="D198" s="249" t="n"/>
      <c r="E198" s="249" t="n"/>
      <c r="F198" s="249" t="n"/>
      <c r="G198" s="249" t="n"/>
      <c r="H198" s="249" t="n"/>
      <c r="I198" s="249" t="n"/>
      <c r="J198" s="249" t="n"/>
      <c r="K198" s="249" t="n"/>
      <c r="L198" s="249" t="n"/>
      <c r="M198" s="249" t="n"/>
    </row>
    <row r="199" ht="13" customHeight="1" s="250">
      <c r="A199" s="249" t="n"/>
      <c r="B199" s="249" t="n"/>
      <c r="C199" s="249" t="n"/>
      <c r="D199" s="249" t="n"/>
      <c r="E199" s="249" t="n"/>
      <c r="F199" s="249" t="n"/>
      <c r="G199" s="249" t="n"/>
      <c r="H199" s="249" t="n"/>
      <c r="I199" s="249" t="n"/>
      <c r="J199" s="249" t="n"/>
      <c r="K199" s="249" t="n"/>
      <c r="L199" s="249" t="n"/>
      <c r="M199" s="249" t="n"/>
    </row>
    <row r="200" ht="13" customHeight="1" s="250">
      <c r="A200" s="249" t="n"/>
      <c r="B200" s="249" t="n"/>
      <c r="C200" s="249" t="n"/>
      <c r="D200" s="249" t="n"/>
      <c r="E200" s="249" t="n"/>
      <c r="F200" s="249" t="n"/>
      <c r="G200" s="249" t="n"/>
      <c r="H200" s="249" t="n"/>
      <c r="I200" s="249" t="n"/>
      <c r="J200" s="249" t="n"/>
      <c r="K200" s="249" t="n"/>
      <c r="L200" s="249" t="n"/>
      <c r="M200" s="249" t="n"/>
    </row>
    <row r="201" ht="13" customHeight="1" s="250">
      <c r="A201" s="249" t="n"/>
      <c r="B201" s="249" t="n"/>
      <c r="C201" s="249" t="n"/>
      <c r="D201" s="249" t="n"/>
      <c r="E201" s="249" t="n"/>
      <c r="F201" s="249" t="n"/>
      <c r="G201" s="249" t="n"/>
      <c r="H201" s="249" t="n"/>
      <c r="I201" s="249" t="n"/>
      <c r="J201" s="249" t="n"/>
      <c r="K201" s="249" t="n"/>
      <c r="L201" s="249" t="n"/>
      <c r="M201" s="249" t="n"/>
    </row>
    <row r="202" ht="13" customHeight="1" s="250">
      <c r="A202" s="249" t="n"/>
      <c r="B202" s="249" t="n"/>
      <c r="C202" s="249" t="n"/>
      <c r="D202" s="249" t="n"/>
      <c r="E202" s="249" t="n"/>
      <c r="F202" s="249" t="n"/>
      <c r="G202" s="249" t="n"/>
      <c r="H202" s="249" t="n"/>
      <c r="I202" s="249" t="n"/>
      <c r="J202" s="249" t="n"/>
      <c r="K202" s="249" t="n"/>
      <c r="L202" s="249" t="n"/>
      <c r="M202" s="249" t="n"/>
    </row>
    <row r="203" ht="13" customHeight="1" s="250">
      <c r="A203" s="249" t="n"/>
      <c r="B203" s="249" t="n"/>
      <c r="C203" s="249" t="n"/>
      <c r="D203" s="249" t="n"/>
      <c r="E203" s="249" t="n"/>
      <c r="F203" s="249" t="n"/>
      <c r="G203" s="249" t="n"/>
      <c r="H203" s="249" t="n"/>
      <c r="I203" s="249" t="n"/>
      <c r="J203" s="249" t="n"/>
      <c r="K203" s="249" t="n"/>
      <c r="L203" s="249" t="n"/>
      <c r="M203" s="249" t="n"/>
    </row>
    <row r="204" ht="13" customHeight="1" s="250">
      <c r="A204" s="249" t="n"/>
      <c r="B204" s="249" t="n"/>
      <c r="C204" s="249" t="n"/>
      <c r="D204" s="249" t="n"/>
      <c r="E204" s="249" t="n"/>
      <c r="F204" s="249" t="n"/>
      <c r="G204" s="249" t="n"/>
      <c r="H204" s="249" t="n"/>
      <c r="I204" s="249" t="n"/>
      <c r="J204" s="249" t="n"/>
      <c r="K204" s="249" t="n"/>
      <c r="L204" s="249" t="n"/>
      <c r="M204" s="249" t="n"/>
    </row>
    <row r="205" ht="13" customHeight="1" s="250">
      <c r="A205" s="249" t="n"/>
      <c r="B205" s="249" t="n"/>
      <c r="C205" s="249" t="n"/>
      <c r="D205" s="249" t="n"/>
      <c r="E205" s="249" t="n"/>
      <c r="F205" s="249" t="n"/>
      <c r="G205" s="249" t="n"/>
      <c r="H205" s="249" t="n"/>
      <c r="I205" s="249" t="n"/>
      <c r="J205" s="249" t="n"/>
      <c r="K205" s="249" t="n"/>
      <c r="L205" s="249" t="n"/>
      <c r="M205" s="249" t="n"/>
    </row>
    <row r="206" ht="13" customHeight="1" s="250">
      <c r="A206" s="249" t="n"/>
      <c r="B206" s="249" t="n"/>
      <c r="C206" s="249" t="n"/>
      <c r="D206" s="249" t="n"/>
      <c r="E206" s="249" t="n"/>
      <c r="F206" s="249" t="n"/>
      <c r="G206" s="249" t="n"/>
      <c r="H206" s="249" t="n"/>
      <c r="I206" s="249" t="n"/>
      <c r="J206" s="249" t="n"/>
      <c r="K206" s="249" t="n"/>
      <c r="L206" s="249" t="n"/>
      <c r="M206" s="249" t="n"/>
    </row>
    <row r="207" ht="13" customHeight="1" s="250">
      <c r="A207" s="249" t="n"/>
      <c r="B207" s="249" t="n"/>
      <c r="C207" s="249" t="n"/>
      <c r="D207" s="249" t="n"/>
      <c r="E207" s="249" t="n"/>
      <c r="F207" s="249" t="n"/>
      <c r="G207" s="249" t="n"/>
      <c r="H207" s="249" t="n"/>
      <c r="I207" s="249" t="n"/>
      <c r="J207" s="249" t="n"/>
      <c r="K207" s="249" t="n"/>
      <c r="L207" s="249" t="n"/>
      <c r="M207" s="249" t="n"/>
    </row>
    <row r="208" ht="13" customHeight="1" s="250">
      <c r="A208" s="249" t="n"/>
      <c r="B208" s="249" t="n"/>
      <c r="C208" s="249" t="n"/>
      <c r="D208" s="249" t="n"/>
      <c r="E208" s="249" t="n"/>
      <c r="F208" s="249" t="n"/>
      <c r="G208" s="249" t="n"/>
      <c r="H208" s="249" t="n"/>
      <c r="I208" s="249" t="n"/>
      <c r="J208" s="249" t="n"/>
      <c r="K208" s="249" t="n"/>
      <c r="L208" s="249" t="n"/>
      <c r="M208" s="249" t="n"/>
    </row>
    <row r="209" ht="13" customHeight="1" s="250">
      <c r="A209" s="249" t="n"/>
      <c r="B209" s="249" t="n"/>
      <c r="C209" s="249" t="n"/>
      <c r="D209" s="249" t="n"/>
      <c r="E209" s="249" t="n"/>
      <c r="F209" s="249" t="n"/>
      <c r="G209" s="249" t="n"/>
      <c r="H209" s="249" t="n"/>
      <c r="I209" s="249" t="n"/>
      <c r="J209" s="249" t="n"/>
      <c r="K209" s="249" t="n"/>
      <c r="L209" s="249" t="n"/>
      <c r="M209" s="249" t="n"/>
    </row>
    <row r="210" ht="13" customHeight="1" s="250">
      <c r="A210" s="249" t="n"/>
      <c r="B210" s="249" t="n"/>
      <c r="C210" s="249" t="n"/>
      <c r="D210" s="249" t="n"/>
      <c r="E210" s="249" t="n"/>
      <c r="F210" s="249" t="n"/>
      <c r="G210" s="249" t="n"/>
      <c r="H210" s="249" t="n"/>
      <c r="I210" s="249" t="n"/>
      <c r="J210" s="249" t="n"/>
      <c r="K210" s="249" t="n"/>
      <c r="L210" s="249" t="n"/>
      <c r="M210" s="249" t="n"/>
    </row>
    <row r="211" ht="13" customHeight="1" s="250">
      <c r="A211" s="249" t="n"/>
      <c r="B211" s="249" t="n"/>
      <c r="C211" s="249" t="n"/>
      <c r="D211" s="249" t="n"/>
      <c r="E211" s="249" t="n"/>
      <c r="F211" s="249" t="n"/>
      <c r="G211" s="249" t="n"/>
      <c r="H211" s="249" t="n"/>
      <c r="I211" s="249" t="n"/>
      <c r="J211" s="249" t="n"/>
      <c r="K211" s="249" t="n"/>
      <c r="L211" s="249" t="n"/>
      <c r="M211" s="249" t="n"/>
    </row>
    <row r="212" ht="13" customHeight="1" s="250">
      <c r="A212" s="249" t="n"/>
      <c r="B212" s="249" t="n"/>
      <c r="C212" s="249" t="n"/>
      <c r="D212" s="249" t="n"/>
      <c r="E212" s="249" t="n"/>
      <c r="F212" s="249" t="n"/>
      <c r="G212" s="249" t="n"/>
      <c r="H212" s="249" t="n"/>
      <c r="I212" s="249" t="n"/>
      <c r="J212" s="249" t="n"/>
      <c r="K212" s="249" t="n"/>
      <c r="L212" s="249" t="n"/>
      <c r="M212" s="249" t="n"/>
    </row>
    <row r="213" ht="13" customHeight="1" s="250">
      <c r="A213" s="249" t="n"/>
      <c r="B213" s="249" t="n"/>
      <c r="C213" s="249" t="n"/>
      <c r="D213" s="249" t="n"/>
      <c r="E213" s="249" t="n"/>
      <c r="F213" s="249" t="n"/>
      <c r="G213" s="249" t="n"/>
      <c r="H213" s="249" t="n"/>
      <c r="I213" s="249" t="n"/>
      <c r="J213" s="249" t="n"/>
      <c r="K213" s="249" t="n"/>
      <c r="L213" s="249" t="n"/>
      <c r="M213" s="249" t="n"/>
    </row>
    <row r="214" ht="13" customHeight="1" s="250">
      <c r="A214" s="249" t="n"/>
      <c r="B214" s="249" t="n"/>
      <c r="C214" s="249" t="n"/>
      <c r="D214" s="249" t="n"/>
      <c r="E214" s="249" t="n"/>
      <c r="F214" s="249" t="n"/>
      <c r="G214" s="249" t="n"/>
      <c r="H214" s="249" t="n"/>
      <c r="I214" s="249" t="n"/>
      <c r="J214" s="249" t="n"/>
      <c r="K214" s="249" t="n"/>
      <c r="L214" s="249" t="n"/>
      <c r="M214" s="249" t="n"/>
    </row>
    <row r="215" ht="13" customHeight="1" s="250">
      <c r="A215" s="249" t="n"/>
      <c r="B215" s="249" t="n"/>
      <c r="C215" s="249" t="n"/>
      <c r="D215" s="249" t="n"/>
      <c r="E215" s="249" t="n"/>
      <c r="F215" s="249" t="n"/>
      <c r="G215" s="249" t="n"/>
      <c r="H215" s="249" t="n"/>
      <c r="I215" s="249" t="n"/>
      <c r="J215" s="249" t="n"/>
      <c r="K215" s="249" t="n"/>
      <c r="L215" s="249" t="n"/>
      <c r="M215" s="249" t="n"/>
    </row>
    <row r="216" ht="13" customHeight="1" s="250">
      <c r="A216" s="249" t="n"/>
      <c r="B216" s="249" t="n"/>
      <c r="C216" s="249" t="n"/>
      <c r="D216" s="249" t="n"/>
      <c r="E216" s="249" t="n"/>
      <c r="F216" s="249" t="n"/>
      <c r="G216" s="249" t="n"/>
      <c r="H216" s="249" t="n"/>
      <c r="I216" s="249" t="n"/>
      <c r="J216" s="249" t="n"/>
      <c r="K216" s="249" t="n"/>
      <c r="L216" s="249" t="n"/>
      <c r="M216" s="249" t="n"/>
    </row>
    <row r="217" ht="13" customHeight="1" s="250">
      <c r="A217" s="249" t="n"/>
      <c r="B217" s="249" t="n"/>
      <c r="C217" s="249" t="n"/>
      <c r="D217" s="249" t="n"/>
      <c r="E217" s="249" t="n"/>
      <c r="F217" s="249" t="n"/>
      <c r="G217" s="249" t="n"/>
      <c r="H217" s="249" t="n"/>
      <c r="I217" s="249" t="n"/>
      <c r="J217" s="249" t="n"/>
      <c r="K217" s="249" t="n"/>
      <c r="L217" s="249" t="n"/>
      <c r="M217" s="249" t="n"/>
    </row>
    <row r="218" ht="13" customHeight="1" s="250">
      <c r="A218" s="249" t="n"/>
      <c r="B218" s="249" t="n"/>
      <c r="C218" s="249" t="n"/>
      <c r="D218" s="249" t="n"/>
      <c r="E218" s="249" t="n"/>
      <c r="F218" s="249" t="n"/>
      <c r="G218" s="249" t="n"/>
      <c r="H218" s="249" t="n"/>
      <c r="I218" s="249" t="n"/>
      <c r="J218" s="249" t="n"/>
      <c r="K218" s="249" t="n"/>
      <c r="L218" s="249" t="n"/>
      <c r="M218" s="249" t="n"/>
    </row>
    <row r="219" ht="13" customHeight="1" s="250">
      <c r="A219" s="249" t="n"/>
      <c r="B219" s="249" t="n"/>
      <c r="C219" s="249" t="n"/>
      <c r="D219" s="249" t="n"/>
      <c r="E219" s="249" t="n"/>
      <c r="F219" s="249" t="n"/>
      <c r="G219" s="249" t="n"/>
      <c r="H219" s="249" t="n"/>
      <c r="I219" s="249" t="n"/>
      <c r="J219" s="249" t="n"/>
      <c r="K219" s="249" t="n"/>
      <c r="L219" s="249" t="n"/>
      <c r="M219" s="249" t="n"/>
    </row>
    <row r="220" ht="13" customHeight="1" s="250">
      <c r="A220" s="249" t="n"/>
      <c r="B220" s="249" t="n"/>
      <c r="C220" s="249" t="n"/>
      <c r="D220" s="249" t="n"/>
      <c r="E220" s="249" t="n"/>
      <c r="F220" s="249" t="n"/>
      <c r="G220" s="249" t="n"/>
      <c r="H220" s="249" t="n"/>
      <c r="I220" s="249" t="n"/>
      <c r="J220" s="249" t="n"/>
      <c r="K220" s="249" t="n"/>
      <c r="L220" s="249" t="n"/>
      <c r="M220" s="249" t="n"/>
    </row>
    <row r="221" ht="13" customHeight="1" s="250">
      <c r="A221" s="249" t="n"/>
      <c r="B221" s="249" t="n"/>
      <c r="C221" s="249" t="n"/>
      <c r="D221" s="249" t="n"/>
      <c r="E221" s="249" t="n"/>
      <c r="F221" s="249" t="n"/>
      <c r="G221" s="249" t="n"/>
      <c r="H221" s="249" t="n"/>
      <c r="I221" s="249" t="n"/>
      <c r="J221" s="249" t="n"/>
      <c r="K221" s="249" t="n"/>
      <c r="L221" s="249" t="n"/>
      <c r="M221" s="249" t="n"/>
    </row>
    <row r="222" ht="13" customHeight="1" s="250">
      <c r="A222" s="249" t="n"/>
      <c r="B222" s="249" t="n"/>
      <c r="C222" s="249" t="n"/>
      <c r="D222" s="249" t="n"/>
      <c r="E222" s="249" t="n"/>
      <c r="F222" s="249" t="n"/>
      <c r="G222" s="249" t="n"/>
      <c r="H222" s="249" t="n"/>
      <c r="I222" s="249" t="n"/>
      <c r="J222" s="249" t="n"/>
      <c r="K222" s="249" t="n"/>
      <c r="L222" s="249" t="n"/>
      <c r="M222" s="249" t="n"/>
    </row>
    <row r="223" ht="13" customHeight="1" s="250">
      <c r="A223" s="249" t="n"/>
      <c r="B223" s="249" t="n"/>
      <c r="C223" s="249" t="n"/>
      <c r="D223" s="249" t="n"/>
      <c r="E223" s="249" t="n"/>
      <c r="F223" s="249" t="n"/>
      <c r="G223" s="249" t="n"/>
      <c r="H223" s="249" t="n"/>
      <c r="I223" s="249" t="n"/>
      <c r="J223" s="249" t="n"/>
      <c r="K223" s="249" t="n"/>
      <c r="L223" s="249" t="n"/>
      <c r="M223" s="249" t="n"/>
    </row>
    <row r="224" ht="13" customHeight="1" s="250">
      <c r="A224" s="249" t="n"/>
      <c r="B224" s="249" t="n"/>
      <c r="C224" s="249" t="n"/>
      <c r="D224" s="249" t="n"/>
      <c r="E224" s="249" t="n"/>
      <c r="F224" s="249" t="n"/>
      <c r="G224" s="249" t="n"/>
      <c r="H224" s="249" t="n"/>
      <c r="I224" s="249" t="n"/>
      <c r="J224" s="249" t="n"/>
      <c r="K224" s="249" t="n"/>
      <c r="L224" s="249" t="n"/>
      <c r="M224" s="249" t="n"/>
    </row>
    <row r="225" ht="13" customHeight="1" s="250">
      <c r="A225" s="249" t="n"/>
      <c r="B225" s="249" t="n"/>
      <c r="C225" s="249" t="n"/>
      <c r="D225" s="249" t="n"/>
      <c r="E225" s="249" t="n"/>
      <c r="F225" s="249" t="n"/>
      <c r="G225" s="249" t="n"/>
      <c r="H225" s="249" t="n"/>
      <c r="I225" s="249" t="n"/>
      <c r="J225" s="249" t="n"/>
      <c r="K225" s="249" t="n"/>
      <c r="L225" s="249" t="n"/>
      <c r="M225" s="249" t="n"/>
    </row>
    <row r="226" ht="13" customHeight="1" s="250">
      <c r="A226" s="249" t="n"/>
      <c r="B226" s="249" t="n"/>
      <c r="C226" s="249" t="n"/>
      <c r="D226" s="249" t="n"/>
      <c r="E226" s="249" t="n"/>
      <c r="F226" s="249" t="n"/>
      <c r="G226" s="249" t="n"/>
      <c r="H226" s="249" t="n"/>
      <c r="I226" s="249" t="n"/>
      <c r="J226" s="249" t="n"/>
      <c r="K226" s="249" t="n"/>
      <c r="L226" s="249" t="n"/>
      <c r="M226" s="249" t="n"/>
    </row>
    <row r="227" ht="13" customHeight="1" s="250">
      <c r="A227" s="249" t="n"/>
      <c r="B227" s="249" t="n"/>
      <c r="C227" s="249" t="n"/>
      <c r="D227" s="249" t="n"/>
      <c r="E227" s="249" t="n"/>
      <c r="F227" s="249" t="n"/>
      <c r="G227" s="249" t="n"/>
      <c r="H227" s="249" t="n"/>
      <c r="I227" s="249" t="n"/>
      <c r="J227" s="249" t="n"/>
      <c r="K227" s="249" t="n"/>
      <c r="L227" s="249" t="n"/>
      <c r="M227" s="249" t="n"/>
    </row>
    <row r="228" ht="13" customHeight="1" s="250">
      <c r="A228" s="249" t="n"/>
      <c r="B228" s="249" t="n"/>
      <c r="C228" s="249" t="n"/>
      <c r="D228" s="249" t="n"/>
      <c r="E228" s="249" t="n"/>
      <c r="F228" s="249" t="n"/>
      <c r="G228" s="249" t="n"/>
      <c r="H228" s="249" t="n"/>
      <c r="I228" s="249" t="n"/>
      <c r="J228" s="249" t="n"/>
      <c r="K228" s="249" t="n"/>
      <c r="L228" s="249" t="n"/>
      <c r="M228" s="249" t="n"/>
    </row>
    <row r="229" ht="13" customHeight="1" s="250">
      <c r="A229" s="249" t="n"/>
      <c r="B229" s="249" t="n"/>
      <c r="C229" s="249" t="n"/>
      <c r="D229" s="249" t="n"/>
      <c r="E229" s="249" t="n"/>
      <c r="F229" s="249" t="n"/>
      <c r="G229" s="249" t="n"/>
      <c r="H229" s="249" t="n"/>
      <c r="I229" s="249" t="n"/>
      <c r="J229" s="249" t="n"/>
      <c r="K229" s="249" t="n"/>
      <c r="L229" s="249" t="n"/>
      <c r="M229" s="249" t="n"/>
    </row>
    <row r="230" ht="13" customHeight="1" s="250">
      <c r="A230" s="249" t="n"/>
      <c r="B230" s="249" t="n"/>
      <c r="C230" s="249" t="n"/>
      <c r="D230" s="249" t="n"/>
      <c r="E230" s="249" t="n"/>
      <c r="F230" s="249" t="n"/>
      <c r="G230" s="249" t="n"/>
      <c r="H230" s="249" t="n"/>
      <c r="I230" s="249" t="n"/>
      <c r="J230" s="249" t="n"/>
      <c r="K230" s="249" t="n"/>
      <c r="L230" s="249" t="n"/>
      <c r="M230" s="249" t="n"/>
    </row>
    <row r="231" ht="13" customHeight="1" s="250">
      <c r="A231" s="249" t="n"/>
      <c r="B231" s="249" t="n"/>
      <c r="C231" s="249" t="n"/>
      <c r="D231" s="249" t="n"/>
      <c r="E231" s="249" t="n"/>
      <c r="F231" s="249" t="n"/>
      <c r="G231" s="249" t="n"/>
      <c r="H231" s="249" t="n"/>
      <c r="I231" s="249" t="n"/>
      <c r="J231" s="249" t="n"/>
      <c r="K231" s="249" t="n"/>
      <c r="L231" s="249" t="n"/>
      <c r="M231" s="249" t="n"/>
    </row>
    <row r="232" ht="13" customHeight="1" s="250">
      <c r="A232" s="249" t="n"/>
      <c r="B232" s="249" t="n"/>
      <c r="C232" s="249" t="n"/>
      <c r="D232" s="249" t="n"/>
      <c r="E232" s="249" t="n"/>
      <c r="F232" s="249" t="n"/>
      <c r="G232" s="249" t="n"/>
      <c r="H232" s="249" t="n"/>
      <c r="I232" s="249" t="n"/>
      <c r="J232" s="249" t="n"/>
      <c r="K232" s="249" t="n"/>
      <c r="L232" s="249" t="n"/>
      <c r="M232" s="249" t="n"/>
    </row>
    <row r="233" ht="13" customHeight="1" s="250">
      <c r="A233" s="249" t="n"/>
      <c r="B233" s="249" t="n"/>
      <c r="C233" s="249" t="n"/>
      <c r="D233" s="249" t="n"/>
      <c r="E233" s="249" t="n"/>
      <c r="F233" s="249" t="n"/>
      <c r="G233" s="249" t="n"/>
      <c r="H233" s="249" t="n"/>
      <c r="I233" s="249" t="n"/>
      <c r="J233" s="249" t="n"/>
      <c r="K233" s="249" t="n"/>
      <c r="L233" s="249" t="n"/>
      <c r="M233" s="249" t="n"/>
    </row>
    <row r="234" ht="13" customHeight="1" s="250">
      <c r="A234" s="249" t="n"/>
      <c r="B234" s="249" t="n"/>
      <c r="C234" s="249" t="n"/>
      <c r="D234" s="249" t="n"/>
      <c r="E234" s="249" t="n"/>
      <c r="F234" s="249" t="n"/>
      <c r="G234" s="249" t="n"/>
      <c r="H234" s="249" t="n"/>
      <c r="I234" s="249" t="n"/>
      <c r="J234" s="249" t="n"/>
      <c r="K234" s="249" t="n"/>
      <c r="L234" s="249" t="n"/>
      <c r="M234" s="249" t="n"/>
    </row>
    <row r="235" ht="13" customHeight="1" s="250">
      <c r="A235" s="249" t="n"/>
      <c r="B235" s="249" t="n"/>
      <c r="C235" s="249" t="n"/>
      <c r="D235" s="249" t="n"/>
      <c r="E235" s="249" t="n"/>
      <c r="F235" s="249" t="n"/>
      <c r="G235" s="249" t="n"/>
      <c r="H235" s="249" t="n"/>
      <c r="I235" s="249" t="n"/>
      <c r="J235" s="249" t="n"/>
      <c r="K235" s="249" t="n"/>
      <c r="L235" s="249" t="n"/>
      <c r="M235" s="249" t="n"/>
    </row>
    <row r="236" ht="13" customHeight="1" s="250">
      <c r="A236" s="249" t="n"/>
      <c r="B236" s="249" t="n"/>
      <c r="C236" s="249" t="n"/>
      <c r="D236" s="249" t="n"/>
      <c r="E236" s="249" t="n"/>
      <c r="F236" s="249" t="n"/>
      <c r="G236" s="249" t="n"/>
      <c r="H236" s="249" t="n"/>
      <c r="I236" s="249" t="n"/>
      <c r="J236" s="249" t="n"/>
      <c r="K236" s="249" t="n"/>
      <c r="L236" s="249" t="n"/>
      <c r="M236" s="249" t="n"/>
    </row>
    <row r="237" ht="13" customHeight="1" s="250">
      <c r="A237" s="249" t="n"/>
      <c r="B237" s="249" t="n"/>
      <c r="C237" s="249" t="n"/>
      <c r="D237" s="249" t="n"/>
      <c r="E237" s="249" t="n"/>
      <c r="F237" s="249" t="n"/>
      <c r="G237" s="249" t="n"/>
      <c r="H237" s="249" t="n"/>
      <c r="I237" s="249" t="n"/>
      <c r="J237" s="249" t="n"/>
      <c r="K237" s="249" t="n"/>
      <c r="L237" s="249" t="n"/>
      <c r="M237" s="249" t="n"/>
    </row>
    <row r="238" ht="13" customHeight="1" s="250">
      <c r="A238" s="249" t="n"/>
      <c r="B238" s="249" t="n"/>
      <c r="C238" s="249" t="n"/>
      <c r="D238" s="249" t="n"/>
      <c r="E238" s="249" t="n"/>
      <c r="F238" s="249" t="n"/>
      <c r="G238" s="249" t="n"/>
      <c r="H238" s="249" t="n"/>
      <c r="I238" s="249" t="n"/>
      <c r="J238" s="249" t="n"/>
      <c r="K238" s="249" t="n"/>
      <c r="L238" s="249" t="n"/>
      <c r="M238" s="249" t="n"/>
    </row>
    <row r="239" ht="13" customHeight="1" s="250">
      <c r="A239" s="249" t="n"/>
      <c r="B239" s="249" t="n"/>
      <c r="C239" s="249" t="n"/>
      <c r="D239" s="249" t="n"/>
      <c r="E239" s="249" t="n"/>
      <c r="F239" s="249" t="n"/>
      <c r="G239" s="249" t="n"/>
      <c r="H239" s="249" t="n"/>
      <c r="I239" s="249" t="n"/>
      <c r="J239" s="249" t="n"/>
      <c r="K239" s="249" t="n"/>
      <c r="L239" s="249" t="n"/>
      <c r="M239" s="249" t="n"/>
    </row>
    <row r="240" ht="13" customHeight="1" s="250">
      <c r="A240" s="249" t="n"/>
      <c r="B240" s="249" t="n"/>
      <c r="C240" s="249" t="n"/>
      <c r="D240" s="249" t="n"/>
      <c r="E240" s="249" t="n"/>
      <c r="F240" s="249" t="n"/>
      <c r="G240" s="249" t="n"/>
      <c r="H240" s="249" t="n"/>
      <c r="I240" s="249" t="n"/>
      <c r="J240" s="249" t="n"/>
      <c r="K240" s="249" t="n"/>
      <c r="L240" s="249" t="n"/>
      <c r="M240" s="249" t="n"/>
    </row>
    <row r="241" ht="13" customHeight="1" s="250">
      <c r="A241" s="249" t="n"/>
      <c r="B241" s="249" t="n"/>
      <c r="C241" s="249" t="n"/>
      <c r="D241" s="249" t="n"/>
      <c r="E241" s="249" t="n"/>
      <c r="F241" s="249" t="n"/>
      <c r="G241" s="249" t="n"/>
      <c r="H241" s="249" t="n"/>
      <c r="I241" s="249" t="n"/>
      <c r="J241" s="249" t="n"/>
      <c r="K241" s="249" t="n"/>
      <c r="L241" s="249" t="n"/>
      <c r="M241" s="249" t="n"/>
    </row>
    <row r="242" ht="13" customHeight="1" s="250">
      <c r="A242" s="249" t="n"/>
      <c r="B242" s="249" t="n"/>
      <c r="C242" s="249" t="n"/>
      <c r="D242" s="249" t="n"/>
      <c r="E242" s="249" t="n"/>
      <c r="F242" s="249" t="n"/>
      <c r="G242" s="249" t="n"/>
      <c r="H242" s="249" t="n"/>
      <c r="I242" s="249" t="n"/>
      <c r="J242" s="249" t="n"/>
      <c r="K242" s="249" t="n"/>
      <c r="L242" s="249" t="n"/>
      <c r="M242" s="249" t="n"/>
    </row>
    <row r="243" ht="13" customHeight="1" s="250">
      <c r="A243" s="249" t="n"/>
      <c r="B243" s="249" t="n"/>
      <c r="C243" s="249" t="n"/>
      <c r="D243" s="249" t="n"/>
      <c r="E243" s="249" t="n"/>
      <c r="F243" s="249" t="n"/>
      <c r="G243" s="249" t="n"/>
      <c r="H243" s="249" t="n"/>
      <c r="I243" s="249" t="n"/>
      <c r="J243" s="249" t="n"/>
      <c r="K243" s="249" t="n"/>
      <c r="L243" s="249" t="n"/>
      <c r="M243" s="249" t="n"/>
    </row>
    <row r="244" ht="13" customHeight="1" s="250">
      <c r="A244" s="249" t="n"/>
      <c r="B244" s="249" t="n"/>
      <c r="C244" s="249" t="n"/>
      <c r="D244" s="249" t="n"/>
      <c r="E244" s="249" t="n"/>
      <c r="F244" s="249" t="n"/>
      <c r="G244" s="249" t="n"/>
      <c r="H244" s="249" t="n"/>
      <c r="I244" s="249" t="n"/>
      <c r="J244" s="249" t="n"/>
      <c r="K244" s="249" t="n"/>
      <c r="L244" s="249" t="n"/>
      <c r="M244" s="249" t="n"/>
    </row>
    <row r="245" ht="13" customHeight="1" s="250">
      <c r="A245" s="249" t="n"/>
      <c r="B245" s="249" t="n"/>
      <c r="C245" s="249" t="n"/>
      <c r="D245" s="249" t="n"/>
      <c r="E245" s="249" t="n"/>
      <c r="F245" s="249" t="n"/>
      <c r="G245" s="249" t="n"/>
      <c r="H245" s="249" t="n"/>
      <c r="I245" s="249" t="n"/>
      <c r="J245" s="249" t="n"/>
      <c r="K245" s="249" t="n"/>
      <c r="L245" s="249" t="n"/>
      <c r="M245" s="249" t="n"/>
    </row>
    <row r="246" ht="13" customHeight="1" s="250">
      <c r="A246" s="249" t="n"/>
      <c r="B246" s="249" t="n"/>
      <c r="C246" s="249" t="n"/>
      <c r="D246" s="249" t="n"/>
      <c r="E246" s="249" t="n"/>
      <c r="F246" s="249" t="n"/>
      <c r="G246" s="249" t="n"/>
      <c r="H246" s="249" t="n"/>
      <c r="I246" s="249" t="n"/>
      <c r="J246" s="249" t="n"/>
      <c r="K246" s="249" t="n"/>
      <c r="L246" s="249" t="n"/>
      <c r="M246" s="249" t="n"/>
    </row>
    <row r="247" ht="13" customHeight="1" s="250">
      <c r="A247" s="249" t="n"/>
      <c r="B247" s="249" t="n"/>
      <c r="C247" s="249" t="n"/>
      <c r="D247" s="249" t="n"/>
      <c r="E247" s="249" t="n"/>
      <c r="F247" s="249" t="n"/>
      <c r="G247" s="249" t="n"/>
      <c r="H247" s="249" t="n"/>
      <c r="I247" s="249" t="n"/>
      <c r="J247" s="249" t="n"/>
      <c r="K247" s="249" t="n"/>
      <c r="L247" s="249" t="n"/>
      <c r="M247" s="249" t="n"/>
    </row>
    <row r="248" ht="13" customHeight="1" s="250">
      <c r="A248" s="249" t="n"/>
      <c r="B248" s="249" t="n"/>
      <c r="C248" s="249" t="n"/>
      <c r="D248" s="249" t="n"/>
      <c r="E248" s="249" t="n"/>
      <c r="F248" s="249" t="n"/>
      <c r="G248" s="249" t="n"/>
      <c r="H248" s="249" t="n"/>
      <c r="I248" s="249" t="n"/>
      <c r="J248" s="249" t="n"/>
      <c r="K248" s="249" t="n"/>
      <c r="L248" s="249" t="n"/>
      <c r="M248" s="249" t="n"/>
    </row>
    <row r="249" ht="13" customHeight="1" s="250">
      <c r="A249" s="249" t="n"/>
      <c r="B249" s="249" t="n"/>
      <c r="C249" s="249" t="n"/>
      <c r="D249" s="249" t="n"/>
      <c r="E249" s="249" t="n"/>
      <c r="F249" s="249" t="n"/>
      <c r="G249" s="249" t="n"/>
      <c r="H249" s="249" t="n"/>
      <c r="I249" s="249" t="n"/>
      <c r="J249" s="249" t="n"/>
      <c r="K249" s="249" t="n"/>
      <c r="L249" s="249" t="n"/>
      <c r="M249" s="249" t="n"/>
    </row>
    <row r="250" ht="13" customHeight="1" s="250">
      <c r="A250" s="249" t="n"/>
      <c r="B250" s="249" t="n"/>
      <c r="C250" s="249" t="n"/>
      <c r="D250" s="249" t="n"/>
      <c r="E250" s="249" t="n"/>
      <c r="F250" s="249" t="n"/>
      <c r="G250" s="249" t="n"/>
      <c r="H250" s="249" t="n"/>
      <c r="I250" s="249" t="n"/>
      <c r="J250" s="249" t="n"/>
      <c r="K250" s="249" t="n"/>
      <c r="L250" s="249" t="n"/>
      <c r="M250" s="249" t="n"/>
    </row>
    <row r="251" ht="13" customHeight="1" s="250">
      <c r="A251" s="249" t="n"/>
      <c r="B251" s="249" t="n"/>
      <c r="C251" s="249" t="n"/>
      <c r="D251" s="249" t="n"/>
      <c r="E251" s="249" t="n"/>
      <c r="F251" s="249" t="n"/>
      <c r="G251" s="249" t="n"/>
      <c r="H251" s="249" t="n"/>
      <c r="I251" s="249" t="n"/>
      <c r="J251" s="249" t="n"/>
      <c r="K251" s="249" t="n"/>
      <c r="L251" s="249" t="n"/>
      <c r="M251" s="249" t="n"/>
    </row>
    <row r="252" ht="13" customHeight="1" s="250">
      <c r="A252" s="249" t="n"/>
      <c r="B252" s="249" t="n"/>
      <c r="C252" s="249" t="n"/>
      <c r="D252" s="249" t="n"/>
      <c r="E252" s="249" t="n"/>
      <c r="F252" s="249" t="n"/>
      <c r="G252" s="249" t="n"/>
      <c r="H252" s="249" t="n"/>
      <c r="I252" s="249" t="n"/>
      <c r="J252" s="249" t="n"/>
      <c r="K252" s="249" t="n"/>
      <c r="L252" s="249" t="n"/>
      <c r="M252" s="249" t="n"/>
    </row>
    <row r="253" ht="13" customHeight="1" s="250">
      <c r="A253" s="249" t="n"/>
      <c r="B253" s="249" t="n"/>
      <c r="C253" s="249" t="n"/>
      <c r="D253" s="249" t="n"/>
      <c r="E253" s="249" t="n"/>
      <c r="F253" s="249" t="n"/>
      <c r="G253" s="249" t="n"/>
      <c r="H253" s="249" t="n"/>
      <c r="I253" s="249" t="n"/>
      <c r="J253" s="249" t="n"/>
      <c r="K253" s="249" t="n"/>
      <c r="L253" s="249" t="n"/>
      <c r="M253" s="249" t="n"/>
    </row>
    <row r="254" ht="13" customHeight="1" s="250">
      <c r="A254" s="249" t="n"/>
      <c r="B254" s="249" t="n"/>
      <c r="C254" s="249" t="n"/>
      <c r="D254" s="249" t="n"/>
      <c r="E254" s="249" t="n"/>
      <c r="F254" s="249" t="n"/>
      <c r="G254" s="249" t="n"/>
      <c r="H254" s="249" t="n"/>
      <c r="I254" s="249" t="n"/>
      <c r="J254" s="249" t="n"/>
      <c r="K254" s="249" t="n"/>
      <c r="L254" s="249" t="n"/>
      <c r="M254" s="249" t="n"/>
    </row>
    <row r="255" ht="13" customHeight="1" s="250">
      <c r="A255" s="249" t="n"/>
      <c r="B255" s="249" t="n"/>
      <c r="C255" s="249" t="n"/>
      <c r="D255" s="249" t="n"/>
      <c r="E255" s="249" t="n"/>
      <c r="F255" s="249" t="n"/>
      <c r="G255" s="249" t="n"/>
      <c r="H255" s="249" t="n"/>
      <c r="I255" s="249" t="n"/>
      <c r="J255" s="249" t="n"/>
      <c r="K255" s="249" t="n"/>
      <c r="L255" s="249" t="n"/>
      <c r="M255" s="249" t="n"/>
    </row>
    <row r="256" ht="13" customHeight="1" s="250">
      <c r="A256" s="249" t="n"/>
      <c r="B256" s="249" t="n"/>
      <c r="C256" s="249" t="n"/>
      <c r="D256" s="249" t="n"/>
      <c r="E256" s="249" t="n"/>
      <c r="F256" s="249" t="n"/>
      <c r="G256" s="249" t="n"/>
      <c r="H256" s="249" t="n"/>
      <c r="I256" s="249" t="n"/>
      <c r="J256" s="249" t="n"/>
      <c r="K256" s="249" t="n"/>
      <c r="L256" s="249" t="n"/>
      <c r="M256" s="249" t="n"/>
    </row>
    <row r="257" ht="13" customHeight="1" s="250">
      <c r="A257" s="249" t="n"/>
      <c r="B257" s="249" t="n"/>
      <c r="C257" s="249" t="n"/>
      <c r="D257" s="249" t="n"/>
      <c r="E257" s="249" t="n"/>
      <c r="F257" s="249" t="n"/>
      <c r="G257" s="249" t="n"/>
      <c r="H257" s="249" t="n"/>
      <c r="I257" s="249" t="n"/>
      <c r="J257" s="249" t="n"/>
      <c r="K257" s="249" t="n"/>
      <c r="L257" s="249" t="n"/>
      <c r="M257" s="249" t="n"/>
    </row>
    <row r="258" ht="13" customHeight="1" s="250">
      <c r="A258" s="249" t="n"/>
      <c r="B258" s="249" t="n"/>
      <c r="C258" s="249" t="n"/>
      <c r="D258" s="249" t="n"/>
      <c r="E258" s="249" t="n"/>
      <c r="F258" s="249" t="n"/>
      <c r="G258" s="249" t="n"/>
      <c r="H258" s="249" t="n"/>
      <c r="I258" s="249" t="n"/>
      <c r="J258" s="249" t="n"/>
      <c r="K258" s="249" t="n"/>
      <c r="L258" s="249" t="n"/>
      <c r="M258" s="249" t="n"/>
    </row>
    <row r="259" ht="13" customHeight="1" s="250">
      <c r="A259" s="249" t="n"/>
      <c r="B259" s="249" t="n"/>
      <c r="C259" s="249" t="n"/>
      <c r="D259" s="249" t="n"/>
      <c r="E259" s="249" t="n"/>
      <c r="F259" s="249" t="n"/>
      <c r="G259" s="249" t="n"/>
      <c r="H259" s="249" t="n"/>
      <c r="I259" s="249" t="n"/>
      <c r="J259" s="249" t="n"/>
      <c r="K259" s="249" t="n"/>
      <c r="L259" s="249" t="n"/>
      <c r="M259" s="249" t="n"/>
    </row>
    <row r="260" ht="13" customHeight="1" s="250">
      <c r="A260" s="249" t="n"/>
      <c r="B260" s="249" t="n"/>
      <c r="C260" s="249" t="n"/>
      <c r="D260" s="249" t="n"/>
      <c r="E260" s="249" t="n"/>
      <c r="F260" s="249" t="n"/>
      <c r="G260" s="249" t="n"/>
      <c r="H260" s="249" t="n"/>
      <c r="I260" s="249" t="n"/>
      <c r="J260" s="249" t="n"/>
      <c r="K260" s="249" t="n"/>
      <c r="L260" s="249" t="n"/>
      <c r="M260" s="249" t="n"/>
    </row>
    <row r="261" ht="13" customHeight="1" s="250">
      <c r="A261" s="249" t="n"/>
      <c r="B261" s="249" t="n"/>
      <c r="C261" s="249" t="n"/>
      <c r="D261" s="249" t="n"/>
      <c r="E261" s="249" t="n"/>
      <c r="F261" s="249" t="n"/>
      <c r="G261" s="249" t="n"/>
      <c r="H261" s="249" t="n"/>
      <c r="I261" s="249" t="n"/>
      <c r="J261" s="249" t="n"/>
      <c r="K261" s="249" t="n"/>
      <c r="L261" s="249" t="n"/>
      <c r="M261" s="249" t="n"/>
    </row>
    <row r="262" ht="13" customHeight="1" s="250">
      <c r="A262" s="249" t="n"/>
      <c r="B262" s="249" t="n"/>
      <c r="C262" s="249" t="n"/>
      <c r="D262" s="249" t="n"/>
      <c r="E262" s="249" t="n"/>
      <c r="F262" s="249" t="n"/>
      <c r="G262" s="249" t="n"/>
      <c r="H262" s="249" t="n"/>
      <c r="I262" s="249" t="n"/>
      <c r="J262" s="249" t="n"/>
      <c r="K262" s="249" t="n"/>
      <c r="L262" s="249" t="n"/>
      <c r="M262" s="249" t="n"/>
    </row>
    <row r="263" ht="13" customHeight="1" s="250">
      <c r="A263" s="249" t="n"/>
      <c r="B263" s="249" t="n"/>
      <c r="C263" s="249" t="n"/>
      <c r="D263" s="249" t="n"/>
      <c r="E263" s="249" t="n"/>
      <c r="F263" s="249" t="n"/>
      <c r="G263" s="249" t="n"/>
      <c r="H263" s="249" t="n"/>
      <c r="I263" s="249" t="n"/>
      <c r="J263" s="249" t="n"/>
      <c r="K263" s="249" t="n"/>
      <c r="L263" s="249" t="n"/>
      <c r="M263" s="249" t="n"/>
    </row>
    <row r="264" ht="13" customHeight="1" s="250">
      <c r="A264" s="249" t="n"/>
      <c r="B264" s="249" t="n"/>
      <c r="C264" s="249" t="n"/>
      <c r="D264" s="249" t="n"/>
      <c r="E264" s="249" t="n"/>
      <c r="F264" s="249" t="n"/>
      <c r="G264" s="249" t="n"/>
      <c r="H264" s="249" t="n"/>
      <c r="I264" s="249" t="n"/>
      <c r="J264" s="249" t="n"/>
      <c r="K264" s="249" t="n"/>
      <c r="L264" s="249" t="n"/>
      <c r="M264" s="249" t="n"/>
    </row>
    <row r="265" ht="13" customHeight="1" s="250">
      <c r="A265" s="249" t="n"/>
      <c r="B265" s="249" t="n"/>
      <c r="C265" s="249" t="n"/>
      <c r="D265" s="249" t="n"/>
      <c r="E265" s="249" t="n"/>
      <c r="F265" s="249" t="n"/>
      <c r="G265" s="249" t="n"/>
      <c r="H265" s="249" t="n"/>
      <c r="I265" s="249" t="n"/>
      <c r="J265" s="249" t="n"/>
      <c r="K265" s="249" t="n"/>
      <c r="L265" s="249" t="n"/>
      <c r="M265" s="249" t="n"/>
    </row>
    <row r="266" ht="13" customHeight="1" s="250">
      <c r="A266" s="249" t="n"/>
      <c r="B266" s="249" t="n"/>
      <c r="C266" s="249" t="n"/>
      <c r="D266" s="249" t="n"/>
      <c r="E266" s="249" t="n"/>
      <c r="F266" s="249" t="n"/>
      <c r="G266" s="249" t="n"/>
      <c r="H266" s="249" t="n"/>
      <c r="I266" s="249" t="n"/>
      <c r="J266" s="249" t="n"/>
      <c r="K266" s="249" t="n"/>
      <c r="L266" s="249" t="n"/>
      <c r="M266" s="249" t="n"/>
    </row>
    <row r="267" ht="13" customHeight="1" s="250">
      <c r="A267" s="249" t="n"/>
      <c r="B267" s="249" t="n"/>
      <c r="C267" s="249" t="n"/>
      <c r="D267" s="249" t="n"/>
      <c r="E267" s="249" t="n"/>
      <c r="F267" s="249" t="n"/>
      <c r="G267" s="249" t="n"/>
      <c r="H267" s="249" t="n"/>
      <c r="I267" s="249" t="n"/>
      <c r="J267" s="249" t="n"/>
      <c r="K267" s="249" t="n"/>
      <c r="L267" s="249" t="n"/>
      <c r="M267" s="249" t="n"/>
    </row>
    <row r="268" ht="13" customHeight="1" s="250">
      <c r="A268" s="249" t="n"/>
      <c r="B268" s="249" t="n"/>
      <c r="C268" s="249" t="n"/>
      <c r="D268" s="249" t="n"/>
      <c r="E268" s="249" t="n"/>
      <c r="F268" s="249" t="n"/>
      <c r="G268" s="249" t="n"/>
      <c r="H268" s="249" t="n"/>
      <c r="I268" s="249" t="n"/>
      <c r="J268" s="249" t="n"/>
      <c r="K268" s="249" t="n"/>
      <c r="L268" s="249" t="n"/>
      <c r="M268" s="249" t="n"/>
    </row>
    <row r="269" ht="13" customHeight="1" s="250">
      <c r="A269" s="249" t="n"/>
      <c r="B269" s="249" t="n"/>
      <c r="C269" s="249" t="n"/>
      <c r="D269" s="249" t="n"/>
      <c r="E269" s="249" t="n"/>
      <c r="F269" s="249" t="n"/>
      <c r="G269" s="249" t="n"/>
      <c r="H269" s="249" t="n"/>
      <c r="I269" s="249" t="n"/>
      <c r="J269" s="249" t="n"/>
      <c r="K269" s="249" t="n"/>
      <c r="L269" s="249" t="n"/>
      <c r="M269" s="249" t="n"/>
    </row>
    <row r="270" ht="13" customHeight="1" s="250">
      <c r="A270" s="249" t="n"/>
      <c r="B270" s="249" t="n"/>
      <c r="C270" s="249" t="n"/>
      <c r="D270" s="249" t="n"/>
      <c r="E270" s="249" t="n"/>
      <c r="F270" s="249" t="n"/>
      <c r="G270" s="249" t="n"/>
      <c r="H270" s="249" t="n"/>
      <c r="I270" s="249" t="n"/>
      <c r="J270" s="249" t="n"/>
      <c r="K270" s="249" t="n"/>
      <c r="L270" s="249" t="n"/>
      <c r="M270" s="249" t="n"/>
    </row>
    <row r="271" ht="13" customHeight="1" s="250">
      <c r="A271" s="249" t="n"/>
      <c r="B271" s="249" t="n"/>
      <c r="C271" s="249" t="n"/>
      <c r="D271" s="249" t="n"/>
      <c r="E271" s="249" t="n"/>
      <c r="F271" s="249" t="n"/>
      <c r="G271" s="249" t="n"/>
      <c r="H271" s="249" t="n"/>
      <c r="I271" s="249" t="n"/>
      <c r="J271" s="249" t="n"/>
      <c r="K271" s="249" t="n"/>
      <c r="L271" s="249" t="n"/>
      <c r="M271" s="249" t="n"/>
    </row>
    <row r="272" ht="13" customHeight="1" s="250">
      <c r="A272" s="249" t="n"/>
      <c r="B272" s="249" t="n"/>
      <c r="C272" s="249" t="n"/>
      <c r="D272" s="249" t="n"/>
      <c r="E272" s="249" t="n"/>
      <c r="F272" s="249" t="n"/>
      <c r="G272" s="249" t="n"/>
      <c r="H272" s="249" t="n"/>
      <c r="I272" s="249" t="n"/>
      <c r="J272" s="249" t="n"/>
      <c r="K272" s="249" t="n"/>
      <c r="L272" s="249" t="n"/>
      <c r="M272" s="249" t="n"/>
    </row>
    <row r="273" ht="13" customHeight="1" s="250">
      <c r="A273" s="249" t="n"/>
      <c r="B273" s="249" t="n"/>
      <c r="C273" s="249" t="n"/>
      <c r="D273" s="249" t="n"/>
      <c r="E273" s="249" t="n"/>
      <c r="F273" s="249" t="n"/>
      <c r="G273" s="249" t="n"/>
      <c r="H273" s="249" t="n"/>
      <c r="I273" s="249" t="n"/>
      <c r="J273" s="249" t="n"/>
      <c r="K273" s="249" t="n"/>
      <c r="L273" s="249" t="n"/>
      <c r="M273" s="249" t="n"/>
    </row>
    <row r="274" ht="13" customHeight="1" s="250">
      <c r="A274" s="249" t="n"/>
      <c r="B274" s="249" t="n"/>
      <c r="C274" s="249" t="n"/>
      <c r="D274" s="249" t="n"/>
      <c r="E274" s="249" t="n"/>
      <c r="F274" s="249" t="n"/>
      <c r="G274" s="249" t="n"/>
      <c r="H274" s="249" t="n"/>
      <c r="I274" s="249" t="n"/>
      <c r="J274" s="249" t="n"/>
      <c r="K274" s="249" t="n"/>
      <c r="L274" s="249" t="n"/>
      <c r="M274" s="249" t="n"/>
    </row>
    <row r="275" ht="13" customHeight="1" s="250">
      <c r="A275" s="249" t="n"/>
      <c r="B275" s="249" t="n"/>
      <c r="C275" s="249" t="n"/>
      <c r="D275" s="249" t="n"/>
      <c r="E275" s="249" t="n"/>
      <c r="F275" s="249" t="n"/>
      <c r="G275" s="249" t="n"/>
      <c r="H275" s="249" t="n"/>
      <c r="I275" s="249" t="n"/>
      <c r="J275" s="249" t="n"/>
      <c r="K275" s="249" t="n"/>
      <c r="L275" s="249" t="n"/>
      <c r="M275" s="249" t="n"/>
    </row>
    <row r="276" ht="13" customHeight="1" s="250">
      <c r="A276" s="249" t="n"/>
      <c r="B276" s="249" t="n"/>
      <c r="C276" s="249" t="n"/>
      <c r="D276" s="249" t="n"/>
      <c r="E276" s="249" t="n"/>
      <c r="F276" s="249" t="n"/>
      <c r="G276" s="249" t="n"/>
      <c r="H276" s="249" t="n"/>
      <c r="I276" s="249" t="n"/>
      <c r="J276" s="249" t="n"/>
      <c r="K276" s="249" t="n"/>
      <c r="L276" s="249" t="n"/>
      <c r="M276" s="249" t="n"/>
    </row>
    <row r="277" ht="13" customHeight="1" s="250">
      <c r="A277" s="249" t="n"/>
      <c r="B277" s="249" t="n"/>
      <c r="C277" s="249" t="n"/>
      <c r="D277" s="249" t="n"/>
      <c r="E277" s="249" t="n"/>
      <c r="F277" s="249" t="n"/>
      <c r="G277" s="249" t="n"/>
      <c r="H277" s="249" t="n"/>
      <c r="I277" s="249" t="n"/>
      <c r="J277" s="249" t="n"/>
      <c r="K277" s="249" t="n"/>
      <c r="L277" s="249" t="n"/>
      <c r="M277" s="249" t="n"/>
    </row>
    <row r="278" ht="13" customHeight="1" s="250">
      <c r="A278" s="249" t="n"/>
      <c r="B278" s="249" t="n"/>
      <c r="C278" s="249" t="n"/>
      <c r="D278" s="249" t="n"/>
      <c r="E278" s="249" t="n"/>
      <c r="F278" s="249" t="n"/>
      <c r="G278" s="249" t="n"/>
      <c r="H278" s="249" t="n"/>
      <c r="I278" s="249" t="n"/>
      <c r="J278" s="249" t="n"/>
      <c r="K278" s="249" t="n"/>
      <c r="L278" s="249" t="n"/>
      <c r="M278" s="249" t="n"/>
    </row>
    <row r="279" ht="13" customHeight="1" s="250">
      <c r="A279" s="249" t="n"/>
      <c r="B279" s="249" t="n"/>
      <c r="C279" s="249" t="n"/>
      <c r="D279" s="249" t="n"/>
      <c r="E279" s="249" t="n"/>
      <c r="F279" s="249" t="n"/>
      <c r="G279" s="249" t="n"/>
      <c r="H279" s="249" t="n"/>
      <c r="I279" s="249" t="n"/>
      <c r="J279" s="249" t="n"/>
      <c r="K279" s="249" t="n"/>
      <c r="L279" s="249" t="n"/>
      <c r="M279" s="249" t="n"/>
    </row>
    <row r="280" ht="13" customHeight="1" s="250">
      <c r="A280" s="249" t="n"/>
      <c r="B280" s="249" t="n"/>
      <c r="C280" s="249" t="n"/>
      <c r="D280" s="249" t="n"/>
      <c r="E280" s="249" t="n"/>
      <c r="F280" s="249" t="n"/>
      <c r="G280" s="249" t="n"/>
      <c r="H280" s="249" t="n"/>
      <c r="I280" s="249" t="n"/>
      <c r="J280" s="249" t="n"/>
      <c r="K280" s="249" t="n"/>
      <c r="L280" s="249" t="n"/>
      <c r="M280" s="249" t="n"/>
    </row>
    <row r="281" ht="13" customHeight="1" s="250">
      <c r="A281" s="249" t="n"/>
      <c r="B281" s="249" t="n"/>
      <c r="C281" s="249" t="n"/>
      <c r="D281" s="249" t="n"/>
      <c r="E281" s="249" t="n"/>
      <c r="F281" s="249" t="n"/>
      <c r="G281" s="249" t="n"/>
      <c r="H281" s="249" t="n"/>
      <c r="I281" s="249" t="n"/>
      <c r="J281" s="249" t="n"/>
      <c r="K281" s="249" t="n"/>
      <c r="L281" s="249" t="n"/>
      <c r="M281" s="249" t="n"/>
    </row>
    <row r="282" ht="13" customHeight="1" s="250">
      <c r="A282" s="249" t="n"/>
      <c r="B282" s="249" t="n"/>
      <c r="C282" s="249" t="n"/>
      <c r="D282" s="249" t="n"/>
      <c r="E282" s="249" t="n"/>
      <c r="F282" s="249" t="n"/>
      <c r="G282" s="249" t="n"/>
      <c r="H282" s="249" t="n"/>
      <c r="I282" s="249" t="n"/>
      <c r="J282" s="249" t="n"/>
      <c r="K282" s="249" t="n"/>
      <c r="L282" s="249" t="n"/>
      <c r="M282" s="249" t="n"/>
    </row>
    <row r="283" ht="13" customHeight="1" s="250">
      <c r="A283" s="249" t="n"/>
      <c r="B283" s="249" t="n"/>
      <c r="C283" s="249" t="n"/>
      <c r="D283" s="249" t="n"/>
      <c r="E283" s="249" t="n"/>
      <c r="F283" s="249" t="n"/>
      <c r="G283" s="249" t="n"/>
      <c r="H283" s="249" t="n"/>
      <c r="I283" s="249" t="n"/>
      <c r="J283" s="249" t="n"/>
      <c r="K283" s="249" t="n"/>
      <c r="L283" s="249" t="n"/>
      <c r="M283" s="249" t="n"/>
    </row>
    <row r="284" ht="13" customHeight="1" s="250">
      <c r="A284" s="249" t="n"/>
      <c r="B284" s="249" t="n"/>
      <c r="C284" s="249" t="n"/>
      <c r="D284" s="249" t="n"/>
      <c r="E284" s="249" t="n"/>
      <c r="F284" s="249" t="n"/>
      <c r="G284" s="249" t="n"/>
      <c r="H284" s="249" t="n"/>
      <c r="I284" s="249" t="n"/>
      <c r="J284" s="249" t="n"/>
      <c r="K284" s="249" t="n"/>
      <c r="L284" s="249" t="n"/>
      <c r="M284" s="249" t="n"/>
    </row>
    <row r="285" ht="13" customHeight="1" s="250">
      <c r="A285" s="249" t="n"/>
      <c r="B285" s="249" t="n"/>
      <c r="C285" s="249" t="n"/>
      <c r="D285" s="249" t="n"/>
      <c r="E285" s="249" t="n"/>
      <c r="F285" s="249" t="n"/>
      <c r="G285" s="249" t="n"/>
      <c r="H285" s="249" t="n"/>
      <c r="I285" s="249" t="n"/>
      <c r="J285" s="249" t="n"/>
      <c r="K285" s="249" t="n"/>
      <c r="L285" s="249" t="n"/>
      <c r="M285" s="249" t="n"/>
    </row>
    <row r="286" ht="13" customHeight="1" s="250">
      <c r="A286" s="249" t="n"/>
      <c r="B286" s="249" t="n"/>
      <c r="C286" s="249" t="n"/>
      <c r="D286" s="249" t="n"/>
      <c r="E286" s="249" t="n"/>
      <c r="F286" s="249" t="n"/>
      <c r="G286" s="249" t="n"/>
      <c r="H286" s="249" t="n"/>
      <c r="I286" s="249" t="n"/>
      <c r="J286" s="249" t="n"/>
      <c r="K286" s="249" t="n"/>
      <c r="L286" s="249" t="n"/>
      <c r="M286" s="249" t="n"/>
    </row>
    <row r="287" ht="13" customHeight="1" s="250">
      <c r="A287" s="249" t="n"/>
      <c r="B287" s="249" t="n"/>
      <c r="C287" s="249" t="n"/>
      <c r="D287" s="249" t="n"/>
      <c r="E287" s="249" t="n"/>
      <c r="F287" s="249" t="n"/>
      <c r="G287" s="249" t="n"/>
      <c r="H287" s="249" t="n"/>
      <c r="I287" s="249" t="n"/>
      <c r="J287" s="249" t="n"/>
      <c r="K287" s="249" t="n"/>
      <c r="L287" s="249" t="n"/>
      <c r="M287" s="249" t="n"/>
    </row>
    <row r="288" ht="13" customHeight="1" s="250">
      <c r="A288" s="249" t="n"/>
      <c r="B288" s="249" t="n"/>
      <c r="C288" s="249" t="n"/>
      <c r="D288" s="249" t="n"/>
      <c r="E288" s="249" t="n"/>
      <c r="F288" s="249" t="n"/>
      <c r="G288" s="249" t="n"/>
      <c r="H288" s="249" t="n"/>
      <c r="I288" s="249" t="n"/>
      <c r="J288" s="249" t="n"/>
      <c r="K288" s="249" t="n"/>
      <c r="L288" s="249" t="n"/>
      <c r="M288" s="249" t="n"/>
    </row>
    <row r="289" ht="13" customHeight="1" s="250">
      <c r="A289" s="249" t="n"/>
      <c r="B289" s="249" t="n"/>
      <c r="C289" s="249" t="n"/>
      <c r="D289" s="249" t="n"/>
      <c r="E289" s="249" t="n"/>
      <c r="F289" s="249" t="n"/>
      <c r="G289" s="249" t="n"/>
      <c r="H289" s="249" t="n"/>
      <c r="I289" s="249" t="n"/>
      <c r="J289" s="249" t="n"/>
      <c r="K289" s="249" t="n"/>
      <c r="L289" s="249" t="n"/>
      <c r="M289" s="249" t="n"/>
    </row>
    <row r="290" ht="13" customHeight="1" s="250">
      <c r="A290" s="249" t="n"/>
      <c r="B290" s="249" t="n"/>
      <c r="C290" s="249" t="n"/>
      <c r="D290" s="249" t="n"/>
      <c r="E290" s="249" t="n"/>
      <c r="F290" s="249" t="n"/>
      <c r="G290" s="249" t="n"/>
      <c r="H290" s="249" t="n"/>
      <c r="I290" s="249" t="n"/>
      <c r="J290" s="249" t="n"/>
      <c r="K290" s="249" t="n"/>
      <c r="L290" s="249" t="n"/>
      <c r="M290" s="249" t="n"/>
    </row>
    <row r="291" ht="13" customHeight="1" s="250">
      <c r="A291" s="249" t="n"/>
      <c r="B291" s="249" t="n"/>
      <c r="C291" s="249" t="n"/>
      <c r="D291" s="249" t="n"/>
      <c r="E291" s="249" t="n"/>
      <c r="F291" s="249" t="n"/>
      <c r="G291" s="249" t="n"/>
      <c r="H291" s="249" t="n"/>
      <c r="I291" s="249" t="n"/>
      <c r="J291" s="249" t="n"/>
      <c r="K291" s="249" t="n"/>
      <c r="L291" s="249" t="n"/>
      <c r="M291" s="249" t="n"/>
    </row>
    <row r="292" ht="13" customHeight="1" s="250">
      <c r="A292" s="249" t="n"/>
      <c r="B292" s="249" t="n"/>
      <c r="C292" s="249" t="n"/>
      <c r="D292" s="249" t="n"/>
      <c r="E292" s="249" t="n"/>
      <c r="F292" s="249" t="n"/>
      <c r="G292" s="249" t="n"/>
      <c r="H292" s="249" t="n"/>
      <c r="I292" s="249" t="n"/>
      <c r="J292" s="249" t="n"/>
      <c r="K292" s="249" t="n"/>
      <c r="L292" s="249" t="n"/>
      <c r="M292" s="249" t="n"/>
    </row>
    <row r="293" ht="13" customHeight="1" s="250">
      <c r="A293" s="249" t="n"/>
      <c r="B293" s="249" t="n"/>
      <c r="C293" s="249" t="n"/>
      <c r="D293" s="249" t="n"/>
      <c r="E293" s="249" t="n"/>
      <c r="F293" s="249" t="n"/>
      <c r="G293" s="249" t="n"/>
      <c r="H293" s="249" t="n"/>
      <c r="I293" s="249" t="n"/>
      <c r="J293" s="249" t="n"/>
      <c r="K293" s="249" t="n"/>
      <c r="L293" s="249" t="n"/>
      <c r="M293" s="249" t="n"/>
    </row>
    <row r="294" ht="13" customHeight="1" s="250">
      <c r="A294" s="249" t="n"/>
      <c r="B294" s="249" t="n"/>
      <c r="C294" s="249" t="n"/>
      <c r="D294" s="249" t="n"/>
      <c r="E294" s="249" t="n"/>
      <c r="F294" s="249" t="n"/>
      <c r="G294" s="249" t="n"/>
      <c r="H294" s="249" t="n"/>
      <c r="I294" s="249" t="n"/>
      <c r="J294" s="249" t="n"/>
      <c r="K294" s="249" t="n"/>
      <c r="L294" s="249" t="n"/>
      <c r="M294" s="249" t="n"/>
    </row>
    <row r="295" ht="13" customHeight="1" s="250">
      <c r="A295" s="249" t="n"/>
      <c r="B295" s="249" t="n"/>
      <c r="C295" s="249" t="n"/>
      <c r="D295" s="249" t="n"/>
      <c r="E295" s="249" t="n"/>
      <c r="F295" s="249" t="n"/>
      <c r="G295" s="249" t="n"/>
      <c r="H295" s="249" t="n"/>
      <c r="I295" s="249" t="n"/>
      <c r="J295" s="249" t="n"/>
      <c r="K295" s="249" t="n"/>
      <c r="L295" s="249" t="n"/>
      <c r="M295" s="249" t="n"/>
    </row>
    <row r="296" ht="13" customHeight="1" s="250">
      <c r="A296" s="249" t="n"/>
      <c r="B296" s="249" t="n"/>
      <c r="C296" s="249" t="n"/>
      <c r="D296" s="249" t="n"/>
      <c r="E296" s="249" t="n"/>
      <c r="F296" s="249" t="n"/>
      <c r="G296" s="249" t="n"/>
      <c r="H296" s="249" t="n"/>
      <c r="I296" s="249" t="n"/>
      <c r="J296" s="249" t="n"/>
      <c r="K296" s="249" t="n"/>
      <c r="L296" s="249" t="n"/>
      <c r="M296" s="249" t="n"/>
    </row>
    <row r="297" ht="13" customHeight="1" s="250">
      <c r="A297" s="249" t="n"/>
      <c r="B297" s="249" t="n"/>
      <c r="C297" s="249" t="n"/>
      <c r="D297" s="249" t="n"/>
      <c r="E297" s="249" t="n"/>
      <c r="F297" s="249" t="n"/>
      <c r="G297" s="249" t="n"/>
      <c r="H297" s="249" t="n"/>
      <c r="I297" s="249" t="n"/>
      <c r="J297" s="249" t="n"/>
      <c r="K297" s="249" t="n"/>
      <c r="L297" s="249" t="n"/>
      <c r="M297" s="249" t="n"/>
    </row>
    <row r="298" ht="13" customHeight="1" s="250">
      <c r="A298" s="249" t="n"/>
      <c r="B298" s="249" t="n"/>
      <c r="C298" s="249" t="n"/>
      <c r="D298" s="249" t="n"/>
      <c r="E298" s="249" t="n"/>
      <c r="F298" s="249" t="n"/>
      <c r="G298" s="249" t="n"/>
      <c r="H298" s="249" t="n"/>
      <c r="I298" s="249" t="n"/>
      <c r="J298" s="249" t="n"/>
      <c r="K298" s="249" t="n"/>
      <c r="L298" s="249" t="n"/>
      <c r="M298" s="249" t="n"/>
    </row>
    <row r="299" ht="13" customHeight="1" s="250">
      <c r="A299" s="249" t="n"/>
      <c r="B299" s="249" t="n"/>
      <c r="C299" s="249" t="n"/>
      <c r="D299" s="249" t="n"/>
      <c r="E299" s="249" t="n"/>
      <c r="F299" s="249" t="n"/>
      <c r="G299" s="249" t="n"/>
      <c r="H299" s="249" t="n"/>
      <c r="I299" s="249" t="n"/>
      <c r="J299" s="249" t="n"/>
      <c r="K299" s="249" t="n"/>
      <c r="L299" s="249" t="n"/>
      <c r="M299" s="249" t="n"/>
    </row>
    <row r="300" ht="13" customHeight="1" s="250">
      <c r="A300" s="249" t="n"/>
      <c r="B300" s="249" t="n"/>
      <c r="C300" s="249" t="n"/>
      <c r="D300" s="249" t="n"/>
      <c r="E300" s="249" t="n"/>
      <c r="F300" s="249" t="n"/>
      <c r="G300" s="249" t="n"/>
      <c r="H300" s="249" t="n"/>
      <c r="I300" s="249" t="n"/>
      <c r="J300" s="249" t="n"/>
      <c r="K300" s="249" t="n"/>
      <c r="L300" s="249" t="n"/>
      <c r="M300" s="249" t="n"/>
    </row>
    <row r="301" ht="13" customHeight="1" s="250">
      <c r="A301" s="249" t="n"/>
      <c r="B301" s="249" t="n"/>
      <c r="C301" s="249" t="n"/>
      <c r="D301" s="249" t="n"/>
      <c r="E301" s="249" t="n"/>
      <c r="F301" s="249" t="n"/>
      <c r="G301" s="249" t="n"/>
      <c r="H301" s="249" t="n"/>
      <c r="I301" s="249" t="n"/>
      <c r="J301" s="249" t="n"/>
      <c r="K301" s="249" t="n"/>
      <c r="L301" s="249" t="n"/>
      <c r="M301" s="249" t="n"/>
    </row>
    <row r="302" ht="13" customHeight="1" s="250">
      <c r="A302" s="249" t="n"/>
      <c r="B302" s="249" t="n"/>
      <c r="C302" s="249" t="n"/>
      <c r="D302" s="249" t="n"/>
      <c r="E302" s="249" t="n"/>
      <c r="F302" s="249" t="n"/>
      <c r="G302" s="249" t="n"/>
      <c r="H302" s="249" t="n"/>
      <c r="I302" s="249" t="n"/>
      <c r="J302" s="249" t="n"/>
      <c r="K302" s="249" t="n"/>
      <c r="L302" s="249" t="n"/>
      <c r="M302" s="249" t="n"/>
    </row>
    <row r="303" ht="13" customHeight="1" s="250">
      <c r="A303" s="249" t="n"/>
      <c r="B303" s="249" t="n"/>
      <c r="C303" s="249" t="n"/>
      <c r="D303" s="249" t="n"/>
      <c r="E303" s="249" t="n"/>
      <c r="F303" s="249" t="n"/>
      <c r="G303" s="249" t="n"/>
      <c r="H303" s="249" t="n"/>
      <c r="I303" s="249" t="n"/>
      <c r="J303" s="249" t="n"/>
      <c r="K303" s="249" t="n"/>
      <c r="L303" s="249" t="n"/>
      <c r="M303" s="249" t="n"/>
    </row>
    <row r="304" ht="13" customHeight="1" s="250">
      <c r="A304" s="249" t="n"/>
      <c r="B304" s="249" t="n"/>
      <c r="C304" s="249" t="n"/>
      <c r="D304" s="249" t="n"/>
      <c r="E304" s="249" t="n"/>
      <c r="F304" s="249" t="n"/>
      <c r="G304" s="249" t="n"/>
      <c r="H304" s="249" t="n"/>
      <c r="I304" s="249" t="n"/>
      <c r="J304" s="249" t="n"/>
      <c r="K304" s="249" t="n"/>
      <c r="L304" s="249" t="n"/>
      <c r="M304" s="249" t="n"/>
    </row>
    <row r="305" ht="13" customHeight="1" s="250">
      <c r="A305" s="249" t="n"/>
      <c r="B305" s="249" t="n"/>
      <c r="C305" s="249" t="n"/>
      <c r="D305" s="249" t="n"/>
      <c r="E305" s="249" t="n"/>
      <c r="F305" s="249" t="n"/>
      <c r="G305" s="249" t="n"/>
      <c r="H305" s="249" t="n"/>
      <c r="I305" s="249" t="n"/>
      <c r="J305" s="249" t="n"/>
      <c r="K305" s="249" t="n"/>
      <c r="L305" s="249" t="n"/>
      <c r="M305" s="249" t="n"/>
    </row>
    <row r="306" ht="13" customHeight="1" s="250">
      <c r="A306" s="249" t="n"/>
      <c r="B306" s="249" t="n"/>
      <c r="C306" s="249" t="n"/>
      <c r="D306" s="249" t="n"/>
      <c r="E306" s="249" t="n"/>
      <c r="F306" s="249" t="n"/>
      <c r="G306" s="249" t="n"/>
      <c r="H306" s="249" t="n"/>
      <c r="I306" s="249" t="n"/>
      <c r="J306" s="249" t="n"/>
      <c r="K306" s="249" t="n"/>
      <c r="L306" s="249" t="n"/>
      <c r="M306" s="249" t="n"/>
    </row>
    <row r="307" ht="13" customHeight="1" s="250">
      <c r="A307" s="249" t="n"/>
      <c r="B307" s="249" t="n"/>
      <c r="C307" s="249" t="n"/>
      <c r="D307" s="249" t="n"/>
      <c r="E307" s="249" t="n"/>
      <c r="F307" s="249" t="n"/>
      <c r="G307" s="249" t="n"/>
      <c r="H307" s="249" t="n"/>
      <c r="I307" s="249" t="n"/>
      <c r="J307" s="249" t="n"/>
      <c r="K307" s="249" t="n"/>
      <c r="L307" s="249" t="n"/>
      <c r="M307" s="249" t="n"/>
    </row>
    <row r="308" ht="13" customHeight="1" s="250">
      <c r="A308" s="249" t="n"/>
      <c r="B308" s="249" t="n"/>
      <c r="C308" s="249" t="n"/>
      <c r="D308" s="249" t="n"/>
      <c r="E308" s="249" t="n"/>
      <c r="F308" s="249" t="n"/>
      <c r="G308" s="249" t="n"/>
      <c r="H308" s="249" t="n"/>
      <c r="I308" s="249" t="n"/>
      <c r="J308" s="249" t="n"/>
      <c r="K308" s="249" t="n"/>
      <c r="L308" s="249" t="n"/>
      <c r="M308" s="249" t="n"/>
    </row>
    <row r="309" ht="13" customHeight="1" s="250">
      <c r="A309" s="249" t="n"/>
      <c r="B309" s="249" t="n"/>
      <c r="C309" s="249" t="n"/>
      <c r="D309" s="249" t="n"/>
      <c r="E309" s="249" t="n"/>
      <c r="F309" s="249" t="n"/>
      <c r="G309" s="249" t="n"/>
      <c r="H309" s="249" t="n"/>
      <c r="I309" s="249" t="n"/>
      <c r="J309" s="249" t="n"/>
      <c r="K309" s="249" t="n"/>
      <c r="L309" s="249" t="n"/>
      <c r="M309" s="249" t="n"/>
    </row>
    <row r="310" ht="13" customHeight="1" s="250">
      <c r="A310" s="249" t="n"/>
      <c r="B310" s="249" t="n"/>
      <c r="C310" s="249" t="n"/>
      <c r="D310" s="249" t="n"/>
      <c r="E310" s="249" t="n"/>
      <c r="F310" s="249" t="n"/>
      <c r="G310" s="249" t="n"/>
      <c r="H310" s="249" t="n"/>
      <c r="I310" s="249" t="n"/>
      <c r="J310" s="249" t="n"/>
      <c r="K310" s="249" t="n"/>
      <c r="L310" s="249" t="n"/>
      <c r="M310" s="249" t="n"/>
    </row>
    <row r="311" ht="13" customHeight="1" s="250">
      <c r="A311" s="249" t="n"/>
      <c r="B311" s="249" t="n"/>
      <c r="C311" s="249" t="n"/>
      <c r="D311" s="249" t="n"/>
      <c r="E311" s="249" t="n"/>
      <c r="F311" s="249" t="n"/>
      <c r="G311" s="249" t="n"/>
      <c r="H311" s="249" t="n"/>
      <c r="I311" s="249" t="n"/>
      <c r="J311" s="249" t="n"/>
      <c r="K311" s="249" t="n"/>
      <c r="L311" s="249" t="n"/>
      <c r="M311" s="249" t="n"/>
    </row>
    <row r="312" ht="13" customHeight="1" s="250">
      <c r="A312" s="249" t="n"/>
      <c r="B312" s="249" t="n"/>
      <c r="C312" s="249" t="n"/>
      <c r="D312" s="249" t="n"/>
      <c r="E312" s="249" t="n"/>
      <c r="F312" s="249" t="n"/>
      <c r="G312" s="249" t="n"/>
      <c r="H312" s="249" t="n"/>
      <c r="I312" s="249" t="n"/>
      <c r="J312" s="249" t="n"/>
      <c r="K312" s="249" t="n"/>
      <c r="L312" s="249" t="n"/>
      <c r="M312" s="249" t="n"/>
    </row>
    <row r="313" ht="13" customHeight="1" s="250">
      <c r="A313" s="249" t="n"/>
      <c r="B313" s="249" t="n"/>
      <c r="C313" s="249" t="n"/>
      <c r="D313" s="249" t="n"/>
      <c r="E313" s="249" t="n"/>
      <c r="F313" s="249" t="n"/>
      <c r="G313" s="249" t="n"/>
      <c r="H313" s="249" t="n"/>
      <c r="I313" s="249" t="n"/>
      <c r="J313" s="249" t="n"/>
      <c r="K313" s="249" t="n"/>
      <c r="L313" s="249" t="n"/>
      <c r="M313" s="249" t="n"/>
    </row>
    <row r="314" ht="13" customHeight="1" s="250">
      <c r="A314" s="249" t="n"/>
      <c r="B314" s="249" t="n"/>
      <c r="C314" s="249" t="n"/>
      <c r="D314" s="249" t="n"/>
      <c r="E314" s="249" t="n"/>
      <c r="F314" s="249" t="n"/>
      <c r="G314" s="249" t="n"/>
      <c r="H314" s="249" t="n"/>
      <c r="I314" s="249" t="n"/>
      <c r="J314" s="249" t="n"/>
      <c r="K314" s="249" t="n"/>
      <c r="L314" s="249" t="n"/>
      <c r="M314" s="249" t="n"/>
    </row>
    <row r="315" ht="13" customHeight="1" s="250">
      <c r="A315" s="249" t="n"/>
      <c r="B315" s="249" t="n"/>
      <c r="C315" s="249" t="n"/>
      <c r="D315" s="249" t="n"/>
      <c r="E315" s="249" t="n"/>
      <c r="F315" s="249" t="n"/>
      <c r="G315" s="249" t="n"/>
      <c r="H315" s="249" t="n"/>
      <c r="I315" s="249" t="n"/>
      <c r="J315" s="249" t="n"/>
      <c r="K315" s="249" t="n"/>
      <c r="L315" s="249" t="n"/>
      <c r="M315" s="249" t="n"/>
    </row>
    <row r="316" ht="13" customHeight="1" s="250">
      <c r="A316" s="249" t="n"/>
      <c r="B316" s="249" t="n"/>
      <c r="C316" s="249" t="n"/>
      <c r="D316" s="249" t="n"/>
      <c r="E316" s="249" t="n"/>
      <c r="F316" s="249" t="n"/>
      <c r="G316" s="249" t="n"/>
      <c r="H316" s="249" t="n"/>
      <c r="I316" s="249" t="n"/>
      <c r="J316" s="249" t="n"/>
      <c r="K316" s="249" t="n"/>
      <c r="L316" s="249" t="n"/>
      <c r="M316" s="249" t="n"/>
    </row>
    <row r="317" ht="13" customHeight="1" s="250">
      <c r="A317" s="249" t="n"/>
      <c r="B317" s="249" t="n"/>
      <c r="C317" s="249" t="n"/>
      <c r="D317" s="249" t="n"/>
      <c r="E317" s="249" t="n"/>
      <c r="F317" s="249" t="n"/>
      <c r="G317" s="249" t="n"/>
      <c r="H317" s="249" t="n"/>
      <c r="I317" s="249" t="n"/>
      <c r="J317" s="249" t="n"/>
      <c r="K317" s="249" t="n"/>
      <c r="L317" s="249" t="n"/>
      <c r="M317" s="249" t="n"/>
    </row>
    <row r="318" ht="13" customHeight="1" s="250">
      <c r="A318" s="249" t="n"/>
      <c r="B318" s="249" t="n"/>
      <c r="C318" s="249" t="n"/>
      <c r="D318" s="249" t="n"/>
      <c r="E318" s="249" t="n"/>
      <c r="F318" s="249" t="n"/>
      <c r="G318" s="249" t="n"/>
      <c r="H318" s="249" t="n"/>
      <c r="I318" s="249" t="n"/>
      <c r="J318" s="249" t="n"/>
      <c r="K318" s="249" t="n"/>
      <c r="L318" s="249" t="n"/>
      <c r="M318" s="249" t="n"/>
    </row>
    <row r="319" ht="13" customHeight="1" s="250">
      <c r="A319" s="249" t="n"/>
      <c r="B319" s="249" t="n"/>
      <c r="C319" s="249" t="n"/>
      <c r="D319" s="249" t="n"/>
      <c r="E319" s="249" t="n"/>
      <c r="F319" s="249" t="n"/>
      <c r="G319" s="249" t="n"/>
      <c r="H319" s="249" t="n"/>
      <c r="I319" s="249" t="n"/>
      <c r="J319" s="249" t="n"/>
      <c r="K319" s="249" t="n"/>
      <c r="L319" s="249" t="n"/>
      <c r="M319" s="249" t="n"/>
    </row>
    <row r="320" ht="13" customHeight="1" s="250">
      <c r="A320" s="249" t="n"/>
      <c r="B320" s="249" t="n"/>
      <c r="C320" s="249" t="n"/>
      <c r="D320" s="249" t="n"/>
      <c r="E320" s="249" t="n"/>
      <c r="F320" s="249" t="n"/>
      <c r="G320" s="249" t="n"/>
      <c r="H320" s="249" t="n"/>
      <c r="I320" s="249" t="n"/>
      <c r="J320" s="249" t="n"/>
      <c r="K320" s="249" t="n"/>
      <c r="L320" s="249" t="n"/>
      <c r="M320" s="249" t="n"/>
    </row>
    <row r="321" ht="13" customHeight="1" s="250">
      <c r="A321" s="249" t="n"/>
      <c r="B321" s="249" t="n"/>
      <c r="C321" s="249" t="n"/>
      <c r="D321" s="249" t="n"/>
      <c r="E321" s="249" t="n"/>
      <c r="F321" s="249" t="n"/>
      <c r="G321" s="249" t="n"/>
      <c r="H321" s="249" t="n"/>
      <c r="I321" s="249" t="n"/>
      <c r="J321" s="249" t="n"/>
      <c r="K321" s="249" t="n"/>
      <c r="L321" s="249" t="n"/>
      <c r="M321" s="249" t="n"/>
    </row>
    <row r="322" ht="13" customHeight="1" s="250">
      <c r="A322" s="249" t="n"/>
      <c r="B322" s="249" t="n"/>
      <c r="C322" s="249" t="n"/>
      <c r="D322" s="249" t="n"/>
      <c r="E322" s="249" t="n"/>
      <c r="F322" s="249" t="n"/>
      <c r="G322" s="249" t="n"/>
      <c r="H322" s="249" t="n"/>
      <c r="I322" s="249" t="n"/>
      <c r="J322" s="249" t="n"/>
      <c r="K322" s="249" t="n"/>
      <c r="L322" s="249" t="n"/>
      <c r="M322" s="249" t="n"/>
    </row>
    <row r="323" ht="13" customHeight="1" s="250">
      <c r="A323" s="249" t="n"/>
      <c r="B323" s="249" t="n"/>
      <c r="C323" s="249" t="n"/>
      <c r="D323" s="249" t="n"/>
      <c r="E323" s="249" t="n"/>
      <c r="F323" s="249" t="n"/>
      <c r="G323" s="249" t="n"/>
      <c r="H323" s="249" t="n"/>
      <c r="I323" s="249" t="n"/>
      <c r="J323" s="249" t="n"/>
      <c r="K323" s="249" t="n"/>
      <c r="L323" s="249" t="n"/>
      <c r="M323" s="249" t="n"/>
    </row>
    <row r="324" ht="13" customHeight="1" s="250">
      <c r="A324" s="249" t="n"/>
      <c r="B324" s="249" t="n"/>
      <c r="C324" s="249" t="n"/>
      <c r="D324" s="249" t="n"/>
      <c r="E324" s="249" t="n"/>
      <c r="F324" s="249" t="n"/>
      <c r="G324" s="249" t="n"/>
      <c r="H324" s="249" t="n"/>
      <c r="I324" s="249" t="n"/>
      <c r="J324" s="249" t="n"/>
      <c r="K324" s="249" t="n"/>
      <c r="L324" s="249" t="n"/>
      <c r="M324" s="249" t="n"/>
    </row>
    <row r="325" ht="13" customHeight="1" s="250">
      <c r="A325" s="249" t="n"/>
      <c r="B325" s="249" t="n"/>
      <c r="C325" s="249" t="n"/>
      <c r="D325" s="249" t="n"/>
      <c r="E325" s="249" t="n"/>
      <c r="F325" s="249" t="n"/>
      <c r="G325" s="249" t="n"/>
      <c r="H325" s="249" t="n"/>
      <c r="I325" s="249" t="n"/>
      <c r="J325" s="249" t="n"/>
      <c r="K325" s="249" t="n"/>
      <c r="L325" s="249" t="n"/>
      <c r="M325" s="249" t="n"/>
    </row>
    <row r="326" ht="13" customHeight="1" s="250">
      <c r="A326" s="249" t="n"/>
      <c r="B326" s="249" t="n"/>
      <c r="C326" s="249" t="n"/>
      <c r="D326" s="249" t="n"/>
      <c r="E326" s="249" t="n"/>
      <c r="F326" s="249" t="n"/>
      <c r="G326" s="249" t="n"/>
      <c r="H326" s="249" t="n"/>
      <c r="I326" s="249" t="n"/>
      <c r="J326" s="249" t="n"/>
      <c r="K326" s="249" t="n"/>
      <c r="L326" s="249" t="n"/>
      <c r="M326" s="249" t="n"/>
    </row>
    <row r="327" ht="13" customHeight="1" s="250">
      <c r="A327" s="249" t="n"/>
      <c r="B327" s="249" t="n"/>
      <c r="C327" s="249" t="n"/>
      <c r="D327" s="249" t="n"/>
      <c r="E327" s="249" t="n"/>
      <c r="F327" s="249" t="n"/>
      <c r="G327" s="249" t="n"/>
      <c r="H327" s="249" t="n"/>
      <c r="I327" s="249" t="n"/>
      <c r="J327" s="249" t="n"/>
      <c r="K327" s="249" t="n"/>
      <c r="L327" s="249" t="n"/>
      <c r="M327" s="249" t="n"/>
    </row>
    <row r="328" ht="13" customHeight="1" s="250">
      <c r="A328" s="249" t="n"/>
      <c r="B328" s="249" t="n"/>
      <c r="C328" s="249" t="n"/>
      <c r="D328" s="249" t="n"/>
      <c r="E328" s="249" t="n"/>
      <c r="F328" s="249" t="n"/>
      <c r="G328" s="249" t="n"/>
      <c r="H328" s="249" t="n"/>
      <c r="I328" s="249" t="n"/>
      <c r="J328" s="249" t="n"/>
      <c r="K328" s="249" t="n"/>
      <c r="L328" s="249" t="n"/>
      <c r="M328" s="249" t="n"/>
    </row>
    <row r="329" ht="13" customHeight="1" s="250">
      <c r="A329" s="249" t="n"/>
      <c r="B329" s="249" t="n"/>
      <c r="C329" s="249" t="n"/>
      <c r="D329" s="249" t="n"/>
      <c r="E329" s="249" t="n"/>
      <c r="F329" s="249" t="n"/>
      <c r="G329" s="249" t="n"/>
      <c r="H329" s="249" t="n"/>
      <c r="I329" s="249" t="n"/>
      <c r="J329" s="249" t="n"/>
      <c r="K329" s="249" t="n"/>
      <c r="L329" s="249" t="n"/>
      <c r="M329" s="249" t="n"/>
    </row>
    <row r="330" ht="13" customHeight="1" s="250">
      <c r="A330" s="249" t="n"/>
      <c r="B330" s="249" t="n"/>
      <c r="C330" s="249" t="n"/>
      <c r="D330" s="249" t="n"/>
      <c r="E330" s="249" t="n"/>
      <c r="F330" s="249" t="n"/>
      <c r="G330" s="249" t="n"/>
      <c r="H330" s="249" t="n"/>
      <c r="I330" s="249" t="n"/>
      <c r="J330" s="249" t="n"/>
      <c r="K330" s="249" t="n"/>
      <c r="L330" s="249" t="n"/>
      <c r="M330" s="249" t="n"/>
    </row>
    <row r="331" ht="13" customHeight="1" s="250">
      <c r="A331" s="249" t="n"/>
      <c r="B331" s="249" t="n"/>
      <c r="C331" s="249" t="n"/>
      <c r="D331" s="249" t="n"/>
      <c r="E331" s="249" t="n"/>
      <c r="F331" s="249" t="n"/>
      <c r="G331" s="249" t="n"/>
      <c r="H331" s="249" t="n"/>
      <c r="I331" s="249" t="n"/>
      <c r="J331" s="249" t="n"/>
      <c r="K331" s="249" t="n"/>
      <c r="L331" s="249" t="n"/>
      <c r="M331" s="249" t="n"/>
    </row>
    <row r="332" ht="13" customHeight="1" s="250">
      <c r="A332" s="249" t="n"/>
      <c r="B332" s="249" t="n"/>
      <c r="C332" s="249" t="n"/>
      <c r="D332" s="249" t="n"/>
      <c r="E332" s="249" t="n"/>
      <c r="F332" s="249" t="n"/>
      <c r="G332" s="249" t="n"/>
      <c r="H332" s="249" t="n"/>
      <c r="I332" s="249" t="n"/>
      <c r="J332" s="249" t="n"/>
      <c r="K332" s="249" t="n"/>
      <c r="L332" s="249" t="n"/>
      <c r="M332" s="249" t="n"/>
    </row>
    <row r="333" ht="13" customHeight="1" s="250">
      <c r="A333" s="249" t="n"/>
      <c r="B333" s="249" t="n"/>
      <c r="C333" s="249" t="n"/>
      <c r="D333" s="249" t="n"/>
      <c r="E333" s="249" t="n"/>
      <c r="F333" s="249" t="n"/>
      <c r="G333" s="249" t="n"/>
      <c r="H333" s="249" t="n"/>
      <c r="I333" s="249" t="n"/>
      <c r="J333" s="249" t="n"/>
      <c r="K333" s="249" t="n"/>
      <c r="L333" s="249" t="n"/>
      <c r="M333" s="249" t="n"/>
    </row>
    <row r="334" ht="13" customHeight="1" s="250">
      <c r="A334" s="249" t="n"/>
      <c r="B334" s="249" t="n"/>
      <c r="C334" s="249" t="n"/>
      <c r="D334" s="249" t="n"/>
      <c r="E334" s="249" t="n"/>
      <c r="F334" s="249" t="n"/>
      <c r="G334" s="249" t="n"/>
      <c r="H334" s="249" t="n"/>
      <c r="I334" s="249" t="n"/>
      <c r="J334" s="249" t="n"/>
      <c r="K334" s="249" t="n"/>
      <c r="L334" s="249" t="n"/>
      <c r="M334" s="249" t="n"/>
    </row>
    <row r="335" ht="13" customHeight="1" s="250">
      <c r="A335" s="249" t="n"/>
      <c r="B335" s="249" t="n"/>
      <c r="C335" s="249" t="n"/>
      <c r="D335" s="249" t="n"/>
      <c r="E335" s="249" t="n"/>
      <c r="F335" s="249" t="n"/>
      <c r="G335" s="249" t="n"/>
      <c r="H335" s="249" t="n"/>
      <c r="I335" s="249" t="n"/>
      <c r="J335" s="249" t="n"/>
      <c r="K335" s="249" t="n"/>
      <c r="L335" s="249" t="n"/>
      <c r="M335" s="249" t="n"/>
    </row>
    <row r="336" ht="13" customHeight="1" s="250">
      <c r="A336" s="249" t="n"/>
      <c r="B336" s="249" t="n"/>
      <c r="C336" s="249" t="n"/>
      <c r="D336" s="249" t="n"/>
      <c r="E336" s="249" t="n"/>
      <c r="F336" s="249" t="n"/>
      <c r="G336" s="249" t="n"/>
      <c r="H336" s="249" t="n"/>
      <c r="I336" s="249" t="n"/>
      <c r="J336" s="249" t="n"/>
      <c r="K336" s="249" t="n"/>
      <c r="L336" s="249" t="n"/>
      <c r="M336" s="249" t="n"/>
    </row>
    <row r="337" ht="13" customHeight="1" s="250">
      <c r="A337" s="249" t="n"/>
      <c r="B337" s="249" t="n"/>
      <c r="C337" s="249" t="n"/>
      <c r="D337" s="249" t="n"/>
      <c r="E337" s="249" t="n"/>
      <c r="F337" s="249" t="n"/>
      <c r="G337" s="249" t="n"/>
      <c r="H337" s="249" t="n"/>
      <c r="I337" s="249" t="n"/>
      <c r="J337" s="249" t="n"/>
      <c r="K337" s="249" t="n"/>
      <c r="L337" s="249" t="n"/>
      <c r="M337" s="249" t="n"/>
    </row>
    <row r="338" ht="13" customHeight="1" s="250">
      <c r="A338" s="249" t="n"/>
      <c r="B338" s="249" t="n"/>
      <c r="C338" s="249" t="n"/>
      <c r="D338" s="249" t="n"/>
      <c r="E338" s="249" t="n"/>
      <c r="F338" s="249" t="n"/>
      <c r="G338" s="249" t="n"/>
      <c r="H338" s="249" t="n"/>
      <c r="I338" s="249" t="n"/>
      <c r="J338" s="249" t="n"/>
      <c r="K338" s="249" t="n"/>
      <c r="L338" s="249" t="n"/>
      <c r="M338" s="249" t="n"/>
    </row>
    <row r="339" ht="13" customHeight="1" s="250">
      <c r="A339" s="249" t="n"/>
      <c r="B339" s="249" t="n"/>
      <c r="C339" s="249" t="n"/>
      <c r="D339" s="249" t="n"/>
      <c r="E339" s="249" t="n"/>
      <c r="F339" s="249" t="n"/>
      <c r="G339" s="249" t="n"/>
      <c r="H339" s="249" t="n"/>
      <c r="I339" s="249" t="n"/>
      <c r="J339" s="249" t="n"/>
      <c r="K339" s="249" t="n"/>
      <c r="L339" s="249" t="n"/>
      <c r="M339" s="249" t="n"/>
    </row>
    <row r="340" ht="13" customHeight="1" s="250">
      <c r="A340" s="249" t="n"/>
      <c r="B340" s="249" t="n"/>
      <c r="C340" s="249" t="n"/>
      <c r="D340" s="249" t="n"/>
      <c r="E340" s="249" t="n"/>
      <c r="F340" s="249" t="n"/>
      <c r="G340" s="249" t="n"/>
      <c r="H340" s="249" t="n"/>
      <c r="I340" s="249" t="n"/>
      <c r="J340" s="249" t="n"/>
      <c r="K340" s="249" t="n"/>
      <c r="L340" s="249" t="n"/>
      <c r="M340" s="249" t="n"/>
    </row>
    <row r="341" ht="13" customHeight="1" s="250">
      <c r="A341" s="249" t="n"/>
      <c r="B341" s="249" t="n"/>
      <c r="C341" s="249" t="n"/>
      <c r="D341" s="249" t="n"/>
      <c r="E341" s="249" t="n"/>
      <c r="F341" s="249" t="n"/>
      <c r="G341" s="249" t="n"/>
      <c r="H341" s="249" t="n"/>
      <c r="I341" s="249" t="n"/>
      <c r="J341" s="249" t="n"/>
      <c r="K341" s="249" t="n"/>
      <c r="L341" s="249" t="n"/>
      <c r="M341" s="249" t="n"/>
    </row>
    <row r="342" ht="13" customHeight="1" s="250">
      <c r="A342" s="249" t="n"/>
      <c r="B342" s="249" t="n"/>
      <c r="C342" s="249" t="n"/>
      <c r="D342" s="249" t="n"/>
      <c r="E342" s="249" t="n"/>
      <c r="F342" s="249" t="n"/>
      <c r="G342" s="249" t="n"/>
      <c r="H342" s="249" t="n"/>
      <c r="I342" s="249" t="n"/>
      <c r="J342" s="249" t="n"/>
      <c r="K342" s="249" t="n"/>
      <c r="L342" s="249" t="n"/>
      <c r="M342" s="249" t="n"/>
    </row>
    <row r="343" ht="13" customHeight="1" s="250">
      <c r="A343" s="249" t="n"/>
      <c r="B343" s="249" t="n"/>
      <c r="C343" s="249" t="n"/>
      <c r="D343" s="249" t="n"/>
      <c r="E343" s="249" t="n"/>
      <c r="F343" s="249" t="n"/>
      <c r="G343" s="249" t="n"/>
      <c r="H343" s="249" t="n"/>
      <c r="I343" s="249" t="n"/>
      <c r="J343" s="249" t="n"/>
      <c r="K343" s="249" t="n"/>
      <c r="L343" s="249" t="n"/>
      <c r="M343" s="249" t="n"/>
    </row>
    <row r="344" ht="13" customHeight="1" s="250">
      <c r="A344" s="249" t="n"/>
      <c r="B344" s="249" t="n"/>
      <c r="C344" s="249" t="n"/>
      <c r="D344" s="249" t="n"/>
      <c r="E344" s="249" t="n"/>
      <c r="F344" s="249" t="n"/>
      <c r="G344" s="249" t="n"/>
      <c r="H344" s="249" t="n"/>
      <c r="I344" s="249" t="n"/>
      <c r="J344" s="249" t="n"/>
      <c r="K344" s="249" t="n"/>
      <c r="L344" s="249" t="n"/>
      <c r="M344" s="249" t="n"/>
    </row>
    <row r="345" ht="13" customHeight="1" s="250">
      <c r="A345" s="249" t="n"/>
      <c r="B345" s="249" t="n"/>
      <c r="C345" s="249" t="n"/>
      <c r="D345" s="249" t="n"/>
      <c r="E345" s="249" t="n"/>
      <c r="F345" s="249" t="n"/>
      <c r="G345" s="249" t="n"/>
      <c r="H345" s="249" t="n"/>
      <c r="I345" s="249" t="n"/>
      <c r="J345" s="249" t="n"/>
      <c r="K345" s="249" t="n"/>
      <c r="L345" s="249" t="n"/>
      <c r="M345" s="249" t="n"/>
    </row>
    <row r="346" ht="13" customHeight="1" s="250">
      <c r="A346" s="249" t="n"/>
      <c r="B346" s="249" t="n"/>
      <c r="C346" s="249" t="n"/>
      <c r="D346" s="249" t="n"/>
      <c r="E346" s="249" t="n"/>
      <c r="F346" s="249" t="n"/>
      <c r="G346" s="249" t="n"/>
      <c r="H346" s="249" t="n"/>
      <c r="I346" s="249" t="n"/>
      <c r="J346" s="249" t="n"/>
      <c r="K346" s="249" t="n"/>
      <c r="L346" s="249" t="n"/>
      <c r="M346" s="249" t="n"/>
    </row>
    <row r="347" ht="13" customHeight="1" s="250">
      <c r="A347" s="249" t="n"/>
      <c r="B347" s="249" t="n"/>
      <c r="C347" s="249" t="n"/>
      <c r="D347" s="249" t="n"/>
      <c r="E347" s="249" t="n"/>
      <c r="F347" s="249" t="n"/>
      <c r="G347" s="249" t="n"/>
      <c r="H347" s="249" t="n"/>
      <c r="I347" s="249" t="n"/>
      <c r="J347" s="249" t="n"/>
      <c r="K347" s="249" t="n"/>
      <c r="L347" s="249" t="n"/>
      <c r="M347" s="249" t="n"/>
    </row>
    <row r="348" ht="13" customHeight="1" s="250">
      <c r="A348" s="249" t="n"/>
      <c r="B348" s="249" t="n"/>
      <c r="C348" s="249" t="n"/>
      <c r="D348" s="249" t="n"/>
      <c r="E348" s="249" t="n"/>
      <c r="F348" s="249" t="n"/>
      <c r="G348" s="249" t="n"/>
      <c r="H348" s="249" t="n"/>
      <c r="I348" s="249" t="n"/>
      <c r="J348" s="249" t="n"/>
      <c r="K348" s="249" t="n"/>
      <c r="L348" s="249" t="n"/>
      <c r="M348" s="249" t="n"/>
    </row>
    <row r="349" ht="13" customHeight="1" s="250">
      <c r="A349" s="249" t="n"/>
      <c r="B349" s="249" t="n"/>
      <c r="C349" s="249" t="n"/>
      <c r="D349" s="249" t="n"/>
      <c r="E349" s="249" t="n"/>
      <c r="F349" s="249" t="n"/>
      <c r="G349" s="249" t="n"/>
      <c r="H349" s="249" t="n"/>
      <c r="I349" s="249" t="n"/>
      <c r="J349" s="249" t="n"/>
      <c r="K349" s="249" t="n"/>
      <c r="L349" s="249" t="n"/>
      <c r="M349" s="249" t="n"/>
    </row>
    <row r="350" ht="13" customHeight="1" s="250">
      <c r="A350" s="249" t="n"/>
      <c r="B350" s="249" t="n"/>
      <c r="C350" s="249" t="n"/>
      <c r="D350" s="249" t="n"/>
      <c r="E350" s="249" t="n"/>
      <c r="F350" s="249" t="n"/>
      <c r="G350" s="249" t="n"/>
      <c r="H350" s="249" t="n"/>
      <c r="I350" s="249" t="n"/>
      <c r="J350" s="249" t="n"/>
      <c r="K350" s="249" t="n"/>
      <c r="L350" s="249" t="n"/>
      <c r="M350" s="249" t="n"/>
    </row>
    <row r="351" ht="13" customHeight="1" s="250">
      <c r="A351" s="249" t="n"/>
      <c r="B351" s="249" t="n"/>
      <c r="C351" s="249" t="n"/>
      <c r="D351" s="249" t="n"/>
      <c r="E351" s="249" t="n"/>
      <c r="F351" s="249" t="n"/>
      <c r="G351" s="249" t="n"/>
      <c r="H351" s="249" t="n"/>
      <c r="I351" s="249" t="n"/>
      <c r="J351" s="249" t="n"/>
      <c r="K351" s="249" t="n"/>
      <c r="L351" s="249" t="n"/>
      <c r="M351" s="249" t="n"/>
    </row>
    <row r="352" ht="13" customHeight="1" s="250">
      <c r="A352" s="249" t="n"/>
      <c r="B352" s="249" t="n"/>
      <c r="C352" s="249" t="n"/>
      <c r="D352" s="249" t="n"/>
      <c r="E352" s="249" t="n"/>
      <c r="F352" s="249" t="n"/>
      <c r="G352" s="249" t="n"/>
      <c r="H352" s="249" t="n"/>
      <c r="I352" s="249" t="n"/>
      <c r="J352" s="249" t="n"/>
      <c r="K352" s="249" t="n"/>
      <c r="L352" s="249" t="n"/>
      <c r="M352" s="249" t="n"/>
    </row>
    <row r="353" ht="13" customHeight="1" s="250">
      <c r="A353" s="249" t="n"/>
      <c r="B353" s="249" t="n"/>
      <c r="C353" s="249" t="n"/>
      <c r="D353" s="249" t="n"/>
      <c r="E353" s="249" t="n"/>
      <c r="F353" s="249" t="n"/>
      <c r="G353" s="249" t="n"/>
      <c r="H353" s="249" t="n"/>
      <c r="I353" s="249" t="n"/>
      <c r="J353" s="249" t="n"/>
      <c r="K353" s="249" t="n"/>
      <c r="L353" s="249" t="n"/>
      <c r="M353" s="249" t="n"/>
    </row>
    <row r="354" ht="13" customHeight="1" s="250">
      <c r="A354" s="249" t="n"/>
      <c r="B354" s="249" t="n"/>
      <c r="C354" s="249" t="n"/>
      <c r="D354" s="249" t="n"/>
      <c r="E354" s="249" t="n"/>
      <c r="F354" s="249" t="n"/>
      <c r="G354" s="249" t="n"/>
      <c r="H354" s="249" t="n"/>
      <c r="I354" s="249" t="n"/>
      <c r="J354" s="249" t="n"/>
      <c r="K354" s="249" t="n"/>
      <c r="L354" s="249" t="n"/>
      <c r="M354" s="249" t="n"/>
    </row>
    <row r="355" ht="13" customHeight="1" s="250">
      <c r="A355" s="249" t="n"/>
      <c r="B355" s="249" t="n"/>
      <c r="C355" s="249" t="n"/>
      <c r="D355" s="249" t="n"/>
      <c r="E355" s="249" t="n"/>
      <c r="F355" s="249" t="n"/>
      <c r="G355" s="249" t="n"/>
      <c r="H355" s="249" t="n"/>
      <c r="I355" s="249" t="n"/>
      <c r="J355" s="249" t="n"/>
      <c r="K355" s="249" t="n"/>
      <c r="L355" s="249" t="n"/>
      <c r="M355" s="249" t="n"/>
    </row>
    <row r="356" ht="13" customHeight="1" s="250">
      <c r="A356" s="249" t="n"/>
      <c r="B356" s="249" t="n"/>
      <c r="C356" s="249" t="n"/>
      <c r="D356" s="249" t="n"/>
      <c r="E356" s="249" t="n"/>
      <c r="F356" s="249" t="n"/>
      <c r="G356" s="249" t="n"/>
      <c r="H356" s="249" t="n"/>
      <c r="I356" s="249" t="n"/>
      <c r="J356" s="249" t="n"/>
      <c r="K356" s="249" t="n"/>
      <c r="L356" s="249" t="n"/>
      <c r="M356" s="249" t="n"/>
    </row>
    <row r="357" ht="13" customHeight="1" s="250">
      <c r="A357" s="249" t="n"/>
      <c r="B357" s="249" t="n"/>
      <c r="C357" s="249" t="n"/>
      <c r="D357" s="249" t="n"/>
      <c r="E357" s="249" t="n"/>
      <c r="F357" s="249" t="n"/>
      <c r="G357" s="249" t="n"/>
      <c r="H357" s="249" t="n"/>
      <c r="I357" s="249" t="n"/>
      <c r="J357" s="249" t="n"/>
      <c r="K357" s="249" t="n"/>
      <c r="L357" s="249" t="n"/>
      <c r="M357" s="249" t="n"/>
    </row>
    <row r="358" ht="13" customHeight="1" s="250">
      <c r="A358" s="249" t="n"/>
      <c r="B358" s="249" t="n"/>
      <c r="C358" s="249" t="n"/>
      <c r="D358" s="249" t="n"/>
      <c r="E358" s="249" t="n"/>
      <c r="F358" s="249" t="n"/>
      <c r="G358" s="249" t="n"/>
      <c r="H358" s="249" t="n"/>
      <c r="I358" s="249" t="n"/>
      <c r="J358" s="249" t="n"/>
      <c r="K358" s="249" t="n"/>
      <c r="L358" s="249" t="n"/>
      <c r="M358" s="249" t="n"/>
    </row>
    <row r="359" ht="13" customHeight="1" s="250">
      <c r="A359" s="249" t="n"/>
      <c r="B359" s="249" t="n"/>
      <c r="C359" s="249" t="n"/>
      <c r="D359" s="249" t="n"/>
      <c r="E359" s="249" t="n"/>
      <c r="F359" s="249" t="n"/>
      <c r="G359" s="249" t="n"/>
      <c r="H359" s="249" t="n"/>
      <c r="I359" s="249" t="n"/>
      <c r="J359" s="249" t="n"/>
      <c r="K359" s="249" t="n"/>
      <c r="L359" s="249" t="n"/>
      <c r="M359" s="249" t="n"/>
    </row>
    <row r="360" ht="13" customHeight="1" s="250">
      <c r="A360" s="249" t="n"/>
      <c r="B360" s="249" t="n"/>
      <c r="C360" s="249" t="n"/>
      <c r="D360" s="249" t="n"/>
      <c r="E360" s="249" t="n"/>
      <c r="F360" s="249" t="n"/>
      <c r="G360" s="249" t="n"/>
      <c r="H360" s="249" t="n"/>
      <c r="I360" s="249" t="n"/>
      <c r="J360" s="249" t="n"/>
      <c r="K360" s="249" t="n"/>
      <c r="L360" s="249" t="n"/>
      <c r="M360" s="249" t="n"/>
    </row>
    <row r="361" ht="13" customHeight="1" s="250">
      <c r="A361" s="249" t="n"/>
      <c r="B361" s="249" t="n"/>
      <c r="C361" s="249" t="n"/>
      <c r="D361" s="249" t="n"/>
      <c r="E361" s="249" t="n"/>
      <c r="F361" s="249" t="n"/>
      <c r="G361" s="249" t="n"/>
      <c r="H361" s="249" t="n"/>
      <c r="I361" s="249" t="n"/>
      <c r="J361" s="249" t="n"/>
      <c r="K361" s="249" t="n"/>
      <c r="L361" s="249" t="n"/>
      <c r="M361" s="249" t="n"/>
    </row>
    <row r="362" ht="13" customHeight="1" s="250">
      <c r="A362" s="249" t="n"/>
      <c r="B362" s="249" t="n"/>
      <c r="C362" s="249" t="n"/>
      <c r="D362" s="249" t="n"/>
      <c r="E362" s="249" t="n"/>
      <c r="F362" s="249" t="n"/>
      <c r="G362" s="249" t="n"/>
      <c r="H362" s="249" t="n"/>
      <c r="I362" s="249" t="n"/>
      <c r="J362" s="249" t="n"/>
      <c r="K362" s="249" t="n"/>
      <c r="L362" s="249" t="n"/>
      <c r="M362" s="249" t="n"/>
    </row>
    <row r="363" ht="13" customHeight="1" s="250">
      <c r="A363" s="249" t="n"/>
      <c r="B363" s="249" t="n"/>
      <c r="C363" s="249" t="n"/>
      <c r="D363" s="249" t="n"/>
      <c r="E363" s="249" t="n"/>
      <c r="F363" s="249" t="n"/>
      <c r="G363" s="249" t="n"/>
      <c r="H363" s="249" t="n"/>
      <c r="I363" s="249" t="n"/>
      <c r="J363" s="249" t="n"/>
      <c r="K363" s="249" t="n"/>
      <c r="L363" s="249" t="n"/>
      <c r="M363" s="249" t="n"/>
    </row>
    <row r="364" ht="13" customHeight="1" s="250">
      <c r="A364" s="249" t="n"/>
      <c r="B364" s="249" t="n"/>
      <c r="C364" s="249" t="n"/>
      <c r="D364" s="249" t="n"/>
      <c r="E364" s="249" t="n"/>
      <c r="F364" s="249" t="n"/>
      <c r="G364" s="249" t="n"/>
      <c r="H364" s="249" t="n"/>
      <c r="I364" s="249" t="n"/>
      <c r="J364" s="249" t="n"/>
      <c r="K364" s="249" t="n"/>
      <c r="L364" s="249" t="n"/>
      <c r="M364" s="249" t="n"/>
    </row>
    <row r="365" ht="13" customHeight="1" s="250">
      <c r="A365" s="249" t="n"/>
      <c r="B365" s="249" t="n"/>
      <c r="C365" s="249" t="n"/>
      <c r="D365" s="249" t="n"/>
      <c r="E365" s="249" t="n"/>
      <c r="F365" s="249" t="n"/>
      <c r="G365" s="249" t="n"/>
      <c r="H365" s="249" t="n"/>
      <c r="I365" s="249" t="n"/>
      <c r="J365" s="249" t="n"/>
      <c r="K365" s="249" t="n"/>
      <c r="L365" s="249" t="n"/>
      <c r="M365" s="249" t="n"/>
    </row>
    <row r="366" ht="13" customHeight="1" s="250">
      <c r="A366" s="249" t="n"/>
      <c r="B366" s="249" t="n"/>
      <c r="C366" s="249" t="n"/>
      <c r="D366" s="249" t="n"/>
      <c r="E366" s="249" t="n"/>
      <c r="F366" s="249" t="n"/>
      <c r="G366" s="249" t="n"/>
      <c r="H366" s="249" t="n"/>
      <c r="I366" s="249" t="n"/>
      <c r="J366" s="249" t="n"/>
      <c r="K366" s="249" t="n"/>
      <c r="L366" s="249" t="n"/>
      <c r="M366" s="249" t="n"/>
    </row>
    <row r="367" ht="13" customHeight="1" s="250">
      <c r="A367" s="249" t="n"/>
      <c r="B367" s="249" t="n"/>
      <c r="C367" s="249" t="n"/>
      <c r="D367" s="249" t="n"/>
      <c r="E367" s="249" t="n"/>
      <c r="F367" s="249" t="n"/>
      <c r="G367" s="249" t="n"/>
      <c r="H367" s="249" t="n"/>
      <c r="I367" s="249" t="n"/>
      <c r="J367" s="249" t="n"/>
      <c r="K367" s="249" t="n"/>
      <c r="L367" s="249" t="n"/>
      <c r="M367" s="249" t="n"/>
    </row>
    <row r="368" ht="13" customHeight="1" s="250">
      <c r="A368" s="249" t="n"/>
      <c r="B368" s="249" t="n"/>
      <c r="C368" s="249" t="n"/>
      <c r="D368" s="249" t="n"/>
      <c r="E368" s="249" t="n"/>
      <c r="F368" s="249" t="n"/>
      <c r="G368" s="249" t="n"/>
      <c r="H368" s="249" t="n"/>
      <c r="I368" s="249" t="n"/>
      <c r="J368" s="249" t="n"/>
      <c r="K368" s="249" t="n"/>
      <c r="L368" s="249" t="n"/>
      <c r="M368" s="249" t="n"/>
    </row>
    <row r="369" ht="13" customHeight="1" s="250">
      <c r="A369" s="249" t="n"/>
      <c r="B369" s="249" t="n"/>
      <c r="C369" s="249" t="n"/>
      <c r="D369" s="249" t="n"/>
      <c r="E369" s="249" t="n"/>
      <c r="F369" s="249" t="n"/>
      <c r="G369" s="249" t="n"/>
      <c r="H369" s="249" t="n"/>
      <c r="I369" s="249" t="n"/>
      <c r="J369" s="249" t="n"/>
      <c r="K369" s="249" t="n"/>
      <c r="L369" s="249" t="n"/>
      <c r="M369" s="249" t="n"/>
    </row>
    <row r="370" ht="13" customHeight="1" s="250">
      <c r="A370" s="249" t="n"/>
      <c r="B370" s="249" t="n"/>
      <c r="C370" s="249" t="n"/>
      <c r="D370" s="249" t="n"/>
      <c r="E370" s="249" t="n"/>
      <c r="F370" s="249" t="n"/>
      <c r="G370" s="249" t="n"/>
      <c r="H370" s="249" t="n"/>
      <c r="I370" s="249" t="n"/>
      <c r="J370" s="249" t="n"/>
      <c r="K370" s="249" t="n"/>
      <c r="L370" s="249" t="n"/>
      <c r="M370" s="249" t="n"/>
    </row>
    <row r="371" ht="13" customHeight="1" s="250">
      <c r="A371" s="249" t="n"/>
      <c r="B371" s="249" t="n"/>
      <c r="C371" s="249" t="n"/>
      <c r="D371" s="249" t="n"/>
      <c r="E371" s="249" t="n"/>
      <c r="F371" s="249" t="n"/>
      <c r="G371" s="249" t="n"/>
      <c r="H371" s="249" t="n"/>
      <c r="I371" s="249" t="n"/>
      <c r="J371" s="249" t="n"/>
      <c r="K371" s="249" t="n"/>
      <c r="L371" s="249" t="n"/>
      <c r="M371" s="249" t="n"/>
    </row>
    <row r="372" ht="13" customHeight="1" s="250">
      <c r="A372" s="249" t="n"/>
      <c r="B372" s="249" t="n"/>
      <c r="C372" s="249" t="n"/>
      <c r="D372" s="249" t="n"/>
      <c r="E372" s="249" t="n"/>
      <c r="F372" s="249" t="n"/>
      <c r="G372" s="249" t="n"/>
      <c r="H372" s="249" t="n"/>
      <c r="I372" s="249" t="n"/>
      <c r="J372" s="249" t="n"/>
      <c r="K372" s="249" t="n"/>
      <c r="L372" s="249" t="n"/>
      <c r="M372" s="249" t="n"/>
    </row>
    <row r="373" ht="13" customHeight="1" s="250">
      <c r="A373" s="249" t="n"/>
      <c r="B373" s="249" t="n"/>
      <c r="C373" s="249" t="n"/>
      <c r="D373" s="249" t="n"/>
      <c r="E373" s="249" t="n"/>
      <c r="F373" s="249" t="n"/>
      <c r="G373" s="249" t="n"/>
      <c r="H373" s="249" t="n"/>
      <c r="I373" s="249" t="n"/>
      <c r="J373" s="249" t="n"/>
      <c r="K373" s="249" t="n"/>
      <c r="L373" s="249" t="n"/>
      <c r="M373" s="249" t="n"/>
    </row>
    <row r="374" ht="13" customHeight="1" s="250">
      <c r="A374" s="249" t="n"/>
      <c r="B374" s="249" t="n"/>
      <c r="C374" s="249" t="n"/>
      <c r="D374" s="249" t="n"/>
      <c r="E374" s="249" t="n"/>
      <c r="F374" s="249" t="n"/>
      <c r="G374" s="249" t="n"/>
      <c r="H374" s="249" t="n"/>
      <c r="I374" s="249" t="n"/>
      <c r="J374" s="249" t="n"/>
      <c r="K374" s="249" t="n"/>
      <c r="L374" s="249" t="n"/>
      <c r="M374" s="249" t="n"/>
    </row>
    <row r="375" ht="13" customHeight="1" s="250">
      <c r="A375" s="249" t="n"/>
      <c r="B375" s="249" t="n"/>
      <c r="C375" s="249" t="n"/>
      <c r="D375" s="249" t="n"/>
      <c r="E375" s="249" t="n"/>
      <c r="F375" s="249" t="n"/>
      <c r="G375" s="249" t="n"/>
      <c r="H375" s="249" t="n"/>
      <c r="I375" s="249" t="n"/>
      <c r="J375" s="249" t="n"/>
      <c r="K375" s="249" t="n"/>
      <c r="L375" s="249" t="n"/>
      <c r="M375" s="249" t="n"/>
    </row>
    <row r="376" ht="13" customHeight="1" s="250">
      <c r="A376" s="249" t="n"/>
      <c r="B376" s="249" t="n"/>
      <c r="C376" s="249" t="n"/>
      <c r="D376" s="249" t="n"/>
      <c r="E376" s="249" t="n"/>
      <c r="F376" s="249" t="n"/>
      <c r="G376" s="249" t="n"/>
      <c r="H376" s="249" t="n"/>
      <c r="I376" s="249" t="n"/>
      <c r="J376" s="249" t="n"/>
      <c r="K376" s="249" t="n"/>
      <c r="L376" s="249" t="n"/>
      <c r="M376" s="249" t="n"/>
    </row>
    <row r="377" ht="13" customHeight="1" s="250">
      <c r="A377" s="249" t="n"/>
      <c r="B377" s="249" t="n"/>
      <c r="C377" s="249" t="n"/>
      <c r="D377" s="249" t="n"/>
      <c r="E377" s="249" t="n"/>
      <c r="F377" s="249" t="n"/>
      <c r="G377" s="249" t="n"/>
      <c r="H377" s="249" t="n"/>
      <c r="I377" s="249" t="n"/>
      <c r="J377" s="249" t="n"/>
      <c r="K377" s="249" t="n"/>
      <c r="L377" s="249" t="n"/>
      <c r="M377" s="249" t="n"/>
    </row>
    <row r="378" ht="13" customHeight="1" s="250">
      <c r="A378" s="249" t="n"/>
      <c r="B378" s="249" t="n"/>
      <c r="C378" s="249" t="n"/>
      <c r="D378" s="249" t="n"/>
      <c r="E378" s="249" t="n"/>
      <c r="F378" s="249" t="n"/>
      <c r="G378" s="249" t="n"/>
      <c r="H378" s="249" t="n"/>
      <c r="I378" s="249" t="n"/>
      <c r="J378" s="249" t="n"/>
      <c r="K378" s="249" t="n"/>
      <c r="L378" s="249" t="n"/>
      <c r="M378" s="249" t="n"/>
    </row>
    <row r="379" ht="13" customHeight="1" s="250">
      <c r="A379" s="249" t="n"/>
      <c r="B379" s="249" t="n"/>
      <c r="C379" s="249" t="n"/>
      <c r="D379" s="249" t="n"/>
      <c r="E379" s="249" t="n"/>
      <c r="F379" s="249" t="n"/>
      <c r="G379" s="249" t="n"/>
      <c r="H379" s="249" t="n"/>
      <c r="I379" s="249" t="n"/>
      <c r="J379" s="249" t="n"/>
      <c r="K379" s="249" t="n"/>
      <c r="L379" s="249" t="n"/>
      <c r="M379" s="249" t="n"/>
    </row>
    <row r="380" ht="13" customHeight="1" s="250">
      <c r="A380" s="249" t="n"/>
      <c r="B380" s="249" t="n"/>
      <c r="C380" s="249" t="n"/>
      <c r="D380" s="249" t="n"/>
      <c r="E380" s="249" t="n"/>
      <c r="F380" s="249" t="n"/>
      <c r="G380" s="249" t="n"/>
      <c r="H380" s="249" t="n"/>
      <c r="I380" s="249" t="n"/>
      <c r="J380" s="249" t="n"/>
      <c r="K380" s="249" t="n"/>
      <c r="L380" s="249" t="n"/>
      <c r="M380" s="249" t="n"/>
    </row>
    <row r="381" ht="13" customHeight="1" s="250">
      <c r="A381" s="249" t="n"/>
      <c r="B381" s="249" t="n"/>
      <c r="C381" s="249" t="n"/>
      <c r="D381" s="249" t="n"/>
      <c r="E381" s="249" t="n"/>
      <c r="F381" s="249" t="n"/>
      <c r="G381" s="249" t="n"/>
      <c r="H381" s="249" t="n"/>
      <c r="I381" s="249" t="n"/>
      <c r="J381" s="249" t="n"/>
      <c r="K381" s="249" t="n"/>
      <c r="L381" s="249" t="n"/>
      <c r="M381" s="249" t="n"/>
    </row>
    <row r="382" ht="13" customHeight="1" s="250">
      <c r="A382" s="249" t="n"/>
      <c r="B382" s="249" t="n"/>
      <c r="C382" s="249" t="n"/>
      <c r="D382" s="249" t="n"/>
      <c r="E382" s="249" t="n"/>
      <c r="F382" s="249" t="n"/>
      <c r="G382" s="249" t="n"/>
      <c r="H382" s="249" t="n"/>
      <c r="I382" s="249" t="n"/>
      <c r="J382" s="249" t="n"/>
      <c r="K382" s="249" t="n"/>
      <c r="L382" s="249" t="n"/>
      <c r="M382" s="249" t="n"/>
    </row>
    <row r="383" ht="13" customHeight="1" s="250">
      <c r="A383" s="249" t="n"/>
      <c r="B383" s="249" t="n"/>
      <c r="C383" s="249" t="n"/>
      <c r="D383" s="249" t="n"/>
      <c r="E383" s="249" t="n"/>
      <c r="F383" s="249" t="n"/>
      <c r="G383" s="249" t="n"/>
      <c r="H383" s="249" t="n"/>
      <c r="I383" s="249" t="n"/>
      <c r="J383" s="249" t="n"/>
      <c r="K383" s="249" t="n"/>
      <c r="L383" s="249" t="n"/>
      <c r="M383" s="249" t="n"/>
    </row>
    <row r="384" ht="13" customHeight="1" s="250">
      <c r="A384" s="249" t="n"/>
      <c r="B384" s="249" t="n"/>
      <c r="C384" s="249" t="n"/>
      <c r="D384" s="249" t="n"/>
      <c r="E384" s="249" t="n"/>
      <c r="F384" s="249" t="n"/>
      <c r="G384" s="249" t="n"/>
      <c r="H384" s="249" t="n"/>
      <c r="I384" s="249" t="n"/>
      <c r="J384" s="249" t="n"/>
      <c r="K384" s="249" t="n"/>
      <c r="L384" s="249" t="n"/>
      <c r="M384" s="249" t="n"/>
    </row>
    <row r="385" ht="13" customHeight="1" s="250">
      <c r="A385" s="249" t="n"/>
      <c r="B385" s="249" t="n"/>
      <c r="C385" s="249" t="n"/>
      <c r="D385" s="249" t="n"/>
      <c r="E385" s="249" t="n"/>
      <c r="F385" s="249" t="n"/>
      <c r="G385" s="249" t="n"/>
      <c r="H385" s="249" t="n"/>
      <c r="I385" s="249" t="n"/>
      <c r="J385" s="249" t="n"/>
      <c r="K385" s="249" t="n"/>
      <c r="L385" s="249" t="n"/>
      <c r="M385" s="249" t="n"/>
    </row>
    <row r="386" ht="13" customHeight="1" s="250">
      <c r="A386" s="249" t="n"/>
      <c r="B386" s="249" t="n"/>
      <c r="C386" s="249" t="n"/>
      <c r="D386" s="249" t="n"/>
      <c r="E386" s="249" t="n"/>
      <c r="F386" s="249" t="n"/>
      <c r="G386" s="249" t="n"/>
      <c r="H386" s="249" t="n"/>
      <c r="I386" s="249" t="n"/>
      <c r="J386" s="249" t="n"/>
      <c r="K386" s="249" t="n"/>
      <c r="L386" s="249" t="n"/>
      <c r="M386" s="249" t="n"/>
    </row>
    <row r="387" ht="13" customHeight="1" s="250">
      <c r="A387" s="249" t="n"/>
      <c r="B387" s="249" t="n"/>
      <c r="C387" s="249" t="n"/>
      <c r="D387" s="249" t="n"/>
      <c r="E387" s="249" t="n"/>
      <c r="F387" s="249" t="n"/>
      <c r="G387" s="249" t="n"/>
      <c r="H387" s="249" t="n"/>
      <c r="I387" s="249" t="n"/>
      <c r="J387" s="249" t="n"/>
      <c r="K387" s="249" t="n"/>
      <c r="L387" s="249" t="n"/>
      <c r="M387" s="249" t="n"/>
    </row>
    <row r="388" ht="13" customHeight="1" s="250">
      <c r="A388" s="249" t="n"/>
      <c r="B388" s="249" t="n"/>
      <c r="C388" s="249" t="n"/>
      <c r="D388" s="249" t="n"/>
      <c r="E388" s="249" t="n"/>
      <c r="F388" s="249" t="n"/>
      <c r="G388" s="249" t="n"/>
      <c r="H388" s="249" t="n"/>
      <c r="I388" s="249" t="n"/>
      <c r="J388" s="249" t="n"/>
      <c r="K388" s="249" t="n"/>
      <c r="L388" s="249" t="n"/>
      <c r="M388" s="249" t="n"/>
    </row>
    <row r="389" ht="13" customHeight="1" s="250">
      <c r="A389" s="249" t="n"/>
      <c r="B389" s="249" t="n"/>
      <c r="C389" s="249" t="n"/>
      <c r="D389" s="249" t="n"/>
      <c r="E389" s="249" t="n"/>
      <c r="F389" s="249" t="n"/>
      <c r="G389" s="249" t="n"/>
      <c r="H389" s="249" t="n"/>
      <c r="I389" s="249" t="n"/>
      <c r="J389" s="249" t="n"/>
      <c r="K389" s="249" t="n"/>
      <c r="L389" s="249" t="n"/>
      <c r="M389" s="249" t="n"/>
    </row>
    <row r="390" ht="13" customHeight="1" s="250">
      <c r="A390" s="249" t="n"/>
      <c r="B390" s="249" t="n"/>
      <c r="C390" s="249" t="n"/>
      <c r="D390" s="249" t="n"/>
      <c r="E390" s="249" t="n"/>
      <c r="F390" s="249" t="n"/>
      <c r="G390" s="249" t="n"/>
      <c r="H390" s="249" t="n"/>
      <c r="I390" s="249" t="n"/>
      <c r="J390" s="249" t="n"/>
      <c r="K390" s="249" t="n"/>
      <c r="L390" s="249" t="n"/>
      <c r="M390" s="249" t="n"/>
    </row>
    <row r="391" ht="13" customHeight="1" s="250">
      <c r="A391" s="249" t="n"/>
      <c r="B391" s="249" t="n"/>
      <c r="C391" s="249" t="n"/>
      <c r="D391" s="249" t="n"/>
      <c r="E391" s="249" t="n"/>
      <c r="F391" s="249" t="n"/>
      <c r="G391" s="249" t="n"/>
      <c r="H391" s="249" t="n"/>
      <c r="I391" s="249" t="n"/>
      <c r="J391" s="249" t="n"/>
      <c r="K391" s="249" t="n"/>
      <c r="L391" s="249" t="n"/>
      <c r="M391" s="249" t="n"/>
    </row>
    <row r="392" ht="13" customHeight="1" s="250">
      <c r="A392" s="249" t="n"/>
      <c r="B392" s="249" t="n"/>
      <c r="C392" s="249" t="n"/>
      <c r="D392" s="249" t="n"/>
      <c r="E392" s="249" t="n"/>
      <c r="F392" s="249" t="n"/>
      <c r="G392" s="249" t="n"/>
      <c r="H392" s="249" t="n"/>
      <c r="I392" s="249" t="n"/>
      <c r="J392" s="249" t="n"/>
      <c r="K392" s="249" t="n"/>
      <c r="L392" s="249" t="n"/>
      <c r="M392" s="249" t="n"/>
    </row>
    <row r="393" ht="13" customHeight="1" s="250">
      <c r="A393" s="249" t="n"/>
      <c r="B393" s="249" t="n"/>
      <c r="C393" s="249" t="n"/>
      <c r="D393" s="249" t="n"/>
      <c r="E393" s="249" t="n"/>
      <c r="F393" s="249" t="n"/>
      <c r="G393" s="249" t="n"/>
      <c r="H393" s="249" t="n"/>
      <c r="I393" s="249" t="n"/>
      <c r="J393" s="249" t="n"/>
      <c r="K393" s="249" t="n"/>
      <c r="L393" s="249" t="n"/>
      <c r="M393" s="249" t="n"/>
    </row>
    <row r="394" ht="13" customHeight="1" s="250">
      <c r="A394" s="249" t="n"/>
      <c r="B394" s="249" t="n"/>
      <c r="C394" s="249" t="n"/>
      <c r="D394" s="249" t="n"/>
      <c r="E394" s="249" t="n"/>
      <c r="F394" s="249" t="n"/>
      <c r="G394" s="249" t="n"/>
      <c r="H394" s="249" t="n"/>
      <c r="I394" s="249" t="n"/>
      <c r="J394" s="249" t="n"/>
      <c r="K394" s="249" t="n"/>
      <c r="L394" s="249" t="n"/>
      <c r="M394" s="249" t="n"/>
    </row>
    <row r="395" ht="13" customHeight="1" s="250">
      <c r="A395" s="249" t="n"/>
      <c r="B395" s="249" t="n"/>
      <c r="C395" s="249" t="n"/>
      <c r="D395" s="249" t="n"/>
      <c r="E395" s="249" t="n"/>
      <c r="F395" s="249" t="n"/>
      <c r="G395" s="249" t="n"/>
      <c r="H395" s="249" t="n"/>
      <c r="I395" s="249" t="n"/>
      <c r="J395" s="249" t="n"/>
      <c r="K395" s="249" t="n"/>
      <c r="L395" s="249" t="n"/>
      <c r="M395" s="249" t="n"/>
    </row>
    <row r="396" ht="13" customHeight="1" s="250">
      <c r="A396" s="249" t="n"/>
      <c r="B396" s="249" t="n"/>
      <c r="C396" s="249" t="n"/>
      <c r="D396" s="249" t="n"/>
      <c r="E396" s="249" t="n"/>
      <c r="F396" s="249" t="n"/>
      <c r="G396" s="249" t="n"/>
      <c r="H396" s="249" t="n"/>
      <c r="I396" s="249" t="n"/>
      <c r="J396" s="249" t="n"/>
      <c r="K396" s="249" t="n"/>
      <c r="L396" s="249" t="n"/>
      <c r="M396" s="249" t="n"/>
    </row>
    <row r="397" ht="13" customHeight="1" s="250">
      <c r="A397" s="249" t="n"/>
      <c r="B397" s="249" t="n"/>
      <c r="C397" s="249" t="n"/>
      <c r="D397" s="249" t="n"/>
      <c r="E397" s="249" t="n"/>
      <c r="F397" s="249" t="n"/>
      <c r="G397" s="249" t="n"/>
      <c r="H397" s="249" t="n"/>
      <c r="I397" s="249" t="n"/>
      <c r="J397" s="249" t="n"/>
      <c r="K397" s="249" t="n"/>
      <c r="L397" s="249" t="n"/>
      <c r="M397" s="249" t="n"/>
    </row>
    <row r="398" ht="13" customHeight="1" s="250">
      <c r="A398" s="249" t="n"/>
      <c r="B398" s="249" t="n"/>
      <c r="C398" s="249" t="n"/>
      <c r="D398" s="249" t="n"/>
      <c r="E398" s="249" t="n"/>
      <c r="F398" s="249" t="n"/>
      <c r="G398" s="249" t="n"/>
      <c r="H398" s="249" t="n"/>
      <c r="I398" s="249" t="n"/>
      <c r="J398" s="249" t="n"/>
      <c r="K398" s="249" t="n"/>
      <c r="L398" s="249" t="n"/>
      <c r="M398" s="249" t="n"/>
    </row>
    <row r="399" ht="13" customHeight="1" s="250">
      <c r="A399" s="249" t="n"/>
      <c r="B399" s="249" t="n"/>
      <c r="C399" s="249" t="n"/>
      <c r="D399" s="249" t="n"/>
      <c r="E399" s="249" t="n"/>
      <c r="F399" s="249" t="n"/>
      <c r="G399" s="249" t="n"/>
      <c r="H399" s="249" t="n"/>
      <c r="I399" s="249" t="n"/>
      <c r="J399" s="249" t="n"/>
      <c r="K399" s="249" t="n"/>
      <c r="L399" s="249" t="n"/>
      <c r="M399" s="249" t="n"/>
    </row>
    <row r="400" ht="13" customHeight="1" s="250">
      <c r="A400" s="249" t="n"/>
      <c r="B400" s="249" t="n"/>
      <c r="C400" s="249" t="n"/>
      <c r="D400" s="249" t="n"/>
      <c r="E400" s="249" t="n"/>
      <c r="F400" s="249" t="n"/>
      <c r="G400" s="249" t="n"/>
      <c r="H400" s="249" t="n"/>
      <c r="I400" s="249" t="n"/>
      <c r="J400" s="249" t="n"/>
      <c r="K400" s="249" t="n"/>
      <c r="L400" s="249" t="n"/>
      <c r="M400" s="249" t="n"/>
    </row>
    <row r="401" ht="13" customHeight="1" s="250">
      <c r="A401" s="249" t="n"/>
      <c r="B401" s="249" t="n"/>
      <c r="C401" s="249" t="n"/>
      <c r="D401" s="249" t="n"/>
      <c r="E401" s="249" t="n"/>
      <c r="F401" s="249" t="n"/>
      <c r="G401" s="249" t="n"/>
      <c r="H401" s="249" t="n"/>
      <c r="I401" s="249" t="n"/>
      <c r="J401" s="249" t="n"/>
      <c r="K401" s="249" t="n"/>
      <c r="L401" s="249" t="n"/>
      <c r="M401" s="249" t="n"/>
    </row>
    <row r="402" ht="13" customHeight="1" s="250">
      <c r="A402" s="249" t="n"/>
      <c r="B402" s="249" t="n"/>
      <c r="C402" s="249" t="n"/>
      <c r="D402" s="249" t="n"/>
      <c r="E402" s="249" t="n"/>
      <c r="F402" s="249" t="n"/>
      <c r="G402" s="249" t="n"/>
      <c r="H402" s="249" t="n"/>
      <c r="I402" s="249" t="n"/>
      <c r="J402" s="249" t="n"/>
      <c r="K402" s="249" t="n"/>
      <c r="L402" s="249" t="n"/>
      <c r="M402" s="249" t="n"/>
    </row>
    <row r="403" ht="13" customHeight="1" s="250">
      <c r="A403" s="249" t="n"/>
      <c r="B403" s="249" t="n"/>
      <c r="C403" s="249" t="n"/>
      <c r="D403" s="249" t="n"/>
      <c r="E403" s="249" t="n"/>
      <c r="F403" s="249" t="n"/>
      <c r="G403" s="249" t="n"/>
      <c r="H403" s="249" t="n"/>
      <c r="I403" s="249" t="n"/>
      <c r="J403" s="249" t="n"/>
      <c r="K403" s="249" t="n"/>
      <c r="L403" s="249" t="n"/>
      <c r="M403" s="249" t="n"/>
    </row>
    <row r="404" ht="13" customHeight="1" s="250">
      <c r="A404" s="249" t="n"/>
      <c r="B404" s="249" t="n"/>
      <c r="C404" s="249" t="n"/>
      <c r="D404" s="249" t="n"/>
      <c r="E404" s="249" t="n"/>
      <c r="F404" s="249" t="n"/>
      <c r="G404" s="249" t="n"/>
      <c r="H404" s="249" t="n"/>
      <c r="I404" s="249" t="n"/>
      <c r="J404" s="249" t="n"/>
      <c r="K404" s="249" t="n"/>
      <c r="L404" s="249" t="n"/>
      <c r="M404" s="249" t="n"/>
    </row>
    <row r="405" ht="13" customHeight="1" s="250">
      <c r="A405" s="249" t="n"/>
      <c r="B405" s="249" t="n"/>
      <c r="C405" s="249" t="n"/>
      <c r="D405" s="249" t="n"/>
      <c r="E405" s="249" t="n"/>
      <c r="F405" s="249" t="n"/>
      <c r="G405" s="249" t="n"/>
      <c r="H405" s="249" t="n"/>
      <c r="I405" s="249" t="n"/>
      <c r="J405" s="249" t="n"/>
      <c r="K405" s="249" t="n"/>
      <c r="L405" s="249" t="n"/>
      <c r="M405" s="249" t="n"/>
    </row>
    <row r="406" ht="13" customHeight="1" s="250">
      <c r="A406" s="249" t="n"/>
      <c r="B406" s="249" t="n"/>
      <c r="C406" s="249" t="n"/>
      <c r="D406" s="249" t="n"/>
      <c r="E406" s="249" t="n"/>
      <c r="F406" s="249" t="n"/>
      <c r="G406" s="249" t="n"/>
      <c r="H406" s="249" t="n"/>
      <c r="I406" s="249" t="n"/>
      <c r="J406" s="249" t="n"/>
      <c r="K406" s="249" t="n"/>
      <c r="L406" s="249" t="n"/>
      <c r="M406" s="249" t="n"/>
    </row>
    <row r="407" ht="13" customHeight="1" s="250">
      <c r="A407" s="249" t="n"/>
      <c r="B407" s="249" t="n"/>
      <c r="C407" s="249" t="n"/>
      <c r="D407" s="249" t="n"/>
      <c r="E407" s="249" t="n"/>
      <c r="F407" s="249" t="n"/>
      <c r="G407" s="249" t="n"/>
      <c r="H407" s="249" t="n"/>
      <c r="I407" s="249" t="n"/>
      <c r="J407" s="249" t="n"/>
      <c r="K407" s="249" t="n"/>
      <c r="L407" s="249" t="n"/>
      <c r="M407" s="249" t="n"/>
    </row>
    <row r="408" ht="13" customHeight="1" s="250">
      <c r="A408" s="249" t="n"/>
      <c r="B408" s="249" t="n"/>
      <c r="C408" s="249" t="n"/>
      <c r="D408" s="249" t="n"/>
      <c r="E408" s="249" t="n"/>
      <c r="F408" s="249" t="n"/>
      <c r="G408" s="249" t="n"/>
      <c r="H408" s="249" t="n"/>
      <c r="I408" s="249" t="n"/>
      <c r="J408" s="249" t="n"/>
      <c r="K408" s="249" t="n"/>
      <c r="L408" s="249" t="n"/>
      <c r="M408" s="249" t="n"/>
    </row>
    <row r="409" ht="13" customHeight="1" s="250">
      <c r="A409" s="249" t="n"/>
      <c r="B409" s="249" t="n"/>
      <c r="C409" s="249" t="n"/>
      <c r="D409" s="249" t="n"/>
      <c r="E409" s="249" t="n"/>
      <c r="F409" s="249" t="n"/>
      <c r="G409" s="249" t="n"/>
      <c r="H409" s="249" t="n"/>
      <c r="I409" s="249" t="n"/>
      <c r="J409" s="249" t="n"/>
      <c r="K409" s="249" t="n"/>
      <c r="L409" s="249" t="n"/>
      <c r="M409" s="249" t="n"/>
    </row>
    <row r="410" ht="13" customHeight="1" s="250">
      <c r="A410" s="249" t="n"/>
      <c r="B410" s="249" t="n"/>
      <c r="C410" s="249" t="n"/>
      <c r="D410" s="249" t="n"/>
      <c r="E410" s="249" t="n"/>
      <c r="F410" s="249" t="n"/>
      <c r="G410" s="249" t="n"/>
      <c r="H410" s="249" t="n"/>
      <c r="I410" s="249" t="n"/>
      <c r="J410" s="249" t="n"/>
      <c r="K410" s="249" t="n"/>
      <c r="L410" s="249" t="n"/>
      <c r="M410" s="249" t="n"/>
    </row>
    <row r="411" ht="13" customHeight="1" s="250">
      <c r="A411" s="249" t="n"/>
      <c r="B411" s="249" t="n"/>
      <c r="C411" s="249" t="n"/>
      <c r="D411" s="249" t="n"/>
      <c r="E411" s="249" t="n"/>
      <c r="F411" s="249" t="n"/>
      <c r="G411" s="249" t="n"/>
      <c r="H411" s="249" t="n"/>
      <c r="I411" s="249" t="n"/>
      <c r="J411" s="249" t="n"/>
      <c r="K411" s="249" t="n"/>
      <c r="L411" s="249" t="n"/>
      <c r="M411" s="249" t="n"/>
    </row>
    <row r="412" ht="13" customHeight="1" s="250">
      <c r="A412" s="249" t="n"/>
      <c r="B412" s="249" t="n"/>
      <c r="C412" s="249" t="n"/>
      <c r="D412" s="249" t="n"/>
      <c r="E412" s="249" t="n"/>
      <c r="F412" s="249" t="n"/>
      <c r="G412" s="249" t="n"/>
      <c r="H412" s="249" t="n"/>
      <c r="I412" s="249" t="n"/>
      <c r="J412" s="249" t="n"/>
      <c r="K412" s="249" t="n"/>
      <c r="L412" s="249" t="n"/>
      <c r="M412" s="249" t="n"/>
    </row>
    <row r="413" ht="13" customHeight="1" s="250">
      <c r="A413" s="249" t="n"/>
      <c r="B413" s="249" t="n"/>
      <c r="C413" s="249" t="n"/>
      <c r="D413" s="249" t="n"/>
      <c r="E413" s="249" t="n"/>
      <c r="F413" s="249" t="n"/>
      <c r="G413" s="249" t="n"/>
      <c r="H413" s="249" t="n"/>
      <c r="I413" s="249" t="n"/>
      <c r="J413" s="249" t="n"/>
      <c r="K413" s="249" t="n"/>
      <c r="L413" s="249" t="n"/>
      <c r="M413" s="249" t="n"/>
    </row>
    <row r="414" ht="13" customHeight="1" s="250">
      <c r="A414" s="249" t="n"/>
      <c r="B414" s="249" t="n"/>
      <c r="C414" s="249" t="n"/>
      <c r="D414" s="249" t="n"/>
      <c r="E414" s="249" t="n"/>
      <c r="F414" s="249" t="n"/>
      <c r="G414" s="249" t="n"/>
      <c r="H414" s="249" t="n"/>
      <c r="I414" s="249" t="n"/>
      <c r="J414" s="249" t="n"/>
      <c r="K414" s="249" t="n"/>
      <c r="L414" s="249" t="n"/>
      <c r="M414" s="249" t="n"/>
    </row>
    <row r="415" ht="13" customHeight="1" s="250">
      <c r="A415" s="249" t="n"/>
      <c r="B415" s="249" t="n"/>
      <c r="C415" s="249" t="n"/>
      <c r="D415" s="249" t="n"/>
      <c r="E415" s="249" t="n"/>
      <c r="F415" s="249" t="n"/>
      <c r="G415" s="249" t="n"/>
      <c r="H415" s="249" t="n"/>
      <c r="I415" s="249" t="n"/>
      <c r="J415" s="249" t="n"/>
      <c r="K415" s="249" t="n"/>
      <c r="L415" s="249" t="n"/>
      <c r="M415" s="249" t="n"/>
    </row>
    <row r="416" ht="13" customHeight="1" s="250">
      <c r="A416" s="249" t="n"/>
      <c r="B416" s="249" t="n"/>
      <c r="C416" s="249" t="n"/>
      <c r="D416" s="249" t="n"/>
      <c r="E416" s="249" t="n"/>
      <c r="F416" s="249" t="n"/>
      <c r="G416" s="249" t="n"/>
      <c r="H416" s="249" t="n"/>
      <c r="I416" s="249" t="n"/>
      <c r="J416" s="249" t="n"/>
      <c r="K416" s="249" t="n"/>
      <c r="L416" s="249" t="n"/>
      <c r="M416" s="249" t="n"/>
    </row>
    <row r="417" ht="13" customHeight="1" s="250">
      <c r="A417" s="249" t="n"/>
      <c r="B417" s="249" t="n"/>
      <c r="C417" s="249" t="n"/>
      <c r="D417" s="249" t="n"/>
      <c r="E417" s="249" t="n"/>
      <c r="F417" s="249" t="n"/>
      <c r="G417" s="249" t="n"/>
      <c r="H417" s="249" t="n"/>
      <c r="I417" s="249" t="n"/>
      <c r="J417" s="249" t="n"/>
      <c r="K417" s="249" t="n"/>
      <c r="L417" s="249" t="n"/>
      <c r="M417" s="249" t="n"/>
    </row>
    <row r="418" ht="13" customHeight="1" s="250">
      <c r="A418" s="249" t="n"/>
      <c r="B418" s="249" t="n"/>
      <c r="C418" s="249" t="n"/>
      <c r="D418" s="249" t="n"/>
      <c r="E418" s="249" t="n"/>
      <c r="F418" s="249" t="n"/>
      <c r="G418" s="249" t="n"/>
      <c r="H418" s="249" t="n"/>
      <c r="I418" s="249" t="n"/>
      <c r="J418" s="249" t="n"/>
      <c r="K418" s="249" t="n"/>
      <c r="L418" s="249" t="n"/>
      <c r="M418" s="249" t="n"/>
    </row>
    <row r="419" ht="13" customHeight="1" s="250">
      <c r="A419" s="249" t="n"/>
      <c r="B419" s="249" t="n"/>
      <c r="C419" s="249" t="n"/>
      <c r="D419" s="249" t="n"/>
      <c r="E419" s="249" t="n"/>
      <c r="F419" s="249" t="n"/>
      <c r="G419" s="249" t="n"/>
      <c r="H419" s="249" t="n"/>
      <c r="I419" s="249" t="n"/>
      <c r="J419" s="249" t="n"/>
      <c r="K419" s="249" t="n"/>
      <c r="L419" s="249" t="n"/>
      <c r="M419" s="249" t="n"/>
    </row>
    <row r="420" ht="13" customHeight="1" s="250">
      <c r="A420" s="249" t="n"/>
      <c r="B420" s="249" t="n"/>
      <c r="C420" s="249" t="n"/>
      <c r="D420" s="249" t="n"/>
      <c r="E420" s="249" t="n"/>
      <c r="F420" s="249" t="n"/>
      <c r="G420" s="249" t="n"/>
      <c r="H420" s="249" t="n"/>
      <c r="I420" s="249" t="n"/>
      <c r="J420" s="249" t="n"/>
      <c r="K420" s="249" t="n"/>
      <c r="L420" s="249" t="n"/>
      <c r="M420" s="249" t="n"/>
    </row>
    <row r="421" ht="13" customHeight="1" s="250">
      <c r="A421" s="249" t="n"/>
      <c r="B421" s="249" t="n"/>
      <c r="C421" s="249" t="n"/>
      <c r="D421" s="249" t="n"/>
      <c r="E421" s="249" t="n"/>
      <c r="F421" s="249" t="n"/>
      <c r="G421" s="249" t="n"/>
      <c r="H421" s="249" t="n"/>
      <c r="I421" s="249" t="n"/>
      <c r="J421" s="249" t="n"/>
      <c r="K421" s="249" t="n"/>
      <c r="L421" s="249" t="n"/>
      <c r="M421" s="249" t="n"/>
    </row>
    <row r="422" ht="13" customHeight="1" s="250">
      <c r="A422" s="249" t="n"/>
      <c r="B422" s="249" t="n"/>
      <c r="C422" s="249" t="n"/>
      <c r="D422" s="249" t="n"/>
      <c r="E422" s="249" t="n"/>
      <c r="F422" s="249" t="n"/>
      <c r="G422" s="249" t="n"/>
      <c r="H422" s="249" t="n"/>
      <c r="I422" s="249" t="n"/>
      <c r="J422" s="249" t="n"/>
      <c r="K422" s="249" t="n"/>
      <c r="L422" s="249" t="n"/>
      <c r="M422" s="249" t="n"/>
    </row>
    <row r="423" ht="13" customHeight="1" s="250">
      <c r="A423" s="249" t="n"/>
      <c r="B423" s="249" t="n"/>
      <c r="C423" s="249" t="n"/>
      <c r="D423" s="249" t="n"/>
      <c r="E423" s="249" t="n"/>
      <c r="F423" s="249" t="n"/>
      <c r="G423" s="249" t="n"/>
      <c r="H423" s="249" t="n"/>
      <c r="I423" s="249" t="n"/>
      <c r="J423" s="249" t="n"/>
      <c r="K423" s="249" t="n"/>
      <c r="L423" s="249" t="n"/>
      <c r="M423" s="249" t="n"/>
    </row>
    <row r="424" ht="13" customHeight="1" s="250">
      <c r="A424" s="249" t="n"/>
      <c r="B424" s="249" t="n"/>
      <c r="C424" s="249" t="n"/>
      <c r="D424" s="249" t="n"/>
      <c r="E424" s="249" t="n"/>
      <c r="F424" s="249" t="n"/>
      <c r="G424" s="249" t="n"/>
      <c r="H424" s="249" t="n"/>
      <c r="I424" s="249" t="n"/>
      <c r="J424" s="249" t="n"/>
      <c r="K424" s="249" t="n"/>
      <c r="L424" s="249" t="n"/>
      <c r="M424" s="249" t="n"/>
    </row>
    <row r="425" ht="13" customHeight="1" s="250">
      <c r="A425" s="249" t="n"/>
      <c r="B425" s="249" t="n"/>
      <c r="C425" s="249" t="n"/>
      <c r="D425" s="249" t="n"/>
      <c r="E425" s="249" t="n"/>
      <c r="F425" s="249" t="n"/>
      <c r="G425" s="249" t="n"/>
      <c r="H425" s="249" t="n"/>
      <c r="I425" s="249" t="n"/>
      <c r="J425" s="249" t="n"/>
      <c r="K425" s="249" t="n"/>
      <c r="L425" s="249" t="n"/>
      <c r="M425" s="249" t="n"/>
    </row>
    <row r="426" ht="13" customHeight="1" s="250">
      <c r="A426" s="249" t="n"/>
      <c r="B426" s="249" t="n"/>
      <c r="C426" s="249" t="n"/>
      <c r="D426" s="249" t="n"/>
      <c r="E426" s="249" t="n"/>
      <c r="F426" s="249" t="n"/>
      <c r="G426" s="249" t="n"/>
      <c r="H426" s="249" t="n"/>
      <c r="I426" s="249" t="n"/>
      <c r="J426" s="249" t="n"/>
      <c r="K426" s="249" t="n"/>
      <c r="L426" s="249" t="n"/>
      <c r="M426" s="249" t="n"/>
    </row>
    <row r="427" ht="13" customHeight="1" s="250">
      <c r="A427" s="249" t="n"/>
      <c r="B427" s="249" t="n"/>
      <c r="C427" s="249" t="n"/>
      <c r="D427" s="249" t="n"/>
      <c r="E427" s="249" t="n"/>
      <c r="F427" s="249" t="n"/>
      <c r="G427" s="249" t="n"/>
      <c r="H427" s="249" t="n"/>
      <c r="I427" s="249" t="n"/>
      <c r="J427" s="249" t="n"/>
      <c r="K427" s="249" t="n"/>
      <c r="L427" s="249" t="n"/>
      <c r="M427" s="249" t="n"/>
    </row>
    <row r="428" ht="13" customHeight="1" s="250">
      <c r="A428" s="249" t="n"/>
      <c r="B428" s="249" t="n"/>
      <c r="C428" s="249" t="n"/>
      <c r="D428" s="249" t="n"/>
      <c r="E428" s="249" t="n"/>
      <c r="F428" s="249" t="n"/>
      <c r="G428" s="249" t="n"/>
      <c r="H428" s="249" t="n"/>
      <c r="I428" s="249" t="n"/>
      <c r="J428" s="249" t="n"/>
      <c r="K428" s="249" t="n"/>
      <c r="L428" s="249" t="n"/>
      <c r="M428" s="249" t="n"/>
    </row>
    <row r="429" ht="13" customHeight="1" s="250">
      <c r="A429" s="249" t="n"/>
      <c r="B429" s="249" t="n"/>
      <c r="C429" s="249" t="n"/>
      <c r="D429" s="249" t="n"/>
      <c r="E429" s="249" t="n"/>
      <c r="F429" s="249" t="n"/>
      <c r="G429" s="249" t="n"/>
      <c r="H429" s="249" t="n"/>
      <c r="I429" s="249" t="n"/>
      <c r="J429" s="249" t="n"/>
      <c r="K429" s="249" t="n"/>
      <c r="L429" s="249" t="n"/>
      <c r="M429" s="249" t="n"/>
    </row>
    <row r="430" ht="13" customHeight="1" s="250">
      <c r="A430" s="249" t="n"/>
      <c r="B430" s="249" t="n"/>
      <c r="C430" s="249" t="n"/>
      <c r="D430" s="249" t="n"/>
      <c r="E430" s="249" t="n"/>
      <c r="F430" s="249" t="n"/>
      <c r="G430" s="249" t="n"/>
      <c r="H430" s="249" t="n"/>
      <c r="I430" s="249" t="n"/>
      <c r="J430" s="249" t="n"/>
      <c r="K430" s="249" t="n"/>
      <c r="L430" s="249" t="n"/>
      <c r="M430" s="249" t="n"/>
    </row>
    <row r="431" ht="13" customHeight="1" s="250">
      <c r="A431" s="249" t="n"/>
      <c r="B431" s="249" t="n"/>
      <c r="C431" s="249" t="n"/>
      <c r="D431" s="249" t="n"/>
      <c r="E431" s="249" t="n"/>
      <c r="F431" s="249" t="n"/>
      <c r="G431" s="249" t="n"/>
      <c r="H431" s="249" t="n"/>
      <c r="I431" s="249" t="n"/>
      <c r="J431" s="249" t="n"/>
      <c r="K431" s="249" t="n"/>
      <c r="L431" s="249" t="n"/>
      <c r="M431" s="249" t="n"/>
    </row>
    <row r="432" ht="13" customHeight="1" s="250">
      <c r="A432" s="249" t="n"/>
      <c r="B432" s="249" t="n"/>
      <c r="C432" s="249" t="n"/>
      <c r="D432" s="249" t="n"/>
      <c r="E432" s="249" t="n"/>
      <c r="F432" s="249" t="n"/>
      <c r="G432" s="249" t="n"/>
      <c r="H432" s="249" t="n"/>
      <c r="I432" s="249" t="n"/>
      <c r="J432" s="249" t="n"/>
      <c r="K432" s="249" t="n"/>
      <c r="L432" s="249" t="n"/>
      <c r="M432" s="249" t="n"/>
    </row>
    <row r="433" ht="13" customHeight="1" s="250">
      <c r="A433" s="249" t="n"/>
      <c r="B433" s="249" t="n"/>
      <c r="C433" s="249" t="n"/>
      <c r="D433" s="249" t="n"/>
      <c r="E433" s="249" t="n"/>
      <c r="F433" s="249" t="n"/>
      <c r="G433" s="249" t="n"/>
      <c r="H433" s="249" t="n"/>
      <c r="I433" s="249" t="n"/>
      <c r="J433" s="249" t="n"/>
      <c r="K433" s="249" t="n"/>
      <c r="L433" s="249" t="n"/>
      <c r="M433" s="249" t="n"/>
    </row>
    <row r="434" ht="13" customHeight="1" s="250">
      <c r="A434" s="249" t="n"/>
      <c r="B434" s="249" t="n"/>
      <c r="C434" s="249" t="n"/>
      <c r="D434" s="249" t="n"/>
      <c r="E434" s="249" t="n"/>
      <c r="F434" s="249" t="n"/>
      <c r="G434" s="249" t="n"/>
      <c r="H434" s="249" t="n"/>
      <c r="I434" s="249" t="n"/>
      <c r="J434" s="249" t="n"/>
      <c r="K434" s="249" t="n"/>
      <c r="L434" s="249" t="n"/>
      <c r="M434" s="249" t="n"/>
    </row>
    <row r="435" ht="13" customHeight="1" s="250">
      <c r="A435" s="249" t="n"/>
      <c r="B435" s="249" t="n"/>
      <c r="C435" s="249" t="n"/>
      <c r="D435" s="249" t="n"/>
      <c r="E435" s="249" t="n"/>
      <c r="F435" s="249" t="n"/>
      <c r="G435" s="249" t="n"/>
      <c r="H435" s="249" t="n"/>
      <c r="I435" s="249" t="n"/>
      <c r="J435" s="249" t="n"/>
      <c r="K435" s="249" t="n"/>
      <c r="L435" s="249" t="n"/>
      <c r="M435" s="249" t="n"/>
    </row>
    <row r="436" ht="13" customHeight="1" s="250">
      <c r="A436" s="249" t="n"/>
      <c r="B436" s="249" t="n"/>
      <c r="C436" s="249" t="n"/>
      <c r="D436" s="249" t="n"/>
      <c r="E436" s="249" t="n"/>
      <c r="F436" s="249" t="n"/>
      <c r="G436" s="249" t="n"/>
      <c r="H436" s="249" t="n"/>
      <c r="I436" s="249" t="n"/>
      <c r="J436" s="249" t="n"/>
      <c r="K436" s="249" t="n"/>
      <c r="L436" s="249" t="n"/>
      <c r="M436" s="249" t="n"/>
    </row>
    <row r="437" ht="13" customHeight="1" s="250">
      <c r="A437" s="249" t="n"/>
      <c r="B437" s="249" t="n"/>
      <c r="C437" s="249" t="n"/>
      <c r="D437" s="249" t="n"/>
      <c r="E437" s="249" t="n"/>
      <c r="F437" s="249" t="n"/>
      <c r="G437" s="249" t="n"/>
      <c r="H437" s="249" t="n"/>
      <c r="I437" s="249" t="n"/>
      <c r="J437" s="249" t="n"/>
      <c r="K437" s="249" t="n"/>
      <c r="L437" s="249" t="n"/>
      <c r="M437" s="249" t="n"/>
    </row>
    <row r="438" ht="13" customHeight="1" s="250">
      <c r="A438" s="249" t="n"/>
      <c r="B438" s="249" t="n"/>
      <c r="C438" s="249" t="n"/>
      <c r="D438" s="249" t="n"/>
      <c r="E438" s="249" t="n"/>
      <c r="F438" s="249" t="n"/>
      <c r="G438" s="249" t="n"/>
      <c r="H438" s="249" t="n"/>
      <c r="I438" s="249" t="n"/>
      <c r="J438" s="249" t="n"/>
      <c r="K438" s="249" t="n"/>
      <c r="L438" s="249" t="n"/>
      <c r="M438" s="249" t="n"/>
    </row>
    <row r="439" ht="13" customHeight="1" s="250">
      <c r="A439" s="249" t="n"/>
      <c r="B439" s="249" t="n"/>
      <c r="C439" s="249" t="n"/>
      <c r="D439" s="249" t="n"/>
      <c r="E439" s="249" t="n"/>
      <c r="F439" s="249" t="n"/>
      <c r="G439" s="249" t="n"/>
      <c r="H439" s="249" t="n"/>
      <c r="I439" s="249" t="n"/>
      <c r="J439" s="249" t="n"/>
      <c r="K439" s="249" t="n"/>
      <c r="L439" s="249" t="n"/>
      <c r="M439" s="249" t="n"/>
    </row>
    <row r="440" ht="13" customHeight="1" s="250">
      <c r="A440" s="249" t="n"/>
      <c r="B440" s="249" t="n"/>
      <c r="C440" s="249" t="n"/>
      <c r="D440" s="249" t="n"/>
      <c r="E440" s="249" t="n"/>
      <c r="F440" s="249" t="n"/>
      <c r="G440" s="249" t="n"/>
      <c r="H440" s="249" t="n"/>
      <c r="I440" s="249" t="n"/>
      <c r="J440" s="249" t="n"/>
      <c r="K440" s="249" t="n"/>
      <c r="L440" s="249" t="n"/>
      <c r="M440" s="249" t="n"/>
    </row>
    <row r="441" ht="13" customHeight="1" s="250">
      <c r="A441" s="249" t="n"/>
      <c r="B441" s="249" t="n"/>
      <c r="C441" s="249" t="n"/>
      <c r="D441" s="249" t="n"/>
      <c r="E441" s="249" t="n"/>
      <c r="F441" s="249" t="n"/>
      <c r="G441" s="249" t="n"/>
      <c r="H441" s="249" t="n"/>
      <c r="I441" s="249" t="n"/>
      <c r="J441" s="249" t="n"/>
      <c r="K441" s="249" t="n"/>
      <c r="L441" s="249" t="n"/>
      <c r="M441" s="249" t="n"/>
    </row>
    <row r="442" ht="13" customHeight="1" s="250">
      <c r="A442" s="249" t="n"/>
      <c r="B442" s="249" t="n"/>
      <c r="C442" s="249" t="n"/>
      <c r="D442" s="249" t="n"/>
      <c r="E442" s="249" t="n"/>
      <c r="F442" s="249" t="n"/>
      <c r="G442" s="249" t="n"/>
      <c r="H442" s="249" t="n"/>
      <c r="I442" s="249" t="n"/>
      <c r="J442" s="249" t="n"/>
      <c r="K442" s="249" t="n"/>
      <c r="L442" s="249" t="n"/>
      <c r="M442" s="249" t="n"/>
    </row>
    <row r="443" ht="13" customHeight="1" s="250">
      <c r="A443" s="249" t="n"/>
      <c r="B443" s="249" t="n"/>
      <c r="C443" s="249" t="n"/>
      <c r="D443" s="249" t="n"/>
      <c r="E443" s="249" t="n"/>
      <c r="F443" s="249" t="n"/>
      <c r="G443" s="249" t="n"/>
      <c r="H443" s="249" t="n"/>
      <c r="I443" s="249" t="n"/>
      <c r="J443" s="249" t="n"/>
      <c r="K443" s="249" t="n"/>
      <c r="L443" s="249" t="n"/>
      <c r="M443" s="249" t="n"/>
    </row>
    <row r="444" ht="13" customHeight="1" s="250">
      <c r="A444" s="249" t="n"/>
      <c r="B444" s="249" t="n"/>
      <c r="C444" s="249" t="n"/>
      <c r="D444" s="249" t="n"/>
      <c r="E444" s="249" t="n"/>
      <c r="F444" s="249" t="n"/>
      <c r="G444" s="249" t="n"/>
      <c r="H444" s="249" t="n"/>
      <c r="I444" s="249" t="n"/>
      <c r="J444" s="249" t="n"/>
      <c r="K444" s="249" t="n"/>
      <c r="L444" s="249" t="n"/>
      <c r="M444" s="249" t="n"/>
    </row>
    <row r="445" ht="13" customHeight="1" s="250">
      <c r="A445" s="249" t="n"/>
      <c r="B445" s="249" t="n"/>
      <c r="C445" s="249" t="n"/>
      <c r="D445" s="249" t="n"/>
      <c r="E445" s="249" t="n"/>
      <c r="F445" s="249" t="n"/>
      <c r="G445" s="249" t="n"/>
      <c r="H445" s="249" t="n"/>
      <c r="I445" s="249" t="n"/>
      <c r="J445" s="249" t="n"/>
      <c r="K445" s="249" t="n"/>
      <c r="L445" s="249" t="n"/>
      <c r="M445" s="249" t="n"/>
    </row>
    <row r="446" ht="13" customHeight="1" s="250">
      <c r="A446" s="249" t="n"/>
      <c r="B446" s="249" t="n"/>
      <c r="C446" s="249" t="n"/>
      <c r="D446" s="249" t="n"/>
      <c r="E446" s="249" t="n"/>
      <c r="F446" s="249" t="n"/>
      <c r="G446" s="249" t="n"/>
      <c r="H446" s="249" t="n"/>
      <c r="I446" s="249" t="n"/>
      <c r="J446" s="249" t="n"/>
      <c r="K446" s="249" t="n"/>
      <c r="L446" s="249" t="n"/>
      <c r="M446" s="249" t="n"/>
    </row>
    <row r="447" ht="13" customHeight="1" s="250">
      <c r="A447" s="249" t="n"/>
      <c r="B447" s="249" t="n"/>
      <c r="C447" s="249" t="n"/>
      <c r="D447" s="249" t="n"/>
      <c r="E447" s="249" t="n"/>
      <c r="F447" s="249" t="n"/>
      <c r="G447" s="249" t="n"/>
      <c r="H447" s="249" t="n"/>
      <c r="I447" s="249" t="n"/>
      <c r="J447" s="249" t="n"/>
      <c r="K447" s="249" t="n"/>
      <c r="L447" s="249" t="n"/>
      <c r="M447" s="249" t="n"/>
    </row>
    <row r="448" ht="13" customHeight="1" s="250">
      <c r="A448" s="249" t="n"/>
      <c r="B448" s="249" t="n"/>
      <c r="C448" s="249" t="n"/>
      <c r="D448" s="249" t="n"/>
      <c r="E448" s="249" t="n"/>
      <c r="F448" s="249" t="n"/>
      <c r="G448" s="249" t="n"/>
      <c r="H448" s="249" t="n"/>
      <c r="I448" s="249" t="n"/>
      <c r="J448" s="249" t="n"/>
      <c r="K448" s="249" t="n"/>
      <c r="L448" s="249" t="n"/>
      <c r="M448" s="249" t="n"/>
    </row>
    <row r="449" ht="13" customHeight="1" s="250">
      <c r="A449" s="249" t="n"/>
      <c r="B449" s="249" t="n"/>
      <c r="C449" s="249" t="n"/>
      <c r="D449" s="249" t="n"/>
      <c r="E449" s="249" t="n"/>
      <c r="F449" s="249" t="n"/>
      <c r="G449" s="249" t="n"/>
      <c r="H449" s="249" t="n"/>
      <c r="I449" s="249" t="n"/>
      <c r="J449" s="249" t="n"/>
      <c r="K449" s="249" t="n"/>
      <c r="L449" s="249" t="n"/>
      <c r="M449" s="249" t="n"/>
    </row>
    <row r="450" ht="13" customHeight="1" s="250">
      <c r="A450" s="249" t="n"/>
      <c r="B450" s="249" t="n"/>
      <c r="C450" s="249" t="n"/>
      <c r="D450" s="249" t="n"/>
      <c r="E450" s="249" t="n"/>
      <c r="F450" s="249" t="n"/>
      <c r="G450" s="249" t="n"/>
      <c r="H450" s="249" t="n"/>
      <c r="I450" s="249" t="n"/>
      <c r="J450" s="249" t="n"/>
      <c r="K450" s="249" t="n"/>
      <c r="L450" s="249" t="n"/>
      <c r="M450" s="249" t="n"/>
    </row>
    <row r="451" ht="13" customHeight="1" s="250">
      <c r="A451" s="249" t="n"/>
      <c r="B451" s="249" t="n"/>
      <c r="C451" s="249" t="n"/>
      <c r="D451" s="249" t="n"/>
      <c r="E451" s="249" t="n"/>
      <c r="F451" s="249" t="n"/>
      <c r="G451" s="249" t="n"/>
      <c r="H451" s="249" t="n"/>
      <c r="I451" s="249" t="n"/>
      <c r="J451" s="249" t="n"/>
      <c r="K451" s="249" t="n"/>
      <c r="L451" s="249" t="n"/>
      <c r="M451" s="249" t="n"/>
    </row>
    <row r="452" ht="13" customHeight="1" s="250">
      <c r="A452" s="249" t="n"/>
      <c r="B452" s="249" t="n"/>
      <c r="C452" s="249" t="n"/>
      <c r="D452" s="249" t="n"/>
      <c r="E452" s="249" t="n"/>
      <c r="F452" s="249" t="n"/>
      <c r="G452" s="249" t="n"/>
      <c r="H452" s="249" t="n"/>
      <c r="I452" s="249" t="n"/>
      <c r="J452" s="249" t="n"/>
      <c r="K452" s="249" t="n"/>
      <c r="L452" s="249" t="n"/>
      <c r="M452" s="249" t="n"/>
    </row>
    <row r="453" ht="13" customHeight="1" s="250">
      <c r="A453" s="249" t="n"/>
      <c r="B453" s="249" t="n"/>
      <c r="C453" s="249" t="n"/>
      <c r="D453" s="249" t="n"/>
      <c r="E453" s="249" t="n"/>
      <c r="F453" s="249" t="n"/>
      <c r="G453" s="249" t="n"/>
      <c r="H453" s="249" t="n"/>
      <c r="I453" s="249" t="n"/>
      <c r="J453" s="249" t="n"/>
      <c r="K453" s="249" t="n"/>
      <c r="L453" s="249" t="n"/>
      <c r="M453" s="249" t="n"/>
    </row>
    <row r="454" ht="13" customHeight="1" s="250">
      <c r="A454" s="249" t="n"/>
      <c r="B454" s="249" t="n"/>
      <c r="C454" s="249" t="n"/>
      <c r="D454" s="249" t="n"/>
      <c r="E454" s="249" t="n"/>
      <c r="F454" s="249" t="n"/>
      <c r="G454" s="249" t="n"/>
      <c r="H454" s="249" t="n"/>
      <c r="I454" s="249" t="n"/>
      <c r="J454" s="249" t="n"/>
      <c r="K454" s="249" t="n"/>
      <c r="L454" s="249" t="n"/>
      <c r="M454" s="249" t="n"/>
    </row>
    <row r="455" ht="13" customHeight="1" s="250">
      <c r="A455" s="249" t="n"/>
      <c r="B455" s="249" t="n"/>
      <c r="C455" s="249" t="n"/>
      <c r="D455" s="249" t="n"/>
      <c r="E455" s="249" t="n"/>
      <c r="F455" s="249" t="n"/>
      <c r="G455" s="249" t="n"/>
      <c r="H455" s="249" t="n"/>
      <c r="I455" s="249" t="n"/>
      <c r="J455" s="249" t="n"/>
      <c r="K455" s="249" t="n"/>
      <c r="L455" s="249" t="n"/>
      <c r="M455" s="249" t="n"/>
    </row>
    <row r="456" ht="13" customHeight="1" s="250">
      <c r="A456" s="249" t="n"/>
      <c r="B456" s="249" t="n"/>
      <c r="C456" s="249" t="n"/>
      <c r="D456" s="249" t="n"/>
      <c r="E456" s="249" t="n"/>
      <c r="F456" s="249" t="n"/>
      <c r="G456" s="249" t="n"/>
      <c r="H456" s="249" t="n"/>
      <c r="I456" s="249" t="n"/>
      <c r="J456" s="249" t="n"/>
      <c r="K456" s="249" t="n"/>
      <c r="L456" s="249" t="n"/>
      <c r="M456" s="249" t="n"/>
    </row>
    <row r="457" ht="13" customHeight="1" s="250">
      <c r="A457" s="249" t="n"/>
      <c r="B457" s="249" t="n"/>
      <c r="C457" s="249" t="n"/>
      <c r="D457" s="249" t="n"/>
      <c r="E457" s="249" t="n"/>
      <c r="F457" s="249" t="n"/>
      <c r="G457" s="249" t="n"/>
      <c r="H457" s="249" t="n"/>
      <c r="I457" s="249" t="n"/>
      <c r="J457" s="249" t="n"/>
      <c r="K457" s="249" t="n"/>
      <c r="L457" s="249" t="n"/>
      <c r="M457" s="249" t="n"/>
    </row>
    <row r="458" ht="13" customHeight="1" s="250">
      <c r="A458" s="249" t="n"/>
      <c r="B458" s="249" t="n"/>
      <c r="C458" s="249" t="n"/>
      <c r="D458" s="249" t="n"/>
      <c r="E458" s="249" t="n"/>
      <c r="F458" s="249" t="n"/>
      <c r="G458" s="249" t="n"/>
      <c r="H458" s="249" t="n"/>
      <c r="I458" s="249" t="n"/>
      <c r="J458" s="249" t="n"/>
      <c r="K458" s="249" t="n"/>
      <c r="L458" s="249" t="n"/>
      <c r="M458" s="249" t="n"/>
    </row>
    <row r="459" ht="13" customHeight="1" s="250">
      <c r="A459" s="249" t="n"/>
      <c r="B459" s="249" t="n"/>
      <c r="C459" s="249" t="n"/>
      <c r="D459" s="249" t="n"/>
      <c r="E459" s="249" t="n"/>
      <c r="F459" s="249" t="n"/>
      <c r="G459" s="249" t="n"/>
      <c r="H459" s="249" t="n"/>
      <c r="I459" s="249" t="n"/>
      <c r="J459" s="249" t="n"/>
      <c r="K459" s="249" t="n"/>
      <c r="L459" s="249" t="n"/>
      <c r="M459" s="249" t="n"/>
    </row>
    <row r="460" ht="13" customHeight="1" s="250">
      <c r="A460" s="249" t="n"/>
      <c r="B460" s="249" t="n"/>
      <c r="C460" s="249" t="n"/>
      <c r="D460" s="249" t="n"/>
      <c r="E460" s="249" t="n"/>
      <c r="F460" s="249" t="n"/>
      <c r="G460" s="249" t="n"/>
      <c r="H460" s="249" t="n"/>
      <c r="I460" s="249" t="n"/>
      <c r="J460" s="249" t="n"/>
      <c r="K460" s="249" t="n"/>
      <c r="L460" s="249" t="n"/>
      <c r="M460" s="249" t="n"/>
    </row>
    <row r="461" ht="13" customHeight="1" s="250">
      <c r="A461" s="249" t="n"/>
      <c r="B461" s="249" t="n"/>
      <c r="C461" s="249" t="n"/>
      <c r="D461" s="249" t="n"/>
      <c r="E461" s="249" t="n"/>
      <c r="F461" s="249" t="n"/>
      <c r="G461" s="249" t="n"/>
      <c r="H461" s="249" t="n"/>
      <c r="I461" s="249" t="n"/>
      <c r="J461" s="249" t="n"/>
      <c r="K461" s="249" t="n"/>
      <c r="L461" s="249" t="n"/>
      <c r="M461" s="249" t="n"/>
    </row>
    <row r="462" ht="13" customHeight="1" s="250">
      <c r="A462" s="249" t="n"/>
      <c r="B462" s="249" t="n"/>
      <c r="C462" s="249" t="n"/>
      <c r="D462" s="249" t="n"/>
      <c r="E462" s="249" t="n"/>
      <c r="F462" s="249" t="n"/>
      <c r="G462" s="249" t="n"/>
      <c r="H462" s="249" t="n"/>
      <c r="I462" s="249" t="n"/>
      <c r="J462" s="249" t="n"/>
      <c r="K462" s="249" t="n"/>
      <c r="L462" s="249" t="n"/>
      <c r="M462" s="249" t="n"/>
    </row>
    <row r="463" ht="13" customHeight="1" s="250">
      <c r="A463" s="249" t="n"/>
      <c r="B463" s="249" t="n"/>
      <c r="C463" s="249" t="n"/>
      <c r="D463" s="249" t="n"/>
      <c r="E463" s="249" t="n"/>
      <c r="F463" s="249" t="n"/>
      <c r="G463" s="249" t="n"/>
      <c r="H463" s="249" t="n"/>
      <c r="I463" s="249" t="n"/>
      <c r="J463" s="249" t="n"/>
      <c r="K463" s="249" t="n"/>
      <c r="L463" s="249" t="n"/>
      <c r="M463" s="249" t="n"/>
    </row>
    <row r="464" ht="13" customHeight="1" s="250">
      <c r="A464" s="249" t="n"/>
      <c r="B464" s="249" t="n"/>
      <c r="C464" s="249" t="n"/>
      <c r="D464" s="249" t="n"/>
      <c r="E464" s="249" t="n"/>
      <c r="F464" s="249" t="n"/>
      <c r="G464" s="249" t="n"/>
      <c r="H464" s="249" t="n"/>
      <c r="I464" s="249" t="n"/>
      <c r="J464" s="249" t="n"/>
      <c r="K464" s="249" t="n"/>
      <c r="L464" s="249" t="n"/>
      <c r="M464" s="249" t="n"/>
    </row>
    <row r="465" ht="13" customHeight="1" s="250">
      <c r="A465" s="249" t="n"/>
      <c r="B465" s="249" t="n"/>
      <c r="C465" s="249" t="n"/>
      <c r="D465" s="249" t="n"/>
      <c r="E465" s="249" t="n"/>
      <c r="F465" s="249" t="n"/>
      <c r="G465" s="249" t="n"/>
      <c r="H465" s="249" t="n"/>
      <c r="I465" s="249" t="n"/>
      <c r="J465" s="249" t="n"/>
      <c r="K465" s="249" t="n"/>
      <c r="L465" s="249" t="n"/>
      <c r="M465" s="249" t="n"/>
    </row>
    <row r="466" ht="13" customHeight="1" s="250">
      <c r="A466" s="249" t="n"/>
      <c r="B466" s="249" t="n"/>
      <c r="C466" s="249" t="n"/>
      <c r="D466" s="249" t="n"/>
      <c r="E466" s="249" t="n"/>
      <c r="F466" s="249" t="n"/>
      <c r="G466" s="249" t="n"/>
      <c r="H466" s="249" t="n"/>
      <c r="I466" s="249" t="n"/>
      <c r="J466" s="249" t="n"/>
      <c r="K466" s="249" t="n"/>
      <c r="L466" s="249" t="n"/>
      <c r="M466" s="249" t="n"/>
    </row>
    <row r="467" ht="13" customHeight="1" s="250">
      <c r="A467" s="249" t="n"/>
      <c r="B467" s="249" t="n"/>
      <c r="C467" s="249" t="n"/>
      <c r="D467" s="249" t="n"/>
      <c r="E467" s="249" t="n"/>
      <c r="F467" s="249" t="n"/>
      <c r="G467" s="249" t="n"/>
      <c r="H467" s="249" t="n"/>
      <c r="I467" s="249" t="n"/>
      <c r="J467" s="249" t="n"/>
      <c r="K467" s="249" t="n"/>
      <c r="L467" s="249" t="n"/>
      <c r="M467" s="249" t="n"/>
    </row>
    <row r="468" ht="13" customHeight="1" s="250">
      <c r="A468" s="249" t="n"/>
      <c r="B468" s="249" t="n"/>
      <c r="C468" s="249" t="n"/>
      <c r="D468" s="249" t="n"/>
      <c r="E468" s="249" t="n"/>
      <c r="F468" s="249" t="n"/>
      <c r="G468" s="249" t="n"/>
      <c r="H468" s="249" t="n"/>
      <c r="I468" s="249" t="n"/>
      <c r="J468" s="249" t="n"/>
      <c r="K468" s="249" t="n"/>
      <c r="L468" s="249" t="n"/>
      <c r="M468" s="249" t="n"/>
    </row>
    <row r="469" ht="13" customHeight="1" s="250">
      <c r="A469" s="249" t="n"/>
      <c r="B469" s="249" t="n"/>
      <c r="C469" s="249" t="n"/>
      <c r="D469" s="249" t="n"/>
      <c r="E469" s="249" t="n"/>
      <c r="F469" s="249" t="n"/>
      <c r="G469" s="249" t="n"/>
      <c r="H469" s="249" t="n"/>
      <c r="I469" s="249" t="n"/>
      <c r="J469" s="249" t="n"/>
      <c r="K469" s="249" t="n"/>
      <c r="L469" s="249" t="n"/>
      <c r="M469" s="249" t="n"/>
    </row>
    <row r="470" ht="13" customHeight="1" s="250">
      <c r="A470" s="249" t="n"/>
      <c r="B470" s="249" t="n"/>
      <c r="C470" s="249" t="n"/>
      <c r="D470" s="249" t="n"/>
      <c r="E470" s="249" t="n"/>
      <c r="F470" s="249" t="n"/>
      <c r="G470" s="249" t="n"/>
      <c r="H470" s="249" t="n"/>
      <c r="I470" s="249" t="n"/>
      <c r="J470" s="249" t="n"/>
      <c r="K470" s="249" t="n"/>
      <c r="L470" s="249" t="n"/>
      <c r="M470" s="249" t="n"/>
    </row>
    <row r="471" ht="13" customHeight="1" s="250">
      <c r="A471" s="249" t="n"/>
      <c r="B471" s="249" t="n"/>
      <c r="C471" s="249" t="n"/>
      <c r="D471" s="249" t="n"/>
      <c r="E471" s="249" t="n"/>
      <c r="F471" s="249" t="n"/>
      <c r="G471" s="249" t="n"/>
      <c r="H471" s="249" t="n"/>
      <c r="I471" s="249" t="n"/>
      <c r="J471" s="249" t="n"/>
      <c r="K471" s="249" t="n"/>
      <c r="L471" s="249" t="n"/>
      <c r="M471" s="249" t="n"/>
    </row>
    <row r="472" ht="13" customHeight="1" s="250">
      <c r="A472" s="249" t="n"/>
      <c r="B472" s="249" t="n"/>
      <c r="C472" s="249" t="n"/>
      <c r="D472" s="249" t="n"/>
      <c r="E472" s="249" t="n"/>
      <c r="F472" s="249" t="n"/>
      <c r="G472" s="249" t="n"/>
      <c r="H472" s="249" t="n"/>
      <c r="I472" s="249" t="n"/>
      <c r="J472" s="249" t="n"/>
      <c r="K472" s="249" t="n"/>
      <c r="L472" s="249" t="n"/>
      <c r="M472" s="249" t="n"/>
    </row>
    <row r="473" ht="13" customHeight="1" s="250">
      <c r="A473" s="249" t="n"/>
      <c r="B473" s="249" t="n"/>
      <c r="C473" s="249" t="n"/>
      <c r="D473" s="249" t="n"/>
      <c r="E473" s="249" t="n"/>
      <c r="F473" s="249" t="n"/>
      <c r="G473" s="249" t="n"/>
      <c r="H473" s="249" t="n"/>
      <c r="I473" s="249" t="n"/>
      <c r="J473" s="249" t="n"/>
      <c r="K473" s="249" t="n"/>
      <c r="L473" s="249" t="n"/>
      <c r="M473" s="249" t="n"/>
    </row>
    <row r="474" ht="13" customHeight="1" s="250">
      <c r="A474" s="249" t="n"/>
      <c r="B474" s="249" t="n"/>
      <c r="C474" s="249" t="n"/>
      <c r="D474" s="249" t="n"/>
      <c r="E474" s="249" t="n"/>
      <c r="F474" s="249" t="n"/>
      <c r="G474" s="249" t="n"/>
      <c r="H474" s="249" t="n"/>
      <c r="I474" s="249" t="n"/>
      <c r="J474" s="249" t="n"/>
      <c r="K474" s="249" t="n"/>
      <c r="L474" s="249" t="n"/>
      <c r="M474" s="249" t="n"/>
    </row>
    <row r="475" ht="13" customHeight="1" s="250">
      <c r="A475" s="249" t="n"/>
      <c r="B475" s="249" t="n"/>
      <c r="C475" s="249" t="n"/>
      <c r="D475" s="249" t="n"/>
      <c r="E475" s="249" t="n"/>
      <c r="F475" s="249" t="n"/>
      <c r="G475" s="249" t="n"/>
      <c r="H475" s="249" t="n"/>
      <c r="I475" s="249" t="n"/>
      <c r="J475" s="249" t="n"/>
      <c r="K475" s="249" t="n"/>
      <c r="L475" s="249" t="n"/>
      <c r="M475" s="249" t="n"/>
    </row>
    <row r="476" ht="13" customHeight="1" s="250">
      <c r="A476" s="249" t="n"/>
      <c r="B476" s="249" t="n"/>
      <c r="C476" s="249" t="n"/>
      <c r="D476" s="249" t="n"/>
      <c r="E476" s="249" t="n"/>
      <c r="F476" s="249" t="n"/>
      <c r="G476" s="249" t="n"/>
      <c r="H476" s="249" t="n"/>
      <c r="I476" s="249" t="n"/>
      <c r="J476" s="249" t="n"/>
      <c r="K476" s="249" t="n"/>
      <c r="L476" s="249" t="n"/>
      <c r="M476" s="249" t="n"/>
    </row>
    <row r="477" ht="13" customHeight="1" s="250">
      <c r="A477" s="249" t="n"/>
      <c r="B477" s="249" t="n"/>
      <c r="C477" s="249" t="n"/>
      <c r="D477" s="249" t="n"/>
      <c r="E477" s="249" t="n"/>
      <c r="F477" s="249" t="n"/>
      <c r="G477" s="249" t="n"/>
      <c r="H477" s="249" t="n"/>
      <c r="I477" s="249" t="n"/>
      <c r="J477" s="249" t="n"/>
      <c r="K477" s="249" t="n"/>
      <c r="L477" s="249" t="n"/>
      <c r="M477" s="249" t="n"/>
    </row>
    <row r="478" ht="13" customHeight="1" s="250">
      <c r="A478" s="249" t="n"/>
      <c r="B478" s="249" t="n"/>
      <c r="C478" s="249" t="n"/>
      <c r="D478" s="249" t="n"/>
      <c r="E478" s="249" t="n"/>
      <c r="F478" s="249" t="n"/>
      <c r="G478" s="249" t="n"/>
      <c r="H478" s="249" t="n"/>
      <c r="I478" s="249" t="n"/>
      <c r="J478" s="249" t="n"/>
      <c r="K478" s="249" t="n"/>
      <c r="L478" s="249" t="n"/>
      <c r="M478" s="249" t="n"/>
    </row>
    <row r="479" ht="13" customHeight="1" s="250">
      <c r="A479" s="249" t="n"/>
      <c r="B479" s="249" t="n"/>
      <c r="C479" s="249" t="n"/>
      <c r="D479" s="249" t="n"/>
      <c r="E479" s="249" t="n"/>
      <c r="F479" s="249" t="n"/>
      <c r="G479" s="249" t="n"/>
      <c r="H479" s="249" t="n"/>
      <c r="I479" s="249" t="n"/>
      <c r="J479" s="249" t="n"/>
      <c r="K479" s="249" t="n"/>
      <c r="L479" s="249" t="n"/>
      <c r="M479" s="249" t="n"/>
    </row>
    <row r="480" ht="13" customHeight="1" s="250">
      <c r="A480" s="249" t="n"/>
      <c r="B480" s="249" t="n"/>
      <c r="C480" s="249" t="n"/>
      <c r="D480" s="249" t="n"/>
      <c r="E480" s="249" t="n"/>
      <c r="F480" s="249" t="n"/>
      <c r="G480" s="249" t="n"/>
      <c r="H480" s="249" t="n"/>
      <c r="I480" s="249" t="n"/>
      <c r="J480" s="249" t="n"/>
      <c r="K480" s="249" t="n"/>
      <c r="L480" s="249" t="n"/>
      <c r="M480" s="249" t="n"/>
    </row>
    <row r="481" ht="13" customHeight="1" s="250">
      <c r="A481" s="249" t="n"/>
      <c r="B481" s="249" t="n"/>
      <c r="C481" s="249" t="n"/>
      <c r="D481" s="249" t="n"/>
      <c r="E481" s="249" t="n"/>
      <c r="F481" s="249" t="n"/>
      <c r="G481" s="249" t="n"/>
      <c r="H481" s="249" t="n"/>
      <c r="I481" s="249" t="n"/>
      <c r="J481" s="249" t="n"/>
      <c r="K481" s="249" t="n"/>
      <c r="L481" s="249" t="n"/>
      <c r="M481" s="249" t="n"/>
    </row>
    <row r="482" ht="13" customHeight="1" s="250">
      <c r="A482" s="249" t="n"/>
      <c r="B482" s="249" t="n"/>
      <c r="C482" s="249" t="n"/>
      <c r="D482" s="249" t="n"/>
      <c r="E482" s="249" t="n"/>
      <c r="F482" s="249" t="n"/>
      <c r="G482" s="249" t="n"/>
      <c r="H482" s="249" t="n"/>
      <c r="I482" s="249" t="n"/>
      <c r="J482" s="249" t="n"/>
      <c r="K482" s="249" t="n"/>
      <c r="L482" s="249" t="n"/>
      <c r="M482" s="249" t="n"/>
    </row>
    <row r="483" ht="13" customHeight="1" s="250">
      <c r="A483" s="249" t="n"/>
      <c r="B483" s="249" t="n"/>
      <c r="C483" s="249" t="n"/>
      <c r="D483" s="249" t="n"/>
      <c r="E483" s="249" t="n"/>
      <c r="F483" s="249" t="n"/>
      <c r="G483" s="249" t="n"/>
      <c r="H483" s="249" t="n"/>
      <c r="I483" s="249" t="n"/>
      <c r="J483" s="249" t="n"/>
      <c r="K483" s="249" t="n"/>
      <c r="L483" s="249" t="n"/>
      <c r="M483" s="249" t="n"/>
    </row>
    <row r="484" ht="13" customHeight="1" s="250">
      <c r="A484" s="249" t="n"/>
      <c r="B484" s="249" t="n"/>
      <c r="C484" s="249" t="n"/>
      <c r="D484" s="249" t="n"/>
      <c r="E484" s="249" t="n"/>
      <c r="F484" s="249" t="n"/>
      <c r="G484" s="249" t="n"/>
      <c r="H484" s="249" t="n"/>
      <c r="I484" s="249" t="n"/>
      <c r="J484" s="249" t="n"/>
      <c r="K484" s="249" t="n"/>
      <c r="L484" s="249" t="n"/>
      <c r="M484" s="249" t="n"/>
    </row>
    <row r="485" ht="13" customHeight="1" s="250">
      <c r="A485" s="249" t="n"/>
      <c r="B485" s="249" t="n"/>
      <c r="C485" s="249" t="n"/>
      <c r="D485" s="249" t="n"/>
      <c r="E485" s="249" t="n"/>
      <c r="F485" s="249" t="n"/>
      <c r="G485" s="249" t="n"/>
      <c r="H485" s="249" t="n"/>
      <c r="I485" s="249" t="n"/>
      <c r="J485" s="249" t="n"/>
      <c r="K485" s="249" t="n"/>
      <c r="L485" s="249" t="n"/>
      <c r="M485" s="249" t="n"/>
    </row>
    <row r="486" ht="13" customHeight="1" s="250">
      <c r="A486" s="249" t="n"/>
      <c r="B486" s="249" t="n"/>
      <c r="C486" s="249" t="n"/>
      <c r="D486" s="249" t="n"/>
      <c r="E486" s="249" t="n"/>
      <c r="F486" s="249" t="n"/>
      <c r="G486" s="249" t="n"/>
      <c r="H486" s="249" t="n"/>
      <c r="I486" s="249" t="n"/>
      <c r="J486" s="249" t="n"/>
      <c r="K486" s="249" t="n"/>
      <c r="L486" s="249" t="n"/>
      <c r="M486" s="249" t="n"/>
    </row>
    <row r="487" ht="13" customHeight="1" s="250">
      <c r="A487" s="249" t="n"/>
      <c r="B487" s="249" t="n"/>
      <c r="C487" s="249" t="n"/>
      <c r="D487" s="249" t="n"/>
      <c r="E487" s="249" t="n"/>
      <c r="F487" s="249" t="n"/>
      <c r="G487" s="249" t="n"/>
      <c r="H487" s="249" t="n"/>
      <c r="I487" s="249" t="n"/>
      <c r="J487" s="249" t="n"/>
      <c r="K487" s="249" t="n"/>
      <c r="L487" s="249" t="n"/>
      <c r="M487" s="249" t="n"/>
    </row>
    <row r="488" ht="13" customHeight="1" s="250">
      <c r="A488" s="249" t="n"/>
      <c r="B488" s="249" t="n"/>
      <c r="C488" s="249" t="n"/>
      <c r="D488" s="249" t="n"/>
      <c r="E488" s="249" t="n"/>
      <c r="F488" s="249" t="n"/>
      <c r="G488" s="249" t="n"/>
      <c r="H488" s="249" t="n"/>
      <c r="I488" s="249" t="n"/>
      <c r="J488" s="249" t="n"/>
      <c r="K488" s="249" t="n"/>
      <c r="L488" s="249" t="n"/>
      <c r="M488" s="249" t="n"/>
    </row>
    <row r="489" ht="13" customHeight="1" s="250">
      <c r="A489" s="249" t="n"/>
      <c r="B489" s="249" t="n"/>
      <c r="C489" s="249" t="n"/>
      <c r="D489" s="249" t="n"/>
      <c r="E489" s="249" t="n"/>
      <c r="F489" s="249" t="n"/>
      <c r="G489" s="249" t="n"/>
      <c r="H489" s="249" t="n"/>
      <c r="I489" s="249" t="n"/>
      <c r="J489" s="249" t="n"/>
      <c r="K489" s="249" t="n"/>
      <c r="L489" s="249" t="n"/>
      <c r="M489" s="249" t="n"/>
    </row>
    <row r="490" ht="13" customHeight="1" s="250">
      <c r="A490" s="249" t="n"/>
      <c r="B490" s="249" t="n"/>
      <c r="C490" s="249" t="n"/>
      <c r="D490" s="249" t="n"/>
      <c r="E490" s="249" t="n"/>
      <c r="F490" s="249" t="n"/>
      <c r="G490" s="249" t="n"/>
      <c r="H490" s="249" t="n"/>
      <c r="I490" s="249" t="n"/>
      <c r="J490" s="249" t="n"/>
      <c r="K490" s="249" t="n"/>
      <c r="L490" s="249" t="n"/>
      <c r="M490" s="249" t="n"/>
    </row>
    <row r="491" ht="13" customHeight="1" s="250">
      <c r="A491" s="249" t="n"/>
      <c r="B491" s="249" t="n"/>
      <c r="C491" s="249" t="n"/>
      <c r="D491" s="249" t="n"/>
      <c r="E491" s="249" t="n"/>
      <c r="F491" s="249" t="n"/>
      <c r="G491" s="249" t="n"/>
      <c r="H491" s="249" t="n"/>
      <c r="I491" s="249" t="n"/>
      <c r="J491" s="249" t="n"/>
      <c r="K491" s="249" t="n"/>
      <c r="L491" s="249" t="n"/>
      <c r="M491" s="249" t="n"/>
    </row>
    <row r="492" ht="13" customHeight="1" s="250">
      <c r="A492" s="249" t="n"/>
      <c r="B492" s="249" t="n"/>
      <c r="C492" s="249" t="n"/>
      <c r="D492" s="249" t="n"/>
      <c r="E492" s="249" t="n"/>
      <c r="F492" s="249" t="n"/>
      <c r="G492" s="249" t="n"/>
      <c r="H492" s="249" t="n"/>
      <c r="I492" s="249" t="n"/>
      <c r="J492" s="249" t="n"/>
      <c r="K492" s="249" t="n"/>
      <c r="L492" s="249" t="n"/>
      <c r="M492" s="249" t="n"/>
    </row>
    <row r="493" ht="13" customHeight="1" s="250">
      <c r="A493" s="249" t="n"/>
      <c r="B493" s="249" t="n"/>
      <c r="C493" s="249" t="n"/>
      <c r="D493" s="249" t="n"/>
      <c r="E493" s="249" t="n"/>
      <c r="F493" s="249" t="n"/>
      <c r="G493" s="249" t="n"/>
      <c r="H493" s="249" t="n"/>
      <c r="I493" s="249" t="n"/>
      <c r="J493" s="249" t="n"/>
      <c r="K493" s="249" t="n"/>
      <c r="L493" s="249" t="n"/>
      <c r="M493" s="249" t="n"/>
    </row>
    <row r="494" ht="13" customHeight="1" s="250">
      <c r="A494" s="249" t="n"/>
      <c r="B494" s="249" t="n"/>
      <c r="C494" s="249" t="n"/>
      <c r="D494" s="249" t="n"/>
      <c r="E494" s="249" t="n"/>
      <c r="F494" s="249" t="n"/>
      <c r="G494" s="249" t="n"/>
      <c r="H494" s="249" t="n"/>
      <c r="I494" s="249" t="n"/>
      <c r="J494" s="249" t="n"/>
      <c r="K494" s="249" t="n"/>
      <c r="L494" s="249" t="n"/>
      <c r="M494" s="249" t="n"/>
    </row>
    <row r="495" ht="13" customHeight="1" s="250">
      <c r="A495" s="249" t="n"/>
      <c r="B495" s="249" t="n"/>
      <c r="C495" s="249" t="n"/>
      <c r="D495" s="249" t="n"/>
      <c r="E495" s="249" t="n"/>
      <c r="F495" s="249" t="n"/>
      <c r="G495" s="249" t="n"/>
      <c r="H495" s="249" t="n"/>
      <c r="I495" s="249" t="n"/>
      <c r="J495" s="249" t="n"/>
      <c r="K495" s="249" t="n"/>
      <c r="L495" s="249" t="n"/>
      <c r="M495" s="249" t="n"/>
    </row>
    <row r="496" ht="13" customHeight="1" s="250">
      <c r="A496" s="249" t="n"/>
      <c r="B496" s="249" t="n"/>
      <c r="C496" s="249" t="n"/>
      <c r="D496" s="249" t="n"/>
      <c r="E496" s="249" t="n"/>
      <c r="F496" s="249" t="n"/>
      <c r="G496" s="249" t="n"/>
      <c r="H496" s="249" t="n"/>
      <c r="I496" s="249" t="n"/>
      <c r="J496" s="249" t="n"/>
      <c r="K496" s="249" t="n"/>
      <c r="L496" s="249" t="n"/>
      <c r="M496" s="249" t="n"/>
    </row>
    <row r="497" ht="13" customHeight="1" s="250">
      <c r="A497" s="249" t="n"/>
      <c r="B497" s="249" t="n"/>
      <c r="C497" s="249" t="n"/>
      <c r="D497" s="249" t="n"/>
      <c r="E497" s="249" t="n"/>
      <c r="F497" s="249" t="n"/>
      <c r="G497" s="249" t="n"/>
      <c r="H497" s="249" t="n"/>
      <c r="I497" s="249" t="n"/>
      <c r="J497" s="249" t="n"/>
      <c r="K497" s="249" t="n"/>
      <c r="L497" s="249" t="n"/>
      <c r="M497" s="249" t="n"/>
    </row>
    <row r="498" ht="13" customHeight="1" s="250">
      <c r="A498" s="249" t="n"/>
      <c r="B498" s="249" t="n"/>
      <c r="C498" s="249" t="n"/>
      <c r="D498" s="249" t="n"/>
      <c r="E498" s="249" t="n"/>
      <c r="F498" s="249" t="n"/>
      <c r="G498" s="249" t="n"/>
      <c r="H498" s="249" t="n"/>
      <c r="I498" s="249" t="n"/>
      <c r="J498" s="249" t="n"/>
      <c r="K498" s="249" t="n"/>
      <c r="L498" s="249" t="n"/>
      <c r="M498" s="249" t="n"/>
    </row>
    <row r="499" ht="13" customHeight="1" s="250">
      <c r="A499" s="249" t="n"/>
      <c r="B499" s="249" t="n"/>
      <c r="C499" s="249" t="n"/>
      <c r="D499" s="249" t="n"/>
      <c r="E499" s="249" t="n"/>
      <c r="F499" s="249" t="n"/>
      <c r="G499" s="249" t="n"/>
      <c r="H499" s="249" t="n"/>
      <c r="I499" s="249" t="n"/>
      <c r="J499" s="249" t="n"/>
      <c r="K499" s="249" t="n"/>
      <c r="L499" s="249" t="n"/>
      <c r="M499" s="249" t="n"/>
    </row>
  </sheetData>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tabColor rgb="FF434343"/>
    <outlinePr summaryBelow="0" summaryRight="0"/>
    <pageSetUpPr/>
  </sheetPr>
  <dimension ref="A1:G499"/>
  <sheetViews>
    <sheetView zoomScale="130" zoomScaleNormal="130" workbookViewId="0">
      <pane ySplit="1" topLeftCell="A2" activePane="bottomLeft" state="frozen"/>
      <selection pane="bottomLeft" activeCell="A2" sqref="A2"/>
    </sheetView>
  </sheetViews>
  <sheetFormatPr baseColWidth="10" defaultColWidth="12.6640625" defaultRowHeight="15.75" customHeight="1"/>
  <sheetData>
    <row r="1" ht="25.5" customHeight="1" s="250">
      <c r="A1" s="8" t="inlineStr">
        <is>
          <t>list_name</t>
        </is>
      </c>
      <c r="B1" s="8" t="inlineStr">
        <is>
          <t>label</t>
        </is>
      </c>
      <c r="C1" s="10" t="n"/>
      <c r="D1" s="10" t="n"/>
      <c r="E1" s="10" t="n"/>
      <c r="F1" s="10" t="n"/>
      <c r="G1" s="10" t="n"/>
    </row>
    <row r="2" ht="13" customHeight="1" s="250">
      <c r="A2" s="249" t="n"/>
      <c r="B2" s="249" t="n"/>
      <c r="C2" s="249" t="n"/>
      <c r="D2" s="249" t="n"/>
      <c r="E2" s="249" t="n"/>
      <c r="F2" s="249" t="n"/>
      <c r="G2" s="249" t="n"/>
    </row>
    <row r="3" ht="13" customHeight="1" s="250">
      <c r="A3" s="249" t="n"/>
      <c r="B3" s="249" t="n"/>
      <c r="C3" s="249" t="n"/>
      <c r="D3" s="249" t="n"/>
      <c r="E3" s="249" t="n"/>
      <c r="F3" s="249" t="n"/>
      <c r="G3" s="249" t="n"/>
    </row>
    <row r="4" ht="13" customHeight="1" s="250">
      <c r="A4" s="249" t="n"/>
      <c r="B4" s="249" t="n"/>
      <c r="C4" s="249" t="n"/>
      <c r="D4" s="249" t="n"/>
      <c r="E4" s="249" t="n"/>
      <c r="F4" s="249" t="n"/>
      <c r="G4" s="249" t="n"/>
    </row>
    <row r="5" ht="13" customHeight="1" s="250">
      <c r="A5" s="249" t="n"/>
      <c r="B5" s="249" t="n"/>
      <c r="C5" s="249" t="n"/>
      <c r="D5" s="249" t="n"/>
      <c r="E5" s="249" t="n"/>
      <c r="F5" s="249" t="n"/>
      <c r="G5" s="249" t="n"/>
    </row>
    <row r="6" ht="13" customHeight="1" s="250">
      <c r="A6" s="249" t="n"/>
      <c r="B6" s="249" t="n"/>
      <c r="C6" s="249" t="n"/>
      <c r="D6" s="249" t="n"/>
      <c r="E6" s="249" t="n"/>
      <c r="F6" s="249" t="n"/>
      <c r="G6" s="249" t="n"/>
    </row>
    <row r="7" ht="13" customHeight="1" s="250">
      <c r="A7" s="249" t="n"/>
      <c r="B7" s="249" t="n"/>
      <c r="C7" s="249" t="n"/>
      <c r="D7" s="249" t="n"/>
      <c r="E7" s="249" t="n"/>
      <c r="F7" s="249" t="n"/>
      <c r="G7" s="249" t="n"/>
    </row>
    <row r="8" ht="13" customHeight="1" s="250">
      <c r="A8" s="249" t="n"/>
      <c r="B8" s="249" t="n"/>
      <c r="C8" s="249" t="n"/>
      <c r="D8" s="249" t="n"/>
      <c r="E8" s="249" t="n"/>
      <c r="F8" s="249" t="n"/>
      <c r="G8" s="249" t="n"/>
    </row>
    <row r="9" ht="13" customHeight="1" s="250">
      <c r="A9" s="249" t="n"/>
      <c r="B9" s="249" t="n"/>
      <c r="C9" s="249" t="n"/>
      <c r="D9" s="249" t="n"/>
      <c r="E9" s="249" t="n"/>
      <c r="F9" s="249" t="n"/>
      <c r="G9" s="249" t="n"/>
    </row>
    <row r="10" ht="13" customHeight="1" s="250">
      <c r="A10" s="249" t="n"/>
      <c r="B10" s="249" t="n"/>
      <c r="C10" s="249" t="n"/>
      <c r="D10" s="249" t="n"/>
      <c r="E10" s="249" t="n"/>
      <c r="F10" s="249" t="n"/>
      <c r="G10" s="249" t="n"/>
    </row>
    <row r="11" ht="13" customHeight="1" s="250">
      <c r="A11" s="249" t="n"/>
      <c r="B11" s="249" t="n"/>
      <c r="C11" s="249" t="n"/>
      <c r="D11" s="249" t="n"/>
      <c r="E11" s="249" t="n"/>
      <c r="F11" s="249" t="n"/>
      <c r="G11" s="249" t="n"/>
    </row>
    <row r="12" ht="13" customHeight="1" s="250">
      <c r="A12" s="249" t="n"/>
      <c r="B12" s="249" t="n"/>
      <c r="C12" s="249" t="n"/>
      <c r="D12" s="249" t="n"/>
      <c r="E12" s="249" t="n"/>
      <c r="F12" s="249" t="n"/>
      <c r="G12" s="249" t="n"/>
    </row>
    <row r="13" ht="13" customHeight="1" s="250">
      <c r="A13" s="249" t="n"/>
      <c r="B13" s="249" t="n"/>
      <c r="C13" s="249" t="n"/>
      <c r="D13" s="249" t="n"/>
      <c r="E13" s="249" t="n"/>
      <c r="F13" s="249" t="n"/>
      <c r="G13" s="249" t="n"/>
    </row>
    <row r="14" ht="13" customHeight="1" s="250">
      <c r="A14" s="249" t="n"/>
      <c r="B14" s="249" t="n"/>
      <c r="C14" s="249" t="n"/>
      <c r="D14" s="249" t="n"/>
      <c r="E14" s="249" t="n"/>
      <c r="F14" s="249" t="n"/>
      <c r="G14" s="249" t="n"/>
    </row>
    <row r="15" ht="13" customHeight="1" s="250">
      <c r="A15" s="249" t="n"/>
      <c r="B15" s="249" t="n"/>
      <c r="C15" s="249" t="n"/>
      <c r="D15" s="249" t="n"/>
      <c r="E15" s="249" t="n"/>
      <c r="F15" s="249" t="n"/>
      <c r="G15" s="249" t="n"/>
    </row>
    <row r="16" ht="13" customHeight="1" s="250">
      <c r="A16" s="249" t="n"/>
      <c r="B16" s="249" t="n"/>
      <c r="C16" s="249" t="n"/>
      <c r="D16" s="249" t="n"/>
      <c r="E16" s="249" t="n"/>
      <c r="F16" s="249" t="n"/>
      <c r="G16" s="249" t="n"/>
    </row>
    <row r="17" ht="13" customHeight="1" s="250">
      <c r="A17" s="249" t="n"/>
      <c r="B17" s="249" t="n"/>
      <c r="C17" s="249" t="n"/>
      <c r="D17" s="249" t="n"/>
      <c r="E17" s="249" t="n"/>
      <c r="F17" s="249" t="n"/>
      <c r="G17" s="249" t="n"/>
    </row>
    <row r="18" ht="13" customHeight="1" s="250">
      <c r="A18" s="249" t="n"/>
      <c r="B18" s="249" t="n"/>
      <c r="C18" s="249" t="n"/>
      <c r="D18" s="249" t="n"/>
      <c r="E18" s="249" t="n"/>
      <c r="F18" s="249" t="n"/>
      <c r="G18" s="249" t="n"/>
    </row>
    <row r="19" ht="13" customHeight="1" s="250">
      <c r="A19" s="249" t="n"/>
      <c r="B19" s="249" t="n"/>
      <c r="C19" s="249" t="n"/>
      <c r="D19" s="249" t="n"/>
      <c r="E19" s="249" t="n"/>
      <c r="F19" s="249" t="n"/>
      <c r="G19" s="249" t="n"/>
    </row>
    <row r="20" ht="13" customHeight="1" s="250">
      <c r="A20" s="249" t="n"/>
      <c r="B20" s="249" t="n"/>
      <c r="C20" s="249" t="n"/>
      <c r="D20" s="249" t="n"/>
      <c r="E20" s="249" t="n"/>
      <c r="F20" s="249" t="n"/>
      <c r="G20" s="249" t="n"/>
    </row>
    <row r="21" ht="13" customHeight="1" s="250">
      <c r="A21" s="249" t="n"/>
      <c r="B21" s="249" t="n"/>
      <c r="C21" s="249" t="n"/>
      <c r="D21" s="249" t="n"/>
      <c r="E21" s="249" t="n"/>
      <c r="F21" s="249" t="n"/>
      <c r="G21" s="249" t="n"/>
    </row>
    <row r="22" ht="13" customHeight="1" s="250">
      <c r="A22" s="249" t="n"/>
      <c r="B22" s="249" t="n"/>
      <c r="C22" s="249" t="n"/>
      <c r="D22" s="249" t="n"/>
      <c r="E22" s="249" t="n"/>
      <c r="F22" s="249" t="n"/>
      <c r="G22" s="249" t="n"/>
    </row>
    <row r="23" ht="13" customHeight="1" s="250">
      <c r="A23" s="249" t="n"/>
      <c r="B23" s="249" t="n"/>
      <c r="C23" s="249" t="n"/>
      <c r="D23" s="249" t="n"/>
      <c r="E23" s="249" t="n"/>
      <c r="F23" s="249" t="n"/>
      <c r="G23" s="249" t="n"/>
    </row>
    <row r="24" ht="13" customHeight="1" s="250">
      <c r="A24" s="249" t="n"/>
      <c r="B24" s="249" t="n"/>
      <c r="C24" s="249" t="n"/>
      <c r="D24" s="249" t="n"/>
      <c r="E24" s="249" t="n"/>
      <c r="F24" s="249" t="n"/>
      <c r="G24" s="249" t="n"/>
    </row>
    <row r="25" ht="13" customHeight="1" s="250">
      <c r="A25" s="249" t="n"/>
      <c r="B25" s="249" t="n"/>
      <c r="C25" s="249" t="n"/>
      <c r="D25" s="249" t="n"/>
      <c r="E25" s="249" t="n"/>
      <c r="F25" s="249" t="n"/>
      <c r="G25" s="249" t="n"/>
    </row>
    <row r="26" ht="13" customHeight="1" s="250">
      <c r="A26" s="249" t="n"/>
      <c r="B26" s="249" t="n"/>
      <c r="C26" s="249" t="n"/>
      <c r="D26" s="249" t="n"/>
      <c r="E26" s="249" t="n"/>
      <c r="F26" s="249" t="n"/>
      <c r="G26" s="249" t="n"/>
    </row>
    <row r="27" ht="13" customHeight="1" s="250">
      <c r="A27" s="249" t="n"/>
      <c r="B27" s="249" t="n"/>
      <c r="C27" s="249" t="n"/>
      <c r="D27" s="249" t="n"/>
      <c r="E27" s="249" t="n"/>
      <c r="F27" s="249" t="n"/>
      <c r="G27" s="249" t="n"/>
    </row>
    <row r="28" ht="13" customHeight="1" s="250">
      <c r="A28" s="249" t="n"/>
      <c r="B28" s="249" t="n"/>
      <c r="C28" s="249" t="n"/>
      <c r="D28" s="249" t="n"/>
      <c r="E28" s="249" t="n"/>
      <c r="F28" s="249" t="n"/>
      <c r="G28" s="249" t="n"/>
    </row>
    <row r="29" ht="13" customHeight="1" s="250">
      <c r="A29" s="249" t="n"/>
      <c r="B29" s="249" t="n"/>
      <c r="C29" s="249" t="n"/>
      <c r="D29" s="249" t="n"/>
      <c r="E29" s="249" t="n"/>
      <c r="F29" s="249" t="n"/>
      <c r="G29" s="249" t="n"/>
    </row>
    <row r="30" ht="13" customHeight="1" s="250">
      <c r="A30" s="249" t="n"/>
      <c r="B30" s="249" t="n"/>
      <c r="C30" s="249" t="n"/>
      <c r="D30" s="249" t="n"/>
      <c r="E30" s="249" t="n"/>
      <c r="F30" s="249" t="n"/>
      <c r="G30" s="249" t="n"/>
    </row>
    <row r="31" ht="13" customHeight="1" s="250">
      <c r="A31" s="249" t="n"/>
      <c r="B31" s="249" t="n"/>
      <c r="C31" s="249" t="n"/>
      <c r="D31" s="249" t="n"/>
      <c r="E31" s="249" t="n"/>
      <c r="F31" s="249" t="n"/>
      <c r="G31" s="249" t="n"/>
    </row>
    <row r="32" ht="13" customHeight="1" s="250">
      <c r="A32" s="249" t="n"/>
      <c r="B32" s="249" t="n"/>
      <c r="C32" s="249" t="n"/>
      <c r="D32" s="249" t="n"/>
      <c r="E32" s="249" t="n"/>
      <c r="F32" s="249" t="n"/>
      <c r="G32" s="249" t="n"/>
    </row>
    <row r="33" ht="13" customHeight="1" s="250">
      <c r="A33" s="249" t="n"/>
      <c r="B33" s="249" t="n"/>
      <c r="C33" s="249" t="n"/>
      <c r="D33" s="249" t="n"/>
      <c r="E33" s="249" t="n"/>
      <c r="F33" s="249" t="n"/>
      <c r="G33" s="249" t="n"/>
    </row>
    <row r="34" ht="13" customHeight="1" s="250">
      <c r="A34" s="249" t="n"/>
      <c r="B34" s="249" t="n"/>
      <c r="C34" s="249" t="n"/>
      <c r="D34" s="249" t="n"/>
      <c r="E34" s="249" t="n"/>
      <c r="F34" s="249" t="n"/>
      <c r="G34" s="249" t="n"/>
    </row>
    <row r="35" ht="13" customHeight="1" s="250">
      <c r="A35" s="249" t="n"/>
      <c r="B35" s="249" t="n"/>
      <c r="C35" s="249" t="n"/>
      <c r="D35" s="249" t="n"/>
      <c r="E35" s="249" t="n"/>
      <c r="F35" s="249" t="n"/>
      <c r="G35" s="249" t="n"/>
    </row>
    <row r="36" ht="13" customHeight="1" s="250">
      <c r="A36" s="249" t="n"/>
      <c r="B36" s="249" t="n"/>
      <c r="C36" s="249" t="n"/>
      <c r="D36" s="249" t="n"/>
      <c r="E36" s="249" t="n"/>
      <c r="F36" s="249" t="n"/>
      <c r="G36" s="249" t="n"/>
    </row>
    <row r="37" ht="13" customHeight="1" s="250">
      <c r="A37" s="249" t="n"/>
      <c r="B37" s="249" t="n"/>
      <c r="C37" s="249" t="n"/>
      <c r="D37" s="249" t="n"/>
      <c r="E37" s="249" t="n"/>
      <c r="F37" s="249" t="n"/>
      <c r="G37" s="249" t="n"/>
    </row>
    <row r="38" ht="13" customHeight="1" s="250">
      <c r="A38" s="249" t="n"/>
      <c r="B38" s="249" t="n"/>
      <c r="C38" s="249" t="n"/>
      <c r="D38" s="249" t="n"/>
      <c r="E38" s="249" t="n"/>
      <c r="F38" s="249" t="n"/>
      <c r="G38" s="249" t="n"/>
    </row>
    <row r="39" ht="13" customHeight="1" s="250">
      <c r="A39" s="249" t="n"/>
      <c r="B39" s="249" t="n"/>
      <c r="C39" s="249" t="n"/>
      <c r="D39" s="249" t="n"/>
      <c r="E39" s="249" t="n"/>
      <c r="F39" s="249" t="n"/>
      <c r="G39" s="249" t="n"/>
    </row>
    <row r="40" ht="13" customHeight="1" s="250">
      <c r="A40" s="249" t="n"/>
      <c r="B40" s="249" t="n"/>
      <c r="C40" s="249" t="n"/>
      <c r="D40" s="249" t="n"/>
      <c r="E40" s="249" t="n"/>
      <c r="F40" s="249" t="n"/>
      <c r="G40" s="249" t="n"/>
    </row>
    <row r="41" ht="13" customHeight="1" s="250">
      <c r="A41" s="249" t="n"/>
      <c r="B41" s="249" t="n"/>
      <c r="C41" s="249" t="n"/>
      <c r="D41" s="249" t="n"/>
      <c r="E41" s="249" t="n"/>
      <c r="F41" s="249" t="n"/>
      <c r="G41" s="249" t="n"/>
    </row>
    <row r="42" ht="13" customHeight="1" s="250">
      <c r="A42" s="249" t="n"/>
      <c r="B42" s="249" t="n"/>
      <c r="C42" s="249" t="n"/>
      <c r="D42" s="249" t="n"/>
      <c r="E42" s="249" t="n"/>
      <c r="F42" s="249" t="n"/>
      <c r="G42" s="249" t="n"/>
    </row>
    <row r="43" ht="13" customHeight="1" s="250">
      <c r="A43" s="249" t="n"/>
      <c r="B43" s="249" t="n"/>
      <c r="C43" s="249" t="n"/>
      <c r="D43" s="249" t="n"/>
      <c r="E43" s="249" t="n"/>
      <c r="F43" s="249" t="n"/>
      <c r="G43" s="249" t="n"/>
    </row>
    <row r="44" ht="13" customHeight="1" s="250">
      <c r="A44" s="249" t="n"/>
      <c r="B44" s="249" t="n"/>
      <c r="C44" s="249" t="n"/>
      <c r="D44" s="249" t="n"/>
      <c r="E44" s="249" t="n"/>
      <c r="F44" s="249" t="n"/>
      <c r="G44" s="249" t="n"/>
    </row>
    <row r="45" ht="13" customHeight="1" s="250">
      <c r="A45" s="249" t="n"/>
      <c r="B45" s="249" t="n"/>
      <c r="C45" s="249" t="n"/>
      <c r="D45" s="249" t="n"/>
      <c r="E45" s="249" t="n"/>
      <c r="F45" s="249" t="n"/>
      <c r="G45" s="249" t="n"/>
    </row>
    <row r="46" ht="13" customHeight="1" s="250">
      <c r="A46" s="249" t="n"/>
      <c r="B46" s="249" t="n"/>
      <c r="C46" s="249" t="n"/>
      <c r="D46" s="249" t="n"/>
      <c r="E46" s="249" t="n"/>
      <c r="F46" s="249" t="n"/>
      <c r="G46" s="249" t="n"/>
    </row>
    <row r="47" ht="13" customHeight="1" s="250">
      <c r="A47" s="249" t="n"/>
      <c r="B47" s="249" t="n"/>
      <c r="C47" s="249" t="n"/>
      <c r="D47" s="249" t="n"/>
      <c r="E47" s="249" t="n"/>
      <c r="F47" s="249" t="n"/>
      <c r="G47" s="249" t="n"/>
    </row>
    <row r="48" ht="13" customHeight="1" s="250">
      <c r="A48" s="249" t="n"/>
      <c r="B48" s="249" t="n"/>
      <c r="C48" s="249" t="n"/>
      <c r="D48" s="249" t="n"/>
      <c r="E48" s="249" t="n"/>
      <c r="F48" s="249" t="n"/>
      <c r="G48" s="249" t="n"/>
    </row>
    <row r="49" ht="13" customHeight="1" s="250">
      <c r="A49" s="249" t="n"/>
      <c r="B49" s="249" t="n"/>
      <c r="C49" s="249" t="n"/>
      <c r="D49" s="249" t="n"/>
      <c r="E49" s="249" t="n"/>
      <c r="F49" s="249" t="n"/>
      <c r="G49" s="249" t="n"/>
    </row>
    <row r="50" ht="13" customHeight="1" s="250">
      <c r="A50" s="249" t="n"/>
      <c r="B50" s="249" t="n"/>
      <c r="C50" s="249" t="n"/>
      <c r="D50" s="249" t="n"/>
      <c r="E50" s="249" t="n"/>
      <c r="F50" s="249" t="n"/>
      <c r="G50" s="249" t="n"/>
    </row>
    <row r="51" ht="13" customHeight="1" s="250">
      <c r="A51" s="249" t="n"/>
      <c r="B51" s="249" t="n"/>
      <c r="C51" s="249" t="n"/>
      <c r="D51" s="249" t="n"/>
      <c r="E51" s="249" t="n"/>
      <c r="F51" s="249" t="n"/>
      <c r="G51" s="249" t="n"/>
    </row>
    <row r="52" ht="13" customHeight="1" s="250">
      <c r="A52" s="249" t="n"/>
      <c r="B52" s="249" t="n"/>
      <c r="C52" s="249" t="n"/>
      <c r="D52" s="249" t="n"/>
      <c r="E52" s="249" t="n"/>
      <c r="F52" s="249" t="n"/>
      <c r="G52" s="249" t="n"/>
    </row>
    <row r="53" ht="13" customHeight="1" s="250">
      <c r="A53" s="249" t="n"/>
      <c r="B53" s="249" t="n"/>
      <c r="C53" s="249" t="n"/>
      <c r="D53" s="249" t="n"/>
      <c r="E53" s="249" t="n"/>
      <c r="F53" s="249" t="n"/>
      <c r="G53" s="249" t="n"/>
    </row>
    <row r="54" ht="13" customHeight="1" s="250">
      <c r="A54" s="249" t="n"/>
      <c r="B54" s="249" t="n"/>
      <c r="C54" s="249" t="n"/>
      <c r="D54" s="249" t="n"/>
      <c r="E54" s="249" t="n"/>
      <c r="F54" s="249" t="n"/>
      <c r="G54" s="249" t="n"/>
    </row>
    <row r="55" ht="13" customHeight="1" s="250">
      <c r="A55" s="249" t="n"/>
      <c r="B55" s="249" t="n"/>
      <c r="C55" s="249" t="n"/>
      <c r="D55" s="249" t="n"/>
      <c r="E55" s="249" t="n"/>
      <c r="F55" s="249" t="n"/>
      <c r="G55" s="249" t="n"/>
    </row>
    <row r="56" ht="13" customHeight="1" s="250">
      <c r="A56" s="249" t="n"/>
      <c r="B56" s="249" t="n"/>
      <c r="C56" s="249" t="n"/>
      <c r="D56" s="249" t="n"/>
      <c r="E56" s="249" t="n"/>
      <c r="F56" s="249" t="n"/>
      <c r="G56" s="249" t="n"/>
    </row>
    <row r="57" ht="13" customHeight="1" s="250">
      <c r="A57" s="249" t="n"/>
      <c r="B57" s="249" t="n"/>
      <c r="C57" s="249" t="n"/>
      <c r="D57" s="249" t="n"/>
      <c r="E57" s="249" t="n"/>
      <c r="F57" s="249" t="n"/>
      <c r="G57" s="249" t="n"/>
    </row>
    <row r="58" ht="13" customHeight="1" s="250">
      <c r="A58" s="249" t="n"/>
      <c r="B58" s="249" t="n"/>
      <c r="C58" s="249" t="n"/>
      <c r="D58" s="249" t="n"/>
      <c r="E58" s="249" t="n"/>
      <c r="F58" s="249" t="n"/>
      <c r="G58" s="249" t="n"/>
    </row>
    <row r="59" ht="13" customHeight="1" s="250">
      <c r="A59" s="249" t="n"/>
      <c r="B59" s="249" t="n"/>
      <c r="C59" s="249" t="n"/>
      <c r="D59" s="249" t="n"/>
      <c r="E59" s="249" t="n"/>
      <c r="F59" s="249" t="n"/>
      <c r="G59" s="249" t="n"/>
    </row>
    <row r="60" ht="13" customHeight="1" s="250">
      <c r="A60" s="249" t="n"/>
      <c r="B60" s="249" t="n"/>
      <c r="C60" s="249" t="n"/>
      <c r="D60" s="249" t="n"/>
      <c r="E60" s="249" t="n"/>
      <c r="F60" s="249" t="n"/>
      <c r="G60" s="249" t="n"/>
    </row>
    <row r="61" ht="13" customHeight="1" s="250">
      <c r="A61" s="249" t="n"/>
      <c r="B61" s="249" t="n"/>
      <c r="C61" s="249" t="n"/>
      <c r="D61" s="249" t="n"/>
      <c r="E61" s="249" t="n"/>
      <c r="F61" s="249" t="n"/>
      <c r="G61" s="249" t="n"/>
    </row>
    <row r="62" ht="13" customHeight="1" s="250">
      <c r="A62" s="249" t="n"/>
      <c r="B62" s="249" t="n"/>
      <c r="C62" s="249" t="n"/>
      <c r="D62" s="249" t="n"/>
      <c r="E62" s="249" t="n"/>
      <c r="F62" s="249" t="n"/>
      <c r="G62" s="249" t="n"/>
    </row>
    <row r="63" ht="13" customHeight="1" s="250">
      <c r="A63" s="249" t="n"/>
      <c r="B63" s="249" t="n"/>
      <c r="C63" s="249" t="n"/>
      <c r="D63" s="249" t="n"/>
      <c r="E63" s="249" t="n"/>
      <c r="F63" s="249" t="n"/>
      <c r="G63" s="249" t="n"/>
    </row>
    <row r="64" ht="13" customHeight="1" s="250">
      <c r="A64" s="249" t="n"/>
      <c r="B64" s="249" t="n"/>
      <c r="C64" s="249" t="n"/>
      <c r="D64" s="249" t="n"/>
      <c r="E64" s="249" t="n"/>
      <c r="F64" s="249" t="n"/>
      <c r="G64" s="249" t="n"/>
    </row>
    <row r="65" ht="13" customHeight="1" s="250">
      <c r="A65" s="249" t="n"/>
      <c r="B65" s="249" t="n"/>
      <c r="C65" s="249" t="n"/>
      <c r="D65" s="249" t="n"/>
      <c r="E65" s="249" t="n"/>
      <c r="F65" s="249" t="n"/>
      <c r="G65" s="249" t="n"/>
    </row>
    <row r="66" ht="13" customHeight="1" s="250">
      <c r="A66" s="249" t="n"/>
      <c r="B66" s="249" t="n"/>
      <c r="C66" s="249" t="n"/>
      <c r="D66" s="249" t="n"/>
      <c r="E66" s="249" t="n"/>
      <c r="F66" s="249" t="n"/>
      <c r="G66" s="249" t="n"/>
    </row>
    <row r="67" ht="13" customHeight="1" s="250">
      <c r="A67" s="249" t="n"/>
      <c r="B67" s="249" t="n"/>
      <c r="C67" s="249" t="n"/>
      <c r="D67" s="249" t="n"/>
      <c r="E67" s="249" t="n"/>
      <c r="F67" s="249" t="n"/>
      <c r="G67" s="249" t="n"/>
    </row>
    <row r="68" ht="13" customHeight="1" s="250">
      <c r="A68" s="249" t="n"/>
      <c r="B68" s="249" t="n"/>
      <c r="C68" s="249" t="n"/>
      <c r="D68" s="249" t="n"/>
      <c r="E68" s="249" t="n"/>
      <c r="F68" s="249" t="n"/>
      <c r="G68" s="249" t="n"/>
    </row>
    <row r="69" ht="13" customHeight="1" s="250">
      <c r="A69" s="249" t="n"/>
      <c r="B69" s="249" t="n"/>
      <c r="C69" s="249" t="n"/>
      <c r="D69" s="249" t="n"/>
      <c r="E69" s="249" t="n"/>
      <c r="F69" s="249" t="n"/>
      <c r="G69" s="249" t="n"/>
    </row>
    <row r="70" ht="13" customHeight="1" s="250">
      <c r="A70" s="249" t="n"/>
      <c r="B70" s="249" t="n"/>
      <c r="C70" s="249" t="n"/>
      <c r="D70" s="249" t="n"/>
      <c r="E70" s="249" t="n"/>
      <c r="F70" s="249" t="n"/>
      <c r="G70" s="249" t="n"/>
    </row>
    <row r="71" ht="13" customHeight="1" s="250">
      <c r="A71" s="249" t="n"/>
      <c r="B71" s="249" t="n"/>
      <c r="C71" s="249" t="n"/>
      <c r="D71" s="249" t="n"/>
      <c r="E71" s="249" t="n"/>
      <c r="F71" s="249" t="n"/>
      <c r="G71" s="249" t="n"/>
    </row>
    <row r="72" ht="13" customHeight="1" s="250">
      <c r="A72" s="249" t="n"/>
      <c r="B72" s="249" t="n"/>
      <c r="C72" s="249" t="n"/>
      <c r="D72" s="249" t="n"/>
      <c r="E72" s="249" t="n"/>
      <c r="F72" s="249" t="n"/>
      <c r="G72" s="249" t="n"/>
    </row>
    <row r="73" ht="13" customHeight="1" s="250">
      <c r="A73" s="249" t="n"/>
      <c r="B73" s="249" t="n"/>
      <c r="C73" s="249" t="n"/>
      <c r="D73" s="249" t="n"/>
      <c r="E73" s="249" t="n"/>
      <c r="F73" s="249" t="n"/>
      <c r="G73" s="249" t="n"/>
    </row>
    <row r="74" ht="13" customHeight="1" s="250">
      <c r="A74" s="249" t="n"/>
      <c r="B74" s="249" t="n"/>
      <c r="C74" s="249" t="n"/>
      <c r="D74" s="249" t="n"/>
      <c r="E74" s="249" t="n"/>
      <c r="F74" s="249" t="n"/>
      <c r="G74" s="249" t="n"/>
    </row>
    <row r="75" ht="13" customHeight="1" s="250">
      <c r="A75" s="249" t="n"/>
      <c r="B75" s="249" t="n"/>
      <c r="C75" s="249" t="n"/>
      <c r="D75" s="249" t="n"/>
      <c r="E75" s="249" t="n"/>
      <c r="F75" s="249" t="n"/>
      <c r="G75" s="249" t="n"/>
    </row>
    <row r="76" ht="13" customHeight="1" s="250">
      <c r="A76" s="249" t="n"/>
      <c r="B76" s="249" t="n"/>
      <c r="C76" s="249" t="n"/>
      <c r="D76" s="249" t="n"/>
      <c r="E76" s="249" t="n"/>
      <c r="F76" s="249" t="n"/>
      <c r="G76" s="249" t="n"/>
    </row>
    <row r="77" ht="13" customHeight="1" s="250">
      <c r="A77" s="249" t="n"/>
      <c r="B77" s="249" t="n"/>
      <c r="C77" s="249" t="n"/>
      <c r="D77" s="249" t="n"/>
      <c r="E77" s="249" t="n"/>
      <c r="F77" s="249" t="n"/>
      <c r="G77" s="249" t="n"/>
    </row>
    <row r="78" ht="13" customHeight="1" s="250">
      <c r="A78" s="249" t="n"/>
      <c r="B78" s="249" t="n"/>
      <c r="C78" s="249" t="n"/>
      <c r="D78" s="249" t="n"/>
      <c r="E78" s="249" t="n"/>
      <c r="F78" s="249" t="n"/>
      <c r="G78" s="249" t="n"/>
    </row>
    <row r="79" ht="13" customHeight="1" s="250">
      <c r="A79" s="249" t="n"/>
      <c r="B79" s="249" t="n"/>
      <c r="C79" s="249" t="n"/>
      <c r="D79" s="249" t="n"/>
      <c r="E79" s="249" t="n"/>
      <c r="F79" s="249" t="n"/>
      <c r="G79" s="249" t="n"/>
    </row>
    <row r="80" ht="13" customHeight="1" s="250">
      <c r="A80" s="249" t="n"/>
      <c r="B80" s="249" t="n"/>
      <c r="C80" s="249" t="n"/>
      <c r="D80" s="249" t="n"/>
      <c r="E80" s="249" t="n"/>
      <c r="F80" s="249" t="n"/>
      <c r="G80" s="249" t="n"/>
    </row>
    <row r="81" ht="13" customHeight="1" s="250">
      <c r="A81" s="249" t="n"/>
      <c r="B81" s="249" t="n"/>
      <c r="C81" s="249" t="n"/>
      <c r="D81" s="249" t="n"/>
      <c r="E81" s="249" t="n"/>
      <c r="F81" s="249" t="n"/>
      <c r="G81" s="249" t="n"/>
    </row>
    <row r="82" ht="13" customHeight="1" s="250">
      <c r="A82" s="249" t="n"/>
      <c r="B82" s="249" t="n"/>
      <c r="C82" s="249" t="n"/>
      <c r="D82" s="249" t="n"/>
      <c r="E82" s="249" t="n"/>
      <c r="F82" s="249" t="n"/>
      <c r="G82" s="249" t="n"/>
    </row>
    <row r="83" ht="13" customHeight="1" s="250">
      <c r="A83" s="249" t="n"/>
      <c r="B83" s="249" t="n"/>
      <c r="C83" s="249" t="n"/>
      <c r="D83" s="249" t="n"/>
      <c r="E83" s="249" t="n"/>
      <c r="F83" s="249" t="n"/>
      <c r="G83" s="249" t="n"/>
    </row>
    <row r="84" ht="13" customHeight="1" s="250">
      <c r="A84" s="249" t="n"/>
      <c r="B84" s="249" t="n"/>
      <c r="C84" s="249" t="n"/>
      <c r="D84" s="249" t="n"/>
      <c r="E84" s="249" t="n"/>
      <c r="F84" s="249" t="n"/>
      <c r="G84" s="249" t="n"/>
    </row>
    <row r="85" ht="13" customHeight="1" s="250">
      <c r="A85" s="249" t="n"/>
      <c r="B85" s="249" t="n"/>
      <c r="C85" s="249" t="n"/>
      <c r="D85" s="249" t="n"/>
      <c r="E85" s="249" t="n"/>
      <c r="F85" s="249" t="n"/>
      <c r="G85" s="249" t="n"/>
    </row>
    <row r="86" ht="13" customHeight="1" s="250">
      <c r="A86" s="249" t="n"/>
      <c r="B86" s="249" t="n"/>
      <c r="C86" s="249" t="n"/>
      <c r="D86" s="249" t="n"/>
      <c r="E86" s="249" t="n"/>
      <c r="F86" s="249" t="n"/>
      <c r="G86" s="249" t="n"/>
    </row>
    <row r="87" ht="13" customHeight="1" s="250">
      <c r="A87" s="249" t="n"/>
      <c r="B87" s="249" t="n"/>
      <c r="C87" s="249" t="n"/>
      <c r="D87" s="249" t="n"/>
      <c r="E87" s="249" t="n"/>
      <c r="F87" s="249" t="n"/>
      <c r="G87" s="249" t="n"/>
    </row>
    <row r="88" ht="13" customHeight="1" s="250">
      <c r="A88" s="249" t="n"/>
      <c r="B88" s="249" t="n"/>
      <c r="C88" s="249" t="n"/>
      <c r="D88" s="249" t="n"/>
      <c r="E88" s="249" t="n"/>
      <c r="F88" s="249" t="n"/>
      <c r="G88" s="249" t="n"/>
    </row>
    <row r="89" ht="13" customHeight="1" s="250">
      <c r="A89" s="249" t="n"/>
      <c r="B89" s="249" t="n"/>
      <c r="C89" s="249" t="n"/>
      <c r="D89" s="249" t="n"/>
      <c r="E89" s="249" t="n"/>
      <c r="F89" s="249" t="n"/>
      <c r="G89" s="249" t="n"/>
    </row>
    <row r="90" ht="13" customHeight="1" s="250">
      <c r="A90" s="249" t="n"/>
      <c r="B90" s="249" t="n"/>
      <c r="C90" s="249" t="n"/>
      <c r="D90" s="249" t="n"/>
      <c r="E90" s="249" t="n"/>
      <c r="F90" s="249" t="n"/>
      <c r="G90" s="249" t="n"/>
    </row>
    <row r="91" ht="13" customHeight="1" s="250">
      <c r="A91" s="249" t="n"/>
      <c r="B91" s="249" t="n"/>
      <c r="C91" s="249" t="n"/>
      <c r="D91" s="249" t="n"/>
      <c r="E91" s="249" t="n"/>
      <c r="F91" s="249" t="n"/>
      <c r="G91" s="249" t="n"/>
    </row>
    <row r="92" ht="13" customHeight="1" s="250">
      <c r="A92" s="249" t="n"/>
      <c r="B92" s="249" t="n"/>
      <c r="C92" s="249" t="n"/>
      <c r="D92" s="249" t="n"/>
      <c r="E92" s="249" t="n"/>
      <c r="F92" s="249" t="n"/>
      <c r="G92" s="249" t="n"/>
    </row>
    <row r="93" ht="13" customHeight="1" s="250">
      <c r="A93" s="249" t="n"/>
      <c r="B93" s="249" t="n"/>
      <c r="C93" s="249" t="n"/>
      <c r="D93" s="249" t="n"/>
      <c r="E93" s="249" t="n"/>
      <c r="F93" s="249" t="n"/>
      <c r="G93" s="249" t="n"/>
    </row>
    <row r="94" ht="13" customHeight="1" s="250">
      <c r="A94" s="249" t="n"/>
      <c r="B94" s="249" t="n"/>
      <c r="C94" s="249" t="n"/>
      <c r="D94" s="249" t="n"/>
      <c r="E94" s="249" t="n"/>
      <c r="F94" s="249" t="n"/>
      <c r="G94" s="249" t="n"/>
    </row>
    <row r="95" ht="13" customHeight="1" s="250">
      <c r="A95" s="249" t="n"/>
      <c r="B95" s="249" t="n"/>
      <c r="C95" s="249" t="n"/>
      <c r="D95" s="249" t="n"/>
      <c r="E95" s="249" t="n"/>
      <c r="F95" s="249" t="n"/>
      <c r="G95" s="249" t="n"/>
    </row>
    <row r="96" ht="13" customHeight="1" s="250">
      <c r="A96" s="249" t="n"/>
      <c r="B96" s="249" t="n"/>
      <c r="C96" s="249" t="n"/>
      <c r="D96" s="249" t="n"/>
      <c r="E96" s="249" t="n"/>
      <c r="F96" s="249" t="n"/>
      <c r="G96" s="249" t="n"/>
    </row>
    <row r="97" ht="13" customHeight="1" s="250">
      <c r="A97" s="249" t="n"/>
      <c r="B97" s="249" t="n"/>
      <c r="C97" s="249" t="n"/>
      <c r="D97" s="249" t="n"/>
      <c r="E97" s="249" t="n"/>
      <c r="F97" s="249" t="n"/>
      <c r="G97" s="249" t="n"/>
    </row>
    <row r="98" ht="13" customHeight="1" s="250">
      <c r="A98" s="249" t="n"/>
      <c r="B98" s="249" t="n"/>
      <c r="C98" s="249" t="n"/>
      <c r="D98" s="249" t="n"/>
      <c r="E98" s="249" t="n"/>
      <c r="F98" s="249" t="n"/>
      <c r="G98" s="249" t="n"/>
    </row>
    <row r="99" ht="13" customHeight="1" s="250">
      <c r="A99" s="249" t="n"/>
      <c r="B99" s="249" t="n"/>
      <c r="C99" s="249" t="n"/>
      <c r="D99" s="249" t="n"/>
      <c r="E99" s="249" t="n"/>
      <c r="F99" s="249" t="n"/>
      <c r="G99" s="249" t="n"/>
    </row>
    <row r="100" ht="13" customHeight="1" s="250">
      <c r="A100" s="249" t="n"/>
      <c r="B100" s="249" t="n"/>
      <c r="C100" s="249" t="n"/>
      <c r="D100" s="249" t="n"/>
      <c r="E100" s="249" t="n"/>
      <c r="F100" s="249" t="n"/>
      <c r="G100" s="249" t="n"/>
    </row>
    <row r="101" ht="13" customHeight="1" s="250">
      <c r="A101" s="249" t="n"/>
      <c r="B101" s="249" t="n"/>
      <c r="C101" s="249" t="n"/>
      <c r="D101" s="249" t="n"/>
      <c r="E101" s="249" t="n"/>
      <c r="F101" s="249" t="n"/>
      <c r="G101" s="249" t="n"/>
    </row>
    <row r="102" ht="13" customHeight="1" s="250">
      <c r="A102" s="249" t="n"/>
      <c r="B102" s="249" t="n"/>
      <c r="C102" s="249" t="n"/>
      <c r="D102" s="249" t="n"/>
      <c r="E102" s="249" t="n"/>
      <c r="F102" s="249" t="n"/>
      <c r="G102" s="249" t="n"/>
    </row>
    <row r="103" ht="13" customHeight="1" s="250">
      <c r="A103" s="249" t="n"/>
      <c r="B103" s="249" t="n"/>
      <c r="C103" s="249" t="n"/>
      <c r="D103" s="249" t="n"/>
      <c r="E103" s="249" t="n"/>
      <c r="F103" s="249" t="n"/>
      <c r="G103" s="249" t="n"/>
    </row>
    <row r="104" ht="13" customHeight="1" s="250">
      <c r="A104" s="249" t="n"/>
      <c r="B104" s="249" t="n"/>
      <c r="C104" s="249" t="n"/>
      <c r="D104" s="249" t="n"/>
      <c r="E104" s="249" t="n"/>
      <c r="F104" s="249" t="n"/>
      <c r="G104" s="249" t="n"/>
    </row>
    <row r="105" ht="13" customHeight="1" s="250">
      <c r="A105" s="249" t="n"/>
      <c r="B105" s="249" t="n"/>
      <c r="C105" s="249" t="n"/>
      <c r="D105" s="249" t="n"/>
      <c r="E105" s="249" t="n"/>
      <c r="F105" s="249" t="n"/>
      <c r="G105" s="249" t="n"/>
    </row>
    <row r="106" ht="13" customHeight="1" s="250">
      <c r="A106" s="249" t="n"/>
      <c r="B106" s="249" t="n"/>
      <c r="C106" s="249" t="n"/>
      <c r="D106" s="249" t="n"/>
      <c r="E106" s="249" t="n"/>
      <c r="F106" s="249" t="n"/>
      <c r="G106" s="249" t="n"/>
    </row>
    <row r="107" ht="13" customHeight="1" s="250">
      <c r="A107" s="249" t="n"/>
      <c r="B107" s="249" t="n"/>
      <c r="C107" s="249" t="n"/>
      <c r="D107" s="249" t="n"/>
      <c r="E107" s="249" t="n"/>
      <c r="F107" s="249" t="n"/>
      <c r="G107" s="249" t="n"/>
    </row>
    <row r="108" ht="13" customHeight="1" s="250">
      <c r="A108" s="249" t="n"/>
      <c r="B108" s="249" t="n"/>
      <c r="C108" s="249" t="n"/>
      <c r="D108" s="249" t="n"/>
      <c r="E108" s="249" t="n"/>
      <c r="F108" s="249" t="n"/>
      <c r="G108" s="249" t="n"/>
    </row>
    <row r="109" ht="13" customHeight="1" s="250">
      <c r="A109" s="249" t="n"/>
      <c r="B109" s="249" t="n"/>
      <c r="C109" s="249" t="n"/>
      <c r="D109" s="249" t="n"/>
      <c r="E109" s="249" t="n"/>
      <c r="F109" s="249" t="n"/>
      <c r="G109" s="249" t="n"/>
    </row>
    <row r="110" ht="13" customHeight="1" s="250">
      <c r="A110" s="249" t="n"/>
      <c r="B110" s="249" t="n"/>
      <c r="C110" s="249" t="n"/>
      <c r="D110" s="249" t="n"/>
      <c r="E110" s="249" t="n"/>
      <c r="F110" s="249" t="n"/>
      <c r="G110" s="249" t="n"/>
    </row>
    <row r="111" ht="13" customHeight="1" s="250">
      <c r="A111" s="249" t="n"/>
      <c r="B111" s="249" t="n"/>
      <c r="C111" s="249" t="n"/>
      <c r="D111" s="249" t="n"/>
      <c r="E111" s="249" t="n"/>
      <c r="F111" s="249" t="n"/>
      <c r="G111" s="249" t="n"/>
    </row>
    <row r="112" ht="13" customHeight="1" s="250">
      <c r="A112" s="249" t="n"/>
      <c r="B112" s="249" t="n"/>
      <c r="C112" s="249" t="n"/>
      <c r="D112" s="249" t="n"/>
      <c r="E112" s="249" t="n"/>
      <c r="F112" s="249" t="n"/>
      <c r="G112" s="249" t="n"/>
    </row>
    <row r="113" ht="13" customHeight="1" s="250">
      <c r="A113" s="249" t="n"/>
      <c r="B113" s="249" t="n"/>
      <c r="C113" s="249" t="n"/>
      <c r="D113" s="249" t="n"/>
      <c r="E113" s="249" t="n"/>
      <c r="F113" s="249" t="n"/>
      <c r="G113" s="249" t="n"/>
    </row>
    <row r="114" ht="13" customHeight="1" s="250">
      <c r="A114" s="249" t="n"/>
      <c r="B114" s="249" t="n"/>
      <c r="C114" s="249" t="n"/>
      <c r="D114" s="249" t="n"/>
      <c r="E114" s="249" t="n"/>
      <c r="F114" s="249" t="n"/>
      <c r="G114" s="249" t="n"/>
    </row>
    <row r="115" ht="13" customHeight="1" s="250">
      <c r="A115" s="249" t="n"/>
      <c r="B115" s="249" t="n"/>
      <c r="C115" s="249" t="n"/>
      <c r="D115" s="249" t="n"/>
      <c r="E115" s="249" t="n"/>
      <c r="F115" s="249" t="n"/>
      <c r="G115" s="249" t="n"/>
    </row>
    <row r="116" ht="13" customHeight="1" s="250">
      <c r="A116" s="249" t="n"/>
      <c r="B116" s="249" t="n"/>
      <c r="C116" s="249" t="n"/>
      <c r="D116" s="249" t="n"/>
      <c r="E116" s="249" t="n"/>
      <c r="F116" s="249" t="n"/>
      <c r="G116" s="249" t="n"/>
    </row>
    <row r="117" ht="13" customHeight="1" s="250">
      <c r="A117" s="249" t="n"/>
      <c r="B117" s="249" t="n"/>
      <c r="C117" s="249" t="n"/>
      <c r="D117" s="249" t="n"/>
      <c r="E117" s="249" t="n"/>
      <c r="F117" s="249" t="n"/>
      <c r="G117" s="249" t="n"/>
    </row>
    <row r="118" ht="13" customHeight="1" s="250">
      <c r="A118" s="249" t="n"/>
      <c r="B118" s="249" t="n"/>
      <c r="C118" s="249" t="n"/>
      <c r="D118" s="249" t="n"/>
      <c r="E118" s="249" t="n"/>
      <c r="F118" s="249" t="n"/>
      <c r="G118" s="249" t="n"/>
    </row>
    <row r="119" ht="13" customHeight="1" s="250">
      <c r="A119" s="249" t="n"/>
      <c r="B119" s="249" t="n"/>
      <c r="C119" s="249" t="n"/>
      <c r="D119" s="249" t="n"/>
      <c r="E119" s="249" t="n"/>
      <c r="F119" s="249" t="n"/>
      <c r="G119" s="249" t="n"/>
    </row>
    <row r="120" ht="13" customHeight="1" s="250">
      <c r="A120" s="249" t="n"/>
      <c r="B120" s="249" t="n"/>
      <c r="C120" s="249" t="n"/>
      <c r="D120" s="249" t="n"/>
      <c r="E120" s="249" t="n"/>
      <c r="F120" s="249" t="n"/>
      <c r="G120" s="249" t="n"/>
    </row>
    <row r="121" ht="13" customHeight="1" s="250">
      <c r="A121" s="249" t="n"/>
      <c r="B121" s="249" t="n"/>
      <c r="C121" s="249" t="n"/>
      <c r="D121" s="249" t="n"/>
      <c r="E121" s="249" t="n"/>
      <c r="F121" s="249" t="n"/>
      <c r="G121" s="249" t="n"/>
    </row>
    <row r="122" ht="13" customHeight="1" s="250">
      <c r="A122" s="249" t="n"/>
      <c r="B122" s="249" t="n"/>
      <c r="C122" s="249" t="n"/>
      <c r="D122" s="249" t="n"/>
      <c r="E122" s="249" t="n"/>
      <c r="F122" s="249" t="n"/>
      <c r="G122" s="249" t="n"/>
    </row>
    <row r="123" ht="13" customHeight="1" s="250">
      <c r="A123" s="249" t="n"/>
      <c r="B123" s="249" t="n"/>
      <c r="C123" s="249" t="n"/>
      <c r="D123" s="249" t="n"/>
      <c r="E123" s="249" t="n"/>
      <c r="F123" s="249" t="n"/>
      <c r="G123" s="249" t="n"/>
    </row>
    <row r="124" ht="13" customHeight="1" s="250">
      <c r="A124" s="249" t="n"/>
      <c r="B124" s="249" t="n"/>
      <c r="C124" s="249" t="n"/>
      <c r="D124" s="249" t="n"/>
      <c r="E124" s="249" t="n"/>
      <c r="F124" s="249" t="n"/>
      <c r="G124" s="249" t="n"/>
    </row>
    <row r="125" ht="13" customHeight="1" s="250">
      <c r="A125" s="249" t="n"/>
      <c r="B125" s="249" t="n"/>
      <c r="C125" s="249" t="n"/>
      <c r="D125" s="249" t="n"/>
      <c r="E125" s="249" t="n"/>
      <c r="F125" s="249" t="n"/>
      <c r="G125" s="249" t="n"/>
    </row>
    <row r="126" ht="13" customHeight="1" s="250">
      <c r="A126" s="249" t="n"/>
      <c r="B126" s="249" t="n"/>
      <c r="C126" s="249" t="n"/>
      <c r="D126" s="249" t="n"/>
      <c r="E126" s="249" t="n"/>
      <c r="F126" s="249" t="n"/>
      <c r="G126" s="249" t="n"/>
    </row>
    <row r="127" ht="13" customHeight="1" s="250">
      <c r="A127" s="249" t="n"/>
      <c r="B127" s="249" t="n"/>
      <c r="C127" s="249" t="n"/>
      <c r="D127" s="249" t="n"/>
      <c r="E127" s="249" t="n"/>
      <c r="F127" s="249" t="n"/>
      <c r="G127" s="249" t="n"/>
    </row>
    <row r="128" ht="13" customHeight="1" s="250">
      <c r="A128" s="249" t="n"/>
      <c r="B128" s="249" t="n"/>
      <c r="C128" s="249" t="n"/>
      <c r="D128" s="249" t="n"/>
      <c r="E128" s="249" t="n"/>
      <c r="F128" s="249" t="n"/>
      <c r="G128" s="249" t="n"/>
    </row>
    <row r="129" ht="13" customHeight="1" s="250">
      <c r="A129" s="249" t="n"/>
      <c r="B129" s="249" t="n"/>
      <c r="C129" s="249" t="n"/>
      <c r="D129" s="249" t="n"/>
      <c r="E129" s="249" t="n"/>
      <c r="F129" s="249" t="n"/>
      <c r="G129" s="249" t="n"/>
    </row>
    <row r="130" ht="13" customHeight="1" s="250">
      <c r="A130" s="249" t="n"/>
      <c r="B130" s="249" t="n"/>
      <c r="C130" s="249" t="n"/>
      <c r="D130" s="249" t="n"/>
      <c r="E130" s="249" t="n"/>
      <c r="F130" s="249" t="n"/>
      <c r="G130" s="249" t="n"/>
    </row>
    <row r="131" ht="13" customHeight="1" s="250">
      <c r="A131" s="249" t="n"/>
      <c r="B131" s="249" t="n"/>
      <c r="C131" s="249" t="n"/>
      <c r="D131" s="249" t="n"/>
      <c r="E131" s="249" t="n"/>
      <c r="F131" s="249" t="n"/>
      <c r="G131" s="249" t="n"/>
    </row>
    <row r="132" ht="13" customHeight="1" s="250">
      <c r="A132" s="249" t="n"/>
      <c r="B132" s="249" t="n"/>
      <c r="C132" s="249" t="n"/>
      <c r="D132" s="249" t="n"/>
      <c r="E132" s="249" t="n"/>
      <c r="F132" s="249" t="n"/>
      <c r="G132" s="249" t="n"/>
    </row>
    <row r="133" ht="13" customHeight="1" s="250">
      <c r="A133" s="249" t="n"/>
      <c r="B133" s="249" t="n"/>
      <c r="C133" s="249" t="n"/>
      <c r="D133" s="249" t="n"/>
      <c r="E133" s="249" t="n"/>
      <c r="F133" s="249" t="n"/>
      <c r="G133" s="249" t="n"/>
    </row>
    <row r="134" ht="13" customHeight="1" s="250">
      <c r="A134" s="249" t="n"/>
      <c r="B134" s="249" t="n"/>
      <c r="C134" s="249" t="n"/>
      <c r="D134" s="249" t="n"/>
      <c r="E134" s="249" t="n"/>
      <c r="F134" s="249" t="n"/>
      <c r="G134" s="249" t="n"/>
    </row>
    <row r="135" ht="13" customHeight="1" s="250">
      <c r="A135" s="249" t="n"/>
      <c r="B135" s="249" t="n"/>
      <c r="C135" s="249" t="n"/>
      <c r="D135" s="249" t="n"/>
      <c r="E135" s="249" t="n"/>
      <c r="F135" s="249" t="n"/>
      <c r="G135" s="249" t="n"/>
    </row>
    <row r="136" ht="13" customHeight="1" s="250">
      <c r="A136" s="249" t="n"/>
      <c r="B136" s="249" t="n"/>
      <c r="C136" s="249" t="n"/>
      <c r="D136" s="249" t="n"/>
      <c r="E136" s="249" t="n"/>
      <c r="F136" s="249" t="n"/>
      <c r="G136" s="249" t="n"/>
    </row>
    <row r="137" ht="13" customHeight="1" s="250">
      <c r="A137" s="249" t="n"/>
      <c r="B137" s="249" t="n"/>
      <c r="C137" s="249" t="n"/>
      <c r="D137" s="249" t="n"/>
      <c r="E137" s="249" t="n"/>
      <c r="F137" s="249" t="n"/>
      <c r="G137" s="249" t="n"/>
    </row>
    <row r="138" ht="13" customHeight="1" s="250">
      <c r="A138" s="249" t="n"/>
      <c r="B138" s="249" t="n"/>
      <c r="C138" s="249" t="n"/>
      <c r="D138" s="249" t="n"/>
      <c r="E138" s="249" t="n"/>
      <c r="F138" s="249" t="n"/>
      <c r="G138" s="249" t="n"/>
    </row>
    <row r="139" ht="13" customHeight="1" s="250">
      <c r="A139" s="249" t="n"/>
      <c r="B139" s="249" t="n"/>
      <c r="C139" s="249" t="n"/>
      <c r="D139" s="249" t="n"/>
      <c r="E139" s="249" t="n"/>
      <c r="F139" s="249" t="n"/>
      <c r="G139" s="249" t="n"/>
    </row>
    <row r="140" ht="13" customHeight="1" s="250">
      <c r="A140" s="249" t="n"/>
      <c r="B140" s="249" t="n"/>
      <c r="C140" s="249" t="n"/>
      <c r="D140" s="249" t="n"/>
      <c r="E140" s="249" t="n"/>
      <c r="F140" s="249" t="n"/>
      <c r="G140" s="249" t="n"/>
    </row>
    <row r="141" ht="13" customHeight="1" s="250">
      <c r="A141" s="249" t="n"/>
      <c r="B141" s="249" t="n"/>
      <c r="C141" s="249" t="n"/>
      <c r="D141" s="249" t="n"/>
      <c r="E141" s="249" t="n"/>
      <c r="F141" s="249" t="n"/>
      <c r="G141" s="249" t="n"/>
    </row>
    <row r="142" ht="13" customHeight="1" s="250">
      <c r="A142" s="249" t="n"/>
      <c r="B142" s="249" t="n"/>
      <c r="C142" s="249" t="n"/>
      <c r="D142" s="249" t="n"/>
      <c r="E142" s="249" t="n"/>
      <c r="F142" s="249" t="n"/>
      <c r="G142" s="249" t="n"/>
    </row>
    <row r="143" ht="13" customHeight="1" s="250">
      <c r="A143" s="249" t="n"/>
      <c r="B143" s="249" t="n"/>
      <c r="C143" s="249" t="n"/>
      <c r="D143" s="249" t="n"/>
      <c r="E143" s="249" t="n"/>
      <c r="F143" s="249" t="n"/>
      <c r="G143" s="249" t="n"/>
    </row>
    <row r="144" ht="13" customHeight="1" s="250">
      <c r="A144" s="249" t="n"/>
      <c r="B144" s="249" t="n"/>
      <c r="C144" s="249" t="n"/>
      <c r="D144" s="249" t="n"/>
      <c r="E144" s="249" t="n"/>
      <c r="F144" s="249" t="n"/>
      <c r="G144" s="249" t="n"/>
    </row>
    <row r="145" ht="13" customHeight="1" s="250">
      <c r="A145" s="249" t="n"/>
      <c r="B145" s="249" t="n"/>
      <c r="C145" s="249" t="n"/>
      <c r="D145" s="249" t="n"/>
      <c r="E145" s="249" t="n"/>
      <c r="F145" s="249" t="n"/>
      <c r="G145" s="249" t="n"/>
    </row>
    <row r="146" ht="13" customHeight="1" s="250">
      <c r="A146" s="249" t="n"/>
      <c r="B146" s="249" t="n"/>
      <c r="C146" s="249" t="n"/>
      <c r="D146" s="249" t="n"/>
      <c r="E146" s="249" t="n"/>
      <c r="F146" s="249" t="n"/>
      <c r="G146" s="249" t="n"/>
    </row>
    <row r="147" ht="13" customHeight="1" s="250">
      <c r="A147" s="249" t="n"/>
      <c r="B147" s="249" t="n"/>
      <c r="C147" s="249" t="n"/>
      <c r="D147" s="249" t="n"/>
      <c r="E147" s="249" t="n"/>
      <c r="F147" s="249" t="n"/>
      <c r="G147" s="249" t="n"/>
    </row>
    <row r="148" ht="13" customHeight="1" s="250">
      <c r="A148" s="249" t="n"/>
      <c r="B148" s="249" t="n"/>
      <c r="C148" s="249" t="n"/>
      <c r="D148" s="249" t="n"/>
      <c r="E148" s="249" t="n"/>
      <c r="F148" s="249" t="n"/>
      <c r="G148" s="249" t="n"/>
    </row>
    <row r="149" ht="13" customHeight="1" s="250">
      <c r="A149" s="249" t="n"/>
      <c r="B149" s="249" t="n"/>
      <c r="C149" s="249" t="n"/>
      <c r="D149" s="249" t="n"/>
      <c r="E149" s="249" t="n"/>
      <c r="F149" s="249" t="n"/>
      <c r="G149" s="249" t="n"/>
    </row>
    <row r="150" ht="13" customHeight="1" s="250">
      <c r="A150" s="249" t="n"/>
      <c r="B150" s="249" t="n"/>
      <c r="C150" s="249" t="n"/>
      <c r="D150" s="249" t="n"/>
      <c r="E150" s="249" t="n"/>
      <c r="F150" s="249" t="n"/>
      <c r="G150" s="249" t="n"/>
    </row>
    <row r="151" ht="13" customHeight="1" s="250">
      <c r="A151" s="249" t="n"/>
      <c r="B151" s="249" t="n"/>
      <c r="C151" s="249" t="n"/>
      <c r="D151" s="249" t="n"/>
      <c r="E151" s="249" t="n"/>
      <c r="F151" s="249" t="n"/>
      <c r="G151" s="249" t="n"/>
    </row>
    <row r="152" ht="13" customHeight="1" s="250">
      <c r="A152" s="249" t="n"/>
      <c r="B152" s="249" t="n"/>
      <c r="C152" s="249" t="n"/>
      <c r="D152" s="249" t="n"/>
      <c r="E152" s="249" t="n"/>
      <c r="F152" s="249" t="n"/>
      <c r="G152" s="249" t="n"/>
    </row>
    <row r="153" ht="13" customHeight="1" s="250">
      <c r="A153" s="249" t="n"/>
      <c r="B153" s="249" t="n"/>
      <c r="C153" s="249" t="n"/>
      <c r="D153" s="249" t="n"/>
      <c r="E153" s="249" t="n"/>
      <c r="F153" s="249" t="n"/>
      <c r="G153" s="249" t="n"/>
    </row>
    <row r="154" ht="13" customHeight="1" s="250">
      <c r="A154" s="249" t="n"/>
      <c r="B154" s="249" t="n"/>
      <c r="C154" s="249" t="n"/>
      <c r="D154" s="249" t="n"/>
      <c r="E154" s="249" t="n"/>
      <c r="F154" s="249" t="n"/>
      <c r="G154" s="249" t="n"/>
    </row>
    <row r="155" ht="13" customHeight="1" s="250">
      <c r="A155" s="249" t="n"/>
      <c r="B155" s="249" t="n"/>
      <c r="C155" s="249" t="n"/>
      <c r="D155" s="249" t="n"/>
      <c r="E155" s="249" t="n"/>
      <c r="F155" s="249" t="n"/>
      <c r="G155" s="249" t="n"/>
    </row>
    <row r="156" ht="13" customHeight="1" s="250">
      <c r="A156" s="249" t="n"/>
      <c r="B156" s="249" t="n"/>
      <c r="C156" s="249" t="n"/>
      <c r="D156" s="249" t="n"/>
      <c r="E156" s="249" t="n"/>
      <c r="F156" s="249" t="n"/>
      <c r="G156" s="249" t="n"/>
    </row>
    <row r="157" ht="13" customHeight="1" s="250">
      <c r="A157" s="249" t="n"/>
      <c r="B157" s="249" t="n"/>
      <c r="C157" s="249" t="n"/>
      <c r="D157" s="249" t="n"/>
      <c r="E157" s="249" t="n"/>
      <c r="F157" s="249" t="n"/>
      <c r="G157" s="249" t="n"/>
    </row>
    <row r="158" ht="13" customHeight="1" s="250">
      <c r="A158" s="249" t="n"/>
      <c r="B158" s="249" t="n"/>
      <c r="C158" s="249" t="n"/>
      <c r="D158" s="249" t="n"/>
      <c r="E158" s="249" t="n"/>
      <c r="F158" s="249" t="n"/>
      <c r="G158" s="249" t="n"/>
    </row>
    <row r="159" ht="13" customHeight="1" s="250">
      <c r="A159" s="249" t="n"/>
      <c r="B159" s="249" t="n"/>
      <c r="C159" s="249" t="n"/>
      <c r="D159" s="249" t="n"/>
      <c r="E159" s="249" t="n"/>
      <c r="F159" s="249" t="n"/>
      <c r="G159" s="249" t="n"/>
    </row>
    <row r="160" ht="13" customHeight="1" s="250">
      <c r="A160" s="249" t="n"/>
      <c r="B160" s="249" t="n"/>
      <c r="C160" s="249" t="n"/>
      <c r="D160" s="249" t="n"/>
      <c r="E160" s="249" t="n"/>
      <c r="F160" s="249" t="n"/>
      <c r="G160" s="249" t="n"/>
    </row>
    <row r="161" ht="13" customHeight="1" s="250">
      <c r="A161" s="249" t="n"/>
      <c r="B161" s="249" t="n"/>
      <c r="C161" s="249" t="n"/>
      <c r="D161" s="249" t="n"/>
      <c r="E161" s="249" t="n"/>
      <c r="F161" s="249" t="n"/>
      <c r="G161" s="249" t="n"/>
    </row>
    <row r="162" ht="13" customHeight="1" s="250">
      <c r="A162" s="249" t="n"/>
      <c r="B162" s="249" t="n"/>
      <c r="C162" s="249" t="n"/>
      <c r="D162" s="249" t="n"/>
      <c r="E162" s="249" t="n"/>
      <c r="F162" s="249" t="n"/>
      <c r="G162" s="249" t="n"/>
    </row>
    <row r="163" ht="13" customHeight="1" s="250">
      <c r="A163" s="249" t="n"/>
      <c r="B163" s="249" t="n"/>
      <c r="C163" s="249" t="n"/>
      <c r="D163" s="249" t="n"/>
      <c r="E163" s="249" t="n"/>
      <c r="F163" s="249" t="n"/>
      <c r="G163" s="249" t="n"/>
    </row>
    <row r="164" ht="13" customHeight="1" s="250">
      <c r="A164" s="249" t="n"/>
      <c r="B164" s="249" t="n"/>
      <c r="C164" s="249" t="n"/>
      <c r="D164" s="249" t="n"/>
      <c r="E164" s="249" t="n"/>
      <c r="F164" s="249" t="n"/>
      <c r="G164" s="249" t="n"/>
    </row>
    <row r="165" ht="13" customHeight="1" s="250">
      <c r="A165" s="249" t="n"/>
      <c r="B165" s="249" t="n"/>
      <c r="C165" s="249" t="n"/>
      <c r="D165" s="249" t="n"/>
      <c r="E165" s="249" t="n"/>
      <c r="F165" s="249" t="n"/>
      <c r="G165" s="249" t="n"/>
    </row>
    <row r="166" ht="13" customHeight="1" s="250">
      <c r="A166" s="249" t="n"/>
      <c r="B166" s="249" t="n"/>
      <c r="C166" s="249" t="n"/>
      <c r="D166" s="249" t="n"/>
      <c r="E166" s="249" t="n"/>
      <c r="F166" s="249" t="n"/>
      <c r="G166" s="249" t="n"/>
    </row>
    <row r="167" ht="13" customHeight="1" s="250">
      <c r="A167" s="249" t="n"/>
      <c r="B167" s="249" t="n"/>
      <c r="C167" s="249" t="n"/>
      <c r="D167" s="249" t="n"/>
      <c r="E167" s="249" t="n"/>
      <c r="F167" s="249" t="n"/>
      <c r="G167" s="249" t="n"/>
    </row>
    <row r="168" ht="13" customHeight="1" s="250">
      <c r="A168" s="249" t="n"/>
      <c r="B168" s="249" t="n"/>
      <c r="C168" s="249" t="n"/>
      <c r="D168" s="249" t="n"/>
      <c r="E168" s="249" t="n"/>
      <c r="F168" s="249" t="n"/>
      <c r="G168" s="249" t="n"/>
    </row>
    <row r="169" ht="13" customHeight="1" s="250">
      <c r="A169" s="249" t="n"/>
      <c r="B169" s="249" t="n"/>
      <c r="C169" s="249" t="n"/>
      <c r="D169" s="249" t="n"/>
      <c r="E169" s="249" t="n"/>
      <c r="F169" s="249" t="n"/>
      <c r="G169" s="249" t="n"/>
    </row>
    <row r="170" ht="13" customHeight="1" s="250">
      <c r="A170" s="249" t="n"/>
      <c r="B170" s="249" t="n"/>
      <c r="C170" s="249" t="n"/>
      <c r="D170" s="249" t="n"/>
      <c r="E170" s="249" t="n"/>
      <c r="F170" s="249" t="n"/>
      <c r="G170" s="249" t="n"/>
    </row>
    <row r="171" ht="13" customHeight="1" s="250">
      <c r="A171" s="249" t="n"/>
      <c r="B171" s="249" t="n"/>
      <c r="C171" s="249" t="n"/>
      <c r="D171" s="249" t="n"/>
      <c r="E171" s="249" t="n"/>
      <c r="F171" s="249" t="n"/>
      <c r="G171" s="249" t="n"/>
    </row>
    <row r="172" ht="13" customHeight="1" s="250">
      <c r="A172" s="249" t="n"/>
      <c r="B172" s="249" t="n"/>
      <c r="C172" s="249" t="n"/>
      <c r="D172" s="249" t="n"/>
      <c r="E172" s="249" t="n"/>
      <c r="F172" s="249" t="n"/>
      <c r="G172" s="249" t="n"/>
    </row>
    <row r="173" ht="13" customHeight="1" s="250">
      <c r="A173" s="249" t="n"/>
      <c r="B173" s="249" t="n"/>
      <c r="C173" s="249" t="n"/>
      <c r="D173" s="249" t="n"/>
      <c r="E173" s="249" t="n"/>
      <c r="F173" s="249" t="n"/>
      <c r="G173" s="249" t="n"/>
    </row>
    <row r="174" ht="13" customHeight="1" s="250">
      <c r="A174" s="249" t="n"/>
      <c r="B174" s="249" t="n"/>
      <c r="C174" s="249" t="n"/>
      <c r="D174" s="249" t="n"/>
      <c r="E174" s="249" t="n"/>
      <c r="F174" s="249" t="n"/>
      <c r="G174" s="249" t="n"/>
    </row>
    <row r="175" ht="13" customHeight="1" s="250">
      <c r="A175" s="249" t="n"/>
      <c r="B175" s="249" t="n"/>
      <c r="C175" s="249" t="n"/>
      <c r="D175" s="249" t="n"/>
      <c r="E175" s="249" t="n"/>
      <c r="F175" s="249" t="n"/>
      <c r="G175" s="249" t="n"/>
    </row>
    <row r="176" ht="13" customHeight="1" s="250">
      <c r="A176" s="249" t="n"/>
      <c r="B176" s="249" t="n"/>
      <c r="C176" s="249" t="n"/>
      <c r="D176" s="249" t="n"/>
      <c r="E176" s="249" t="n"/>
      <c r="F176" s="249" t="n"/>
      <c r="G176" s="249" t="n"/>
    </row>
    <row r="177" ht="13" customHeight="1" s="250">
      <c r="A177" s="249" t="n"/>
      <c r="B177" s="249" t="n"/>
      <c r="C177" s="249" t="n"/>
      <c r="D177" s="249" t="n"/>
      <c r="E177" s="249" t="n"/>
      <c r="F177" s="249" t="n"/>
      <c r="G177" s="249" t="n"/>
    </row>
    <row r="178" ht="13" customHeight="1" s="250">
      <c r="A178" s="249" t="n"/>
      <c r="B178" s="249" t="n"/>
      <c r="C178" s="249" t="n"/>
      <c r="D178" s="249" t="n"/>
      <c r="E178" s="249" t="n"/>
      <c r="F178" s="249" t="n"/>
      <c r="G178" s="249" t="n"/>
    </row>
    <row r="179" ht="13" customHeight="1" s="250">
      <c r="A179" s="249" t="n"/>
      <c r="B179" s="249" t="n"/>
      <c r="C179" s="249" t="n"/>
      <c r="D179" s="249" t="n"/>
      <c r="E179" s="249" t="n"/>
      <c r="F179" s="249" t="n"/>
      <c r="G179" s="249" t="n"/>
    </row>
    <row r="180" ht="13" customHeight="1" s="250">
      <c r="A180" s="249" t="n"/>
      <c r="B180" s="249" t="n"/>
      <c r="C180" s="249" t="n"/>
      <c r="D180" s="249" t="n"/>
      <c r="E180" s="249" t="n"/>
      <c r="F180" s="249" t="n"/>
      <c r="G180" s="249" t="n"/>
    </row>
    <row r="181" ht="13" customHeight="1" s="250">
      <c r="A181" s="249" t="n"/>
      <c r="B181" s="249" t="n"/>
      <c r="C181" s="249" t="n"/>
      <c r="D181" s="249" t="n"/>
      <c r="E181" s="249" t="n"/>
      <c r="F181" s="249" t="n"/>
      <c r="G181" s="249" t="n"/>
    </row>
    <row r="182" ht="13" customHeight="1" s="250">
      <c r="A182" s="249" t="n"/>
      <c r="B182" s="249" t="n"/>
      <c r="C182" s="249" t="n"/>
      <c r="D182" s="249" t="n"/>
      <c r="E182" s="249" t="n"/>
      <c r="F182" s="249" t="n"/>
      <c r="G182" s="249" t="n"/>
    </row>
    <row r="183" ht="13" customHeight="1" s="250">
      <c r="A183" s="249" t="n"/>
      <c r="B183" s="249" t="n"/>
      <c r="C183" s="249" t="n"/>
      <c r="D183" s="249" t="n"/>
      <c r="E183" s="249" t="n"/>
      <c r="F183" s="249" t="n"/>
      <c r="G183" s="249" t="n"/>
    </row>
    <row r="184" ht="13" customHeight="1" s="250">
      <c r="A184" s="249" t="n"/>
      <c r="B184" s="249" t="n"/>
      <c r="C184" s="249" t="n"/>
      <c r="D184" s="249" t="n"/>
      <c r="E184" s="249" t="n"/>
      <c r="F184" s="249" t="n"/>
      <c r="G184" s="249" t="n"/>
    </row>
    <row r="185" ht="13" customHeight="1" s="250">
      <c r="A185" s="249" t="n"/>
      <c r="B185" s="249" t="n"/>
      <c r="C185" s="249" t="n"/>
      <c r="D185" s="249" t="n"/>
      <c r="E185" s="249" t="n"/>
      <c r="F185" s="249" t="n"/>
      <c r="G185" s="249" t="n"/>
    </row>
    <row r="186" ht="13" customHeight="1" s="250">
      <c r="A186" s="249" t="n"/>
      <c r="B186" s="249" t="n"/>
      <c r="C186" s="249" t="n"/>
      <c r="D186" s="249" t="n"/>
      <c r="E186" s="249" t="n"/>
      <c r="F186" s="249" t="n"/>
      <c r="G186" s="249" t="n"/>
    </row>
    <row r="187" ht="13" customHeight="1" s="250">
      <c r="A187" s="249" t="n"/>
      <c r="B187" s="249" t="n"/>
      <c r="C187" s="249" t="n"/>
      <c r="D187" s="249" t="n"/>
      <c r="E187" s="249" t="n"/>
      <c r="F187" s="249" t="n"/>
      <c r="G187" s="249" t="n"/>
    </row>
    <row r="188" ht="13" customHeight="1" s="250">
      <c r="A188" s="249" t="n"/>
      <c r="B188" s="249" t="n"/>
      <c r="C188" s="249" t="n"/>
      <c r="D188" s="249" t="n"/>
      <c r="E188" s="249" t="n"/>
      <c r="F188" s="249" t="n"/>
      <c r="G188" s="249" t="n"/>
    </row>
    <row r="189" ht="13" customHeight="1" s="250">
      <c r="A189" s="249" t="n"/>
      <c r="B189" s="249" t="n"/>
      <c r="C189" s="249" t="n"/>
      <c r="D189" s="249" t="n"/>
      <c r="E189" s="249" t="n"/>
      <c r="F189" s="249" t="n"/>
      <c r="G189" s="249" t="n"/>
    </row>
    <row r="190" ht="13" customHeight="1" s="250">
      <c r="A190" s="249" t="n"/>
      <c r="B190" s="249" t="n"/>
      <c r="C190" s="249" t="n"/>
      <c r="D190" s="249" t="n"/>
      <c r="E190" s="249" t="n"/>
      <c r="F190" s="249" t="n"/>
      <c r="G190" s="249" t="n"/>
    </row>
    <row r="191" ht="13" customHeight="1" s="250">
      <c r="A191" s="249" t="n"/>
      <c r="B191" s="249" t="n"/>
      <c r="C191" s="249" t="n"/>
      <c r="D191" s="249" t="n"/>
      <c r="E191" s="249" t="n"/>
      <c r="F191" s="249" t="n"/>
      <c r="G191" s="249" t="n"/>
    </row>
    <row r="192" ht="13" customHeight="1" s="250">
      <c r="A192" s="249" t="n"/>
      <c r="B192" s="249" t="n"/>
      <c r="C192" s="249" t="n"/>
      <c r="D192" s="249" t="n"/>
      <c r="E192" s="249" t="n"/>
      <c r="F192" s="249" t="n"/>
      <c r="G192" s="249" t="n"/>
    </row>
    <row r="193" ht="13" customHeight="1" s="250">
      <c r="A193" s="249" t="n"/>
      <c r="B193" s="249" t="n"/>
      <c r="C193" s="249" t="n"/>
      <c r="D193" s="249" t="n"/>
      <c r="E193" s="249" t="n"/>
      <c r="F193" s="249" t="n"/>
      <c r="G193" s="249" t="n"/>
    </row>
    <row r="194" ht="13" customHeight="1" s="250">
      <c r="A194" s="249" t="n"/>
      <c r="B194" s="249" t="n"/>
      <c r="C194" s="249" t="n"/>
      <c r="D194" s="249" t="n"/>
      <c r="E194" s="249" t="n"/>
      <c r="F194" s="249" t="n"/>
      <c r="G194" s="249" t="n"/>
    </row>
    <row r="195" ht="13" customHeight="1" s="250">
      <c r="A195" s="249" t="n"/>
      <c r="B195" s="249" t="n"/>
      <c r="C195" s="249" t="n"/>
      <c r="D195" s="249" t="n"/>
      <c r="E195" s="249" t="n"/>
      <c r="F195" s="249" t="n"/>
      <c r="G195" s="249" t="n"/>
    </row>
    <row r="196" ht="13" customHeight="1" s="250">
      <c r="A196" s="249" t="n"/>
      <c r="B196" s="249" t="n"/>
      <c r="C196" s="249" t="n"/>
      <c r="D196" s="249" t="n"/>
      <c r="E196" s="249" t="n"/>
      <c r="F196" s="249" t="n"/>
      <c r="G196" s="249" t="n"/>
    </row>
    <row r="197" ht="13" customHeight="1" s="250">
      <c r="A197" s="249" t="n"/>
      <c r="B197" s="249" t="n"/>
      <c r="C197" s="249" t="n"/>
      <c r="D197" s="249" t="n"/>
      <c r="E197" s="249" t="n"/>
      <c r="F197" s="249" t="n"/>
      <c r="G197" s="249" t="n"/>
    </row>
    <row r="198" ht="13" customHeight="1" s="250">
      <c r="A198" s="249" t="n"/>
      <c r="B198" s="249" t="n"/>
      <c r="C198" s="249" t="n"/>
      <c r="D198" s="249" t="n"/>
      <c r="E198" s="249" t="n"/>
      <c r="F198" s="249" t="n"/>
      <c r="G198" s="249" t="n"/>
    </row>
    <row r="199" ht="13" customHeight="1" s="250">
      <c r="A199" s="249" t="n"/>
      <c r="B199" s="249" t="n"/>
      <c r="C199" s="249" t="n"/>
      <c r="D199" s="249" t="n"/>
      <c r="E199" s="249" t="n"/>
      <c r="F199" s="249" t="n"/>
      <c r="G199" s="249" t="n"/>
    </row>
    <row r="200" ht="13" customHeight="1" s="250">
      <c r="A200" s="249" t="n"/>
      <c r="B200" s="249" t="n"/>
      <c r="C200" s="249" t="n"/>
      <c r="D200" s="249" t="n"/>
      <c r="E200" s="249" t="n"/>
      <c r="F200" s="249" t="n"/>
      <c r="G200" s="249" t="n"/>
    </row>
    <row r="201" ht="13" customHeight="1" s="250">
      <c r="A201" s="249" t="n"/>
      <c r="B201" s="249" t="n"/>
      <c r="C201" s="249" t="n"/>
      <c r="D201" s="249" t="n"/>
      <c r="E201" s="249" t="n"/>
      <c r="F201" s="249" t="n"/>
      <c r="G201" s="249" t="n"/>
    </row>
    <row r="202" ht="13" customHeight="1" s="250">
      <c r="A202" s="249" t="n"/>
      <c r="B202" s="249" t="n"/>
      <c r="C202" s="249" t="n"/>
      <c r="D202" s="249" t="n"/>
      <c r="E202" s="249" t="n"/>
      <c r="F202" s="249" t="n"/>
      <c r="G202" s="249" t="n"/>
    </row>
    <row r="203" ht="13" customHeight="1" s="250">
      <c r="A203" s="249" t="n"/>
      <c r="B203" s="249" t="n"/>
      <c r="C203" s="249" t="n"/>
      <c r="D203" s="249" t="n"/>
      <c r="E203" s="249" t="n"/>
      <c r="F203" s="249" t="n"/>
      <c r="G203" s="249" t="n"/>
    </row>
    <row r="204" ht="13" customHeight="1" s="250">
      <c r="A204" s="249" t="n"/>
      <c r="B204" s="249" t="n"/>
      <c r="C204" s="249" t="n"/>
      <c r="D204" s="249" t="n"/>
      <c r="E204" s="249" t="n"/>
      <c r="F204" s="249" t="n"/>
      <c r="G204" s="249" t="n"/>
    </row>
    <row r="205" ht="13" customHeight="1" s="250">
      <c r="A205" s="249" t="n"/>
      <c r="B205" s="249" t="n"/>
      <c r="C205" s="249" t="n"/>
      <c r="D205" s="249" t="n"/>
      <c r="E205" s="249" t="n"/>
      <c r="F205" s="249" t="n"/>
      <c r="G205" s="249" t="n"/>
    </row>
    <row r="206" ht="13" customHeight="1" s="250">
      <c r="A206" s="249" t="n"/>
      <c r="B206" s="249" t="n"/>
      <c r="C206" s="249" t="n"/>
      <c r="D206" s="249" t="n"/>
      <c r="E206" s="249" t="n"/>
      <c r="F206" s="249" t="n"/>
      <c r="G206" s="249" t="n"/>
    </row>
    <row r="207" ht="13" customHeight="1" s="250">
      <c r="A207" s="249" t="n"/>
      <c r="B207" s="249" t="n"/>
      <c r="C207" s="249" t="n"/>
      <c r="D207" s="249" t="n"/>
      <c r="E207" s="249" t="n"/>
      <c r="F207" s="249" t="n"/>
      <c r="G207" s="249" t="n"/>
    </row>
    <row r="208" ht="13" customHeight="1" s="250">
      <c r="A208" s="249" t="n"/>
      <c r="B208" s="249" t="n"/>
      <c r="C208" s="249" t="n"/>
      <c r="D208" s="249" t="n"/>
      <c r="E208" s="249" t="n"/>
      <c r="F208" s="249" t="n"/>
      <c r="G208" s="249" t="n"/>
    </row>
    <row r="209" ht="13" customHeight="1" s="250">
      <c r="A209" s="249" t="n"/>
      <c r="B209" s="249" t="n"/>
      <c r="C209" s="249" t="n"/>
      <c r="D209" s="249" t="n"/>
      <c r="E209" s="249" t="n"/>
      <c r="F209" s="249" t="n"/>
      <c r="G209" s="249" t="n"/>
    </row>
    <row r="210" ht="13" customHeight="1" s="250">
      <c r="A210" s="249" t="n"/>
      <c r="B210" s="249" t="n"/>
      <c r="C210" s="249" t="n"/>
      <c r="D210" s="249" t="n"/>
      <c r="E210" s="249" t="n"/>
      <c r="F210" s="249" t="n"/>
      <c r="G210" s="249" t="n"/>
    </row>
    <row r="211" ht="13" customHeight="1" s="250">
      <c r="A211" s="249" t="n"/>
      <c r="B211" s="249" t="n"/>
      <c r="C211" s="249" t="n"/>
      <c r="D211" s="249" t="n"/>
      <c r="E211" s="249" t="n"/>
      <c r="F211" s="249" t="n"/>
      <c r="G211" s="249" t="n"/>
    </row>
    <row r="212" ht="13" customHeight="1" s="250">
      <c r="A212" s="249" t="n"/>
      <c r="B212" s="249" t="n"/>
      <c r="C212" s="249" t="n"/>
      <c r="D212" s="249" t="n"/>
      <c r="E212" s="249" t="n"/>
      <c r="F212" s="249" t="n"/>
      <c r="G212" s="249" t="n"/>
    </row>
    <row r="213" ht="13" customHeight="1" s="250">
      <c r="A213" s="249" t="n"/>
      <c r="B213" s="249" t="n"/>
      <c r="C213" s="249" t="n"/>
      <c r="D213" s="249" t="n"/>
      <c r="E213" s="249" t="n"/>
      <c r="F213" s="249" t="n"/>
      <c r="G213" s="249" t="n"/>
    </row>
    <row r="214" ht="13" customHeight="1" s="250">
      <c r="A214" s="249" t="n"/>
      <c r="B214" s="249" t="n"/>
      <c r="C214" s="249" t="n"/>
      <c r="D214" s="249" t="n"/>
      <c r="E214" s="249" t="n"/>
      <c r="F214" s="249" t="n"/>
      <c r="G214" s="249" t="n"/>
    </row>
    <row r="215" ht="13" customHeight="1" s="250">
      <c r="A215" s="249" t="n"/>
      <c r="B215" s="249" t="n"/>
      <c r="C215" s="249" t="n"/>
      <c r="D215" s="249" t="n"/>
      <c r="E215" s="249" t="n"/>
      <c r="F215" s="249" t="n"/>
      <c r="G215" s="249" t="n"/>
    </row>
    <row r="216" ht="13" customHeight="1" s="250">
      <c r="A216" s="249" t="n"/>
      <c r="B216" s="249" t="n"/>
      <c r="C216" s="249" t="n"/>
      <c r="D216" s="249" t="n"/>
      <c r="E216" s="249" t="n"/>
      <c r="F216" s="249" t="n"/>
      <c r="G216" s="249" t="n"/>
    </row>
    <row r="217" ht="13" customHeight="1" s="250">
      <c r="A217" s="249" t="n"/>
      <c r="B217" s="249" t="n"/>
      <c r="C217" s="249" t="n"/>
      <c r="D217" s="249" t="n"/>
      <c r="E217" s="249" t="n"/>
      <c r="F217" s="249" t="n"/>
      <c r="G217" s="249" t="n"/>
    </row>
    <row r="218" ht="13" customHeight="1" s="250">
      <c r="A218" s="249" t="n"/>
      <c r="B218" s="249" t="n"/>
      <c r="C218" s="249" t="n"/>
      <c r="D218" s="249" t="n"/>
      <c r="E218" s="249" t="n"/>
      <c r="F218" s="249" t="n"/>
      <c r="G218" s="249" t="n"/>
    </row>
    <row r="219" ht="13" customHeight="1" s="250">
      <c r="A219" s="249" t="n"/>
      <c r="B219" s="249" t="n"/>
      <c r="C219" s="249" t="n"/>
      <c r="D219" s="249" t="n"/>
      <c r="E219" s="249" t="n"/>
      <c r="F219" s="249" t="n"/>
      <c r="G219" s="249" t="n"/>
    </row>
    <row r="220" ht="13" customHeight="1" s="250">
      <c r="A220" s="249" t="n"/>
      <c r="B220" s="249" t="n"/>
      <c r="C220" s="249" t="n"/>
      <c r="D220" s="249" t="n"/>
      <c r="E220" s="249" t="n"/>
      <c r="F220" s="249" t="n"/>
      <c r="G220" s="249" t="n"/>
    </row>
    <row r="221" ht="13" customHeight="1" s="250">
      <c r="A221" s="249" t="n"/>
      <c r="B221" s="249" t="n"/>
      <c r="C221" s="249" t="n"/>
      <c r="D221" s="249" t="n"/>
      <c r="E221" s="249" t="n"/>
      <c r="F221" s="249" t="n"/>
      <c r="G221" s="249" t="n"/>
    </row>
    <row r="222" ht="13" customHeight="1" s="250">
      <c r="A222" s="249" t="n"/>
      <c r="B222" s="249" t="n"/>
      <c r="C222" s="249" t="n"/>
      <c r="D222" s="249" t="n"/>
      <c r="E222" s="249" t="n"/>
      <c r="F222" s="249" t="n"/>
      <c r="G222" s="249" t="n"/>
    </row>
    <row r="223" ht="13" customHeight="1" s="250">
      <c r="A223" s="249" t="n"/>
      <c r="B223" s="249" t="n"/>
      <c r="C223" s="249" t="n"/>
      <c r="D223" s="249" t="n"/>
      <c r="E223" s="249" t="n"/>
      <c r="F223" s="249" t="n"/>
      <c r="G223" s="249" t="n"/>
    </row>
    <row r="224" ht="13" customHeight="1" s="250">
      <c r="A224" s="249" t="n"/>
      <c r="B224" s="249" t="n"/>
      <c r="C224" s="249" t="n"/>
      <c r="D224" s="249" t="n"/>
      <c r="E224" s="249" t="n"/>
      <c r="F224" s="249" t="n"/>
      <c r="G224" s="249" t="n"/>
    </row>
    <row r="225" ht="13" customHeight="1" s="250">
      <c r="A225" s="249" t="n"/>
      <c r="B225" s="249" t="n"/>
      <c r="C225" s="249" t="n"/>
      <c r="D225" s="249" t="n"/>
      <c r="E225" s="249" t="n"/>
      <c r="F225" s="249" t="n"/>
      <c r="G225" s="249" t="n"/>
    </row>
    <row r="226" ht="13" customHeight="1" s="250">
      <c r="A226" s="249" t="n"/>
      <c r="B226" s="249" t="n"/>
      <c r="C226" s="249" t="n"/>
      <c r="D226" s="249" t="n"/>
      <c r="E226" s="249" t="n"/>
      <c r="F226" s="249" t="n"/>
      <c r="G226" s="249" t="n"/>
    </row>
    <row r="227" ht="13" customHeight="1" s="250">
      <c r="A227" s="249" t="n"/>
      <c r="B227" s="249" t="n"/>
      <c r="C227" s="249" t="n"/>
      <c r="D227" s="249" t="n"/>
      <c r="E227" s="249" t="n"/>
      <c r="F227" s="249" t="n"/>
      <c r="G227" s="249" t="n"/>
    </row>
    <row r="228" ht="13" customHeight="1" s="250">
      <c r="A228" s="249" t="n"/>
      <c r="B228" s="249" t="n"/>
      <c r="C228" s="249" t="n"/>
      <c r="D228" s="249" t="n"/>
      <c r="E228" s="249" t="n"/>
      <c r="F228" s="249" t="n"/>
      <c r="G228" s="249" t="n"/>
    </row>
    <row r="229" ht="13" customHeight="1" s="250">
      <c r="A229" s="249" t="n"/>
      <c r="B229" s="249" t="n"/>
      <c r="C229" s="249" t="n"/>
      <c r="D229" s="249" t="n"/>
      <c r="E229" s="249" t="n"/>
      <c r="F229" s="249" t="n"/>
      <c r="G229" s="249" t="n"/>
    </row>
    <row r="230" ht="13" customHeight="1" s="250">
      <c r="A230" s="249" t="n"/>
      <c r="B230" s="249" t="n"/>
      <c r="C230" s="249" t="n"/>
      <c r="D230" s="249" t="n"/>
      <c r="E230" s="249" t="n"/>
      <c r="F230" s="249" t="n"/>
      <c r="G230" s="249" t="n"/>
    </row>
    <row r="231" ht="13" customHeight="1" s="250">
      <c r="A231" s="249" t="n"/>
      <c r="B231" s="249" t="n"/>
      <c r="C231" s="249" t="n"/>
      <c r="D231" s="249" t="n"/>
      <c r="E231" s="249" t="n"/>
      <c r="F231" s="249" t="n"/>
      <c r="G231" s="249" t="n"/>
    </row>
    <row r="232" ht="13" customHeight="1" s="250">
      <c r="A232" s="249" t="n"/>
      <c r="B232" s="249" t="n"/>
      <c r="C232" s="249" t="n"/>
      <c r="D232" s="249" t="n"/>
      <c r="E232" s="249" t="n"/>
      <c r="F232" s="249" t="n"/>
      <c r="G232" s="249" t="n"/>
    </row>
    <row r="233" ht="13" customHeight="1" s="250">
      <c r="A233" s="249" t="n"/>
      <c r="B233" s="249" t="n"/>
      <c r="C233" s="249" t="n"/>
      <c r="D233" s="249" t="n"/>
      <c r="E233" s="249" t="n"/>
      <c r="F233" s="249" t="n"/>
      <c r="G233" s="249" t="n"/>
    </row>
    <row r="234" ht="13" customHeight="1" s="250">
      <c r="A234" s="249" t="n"/>
      <c r="B234" s="249" t="n"/>
      <c r="C234" s="249" t="n"/>
      <c r="D234" s="249" t="n"/>
      <c r="E234" s="249" t="n"/>
      <c r="F234" s="249" t="n"/>
      <c r="G234" s="249" t="n"/>
    </row>
    <row r="235" ht="13" customHeight="1" s="250">
      <c r="A235" s="249" t="n"/>
      <c r="B235" s="249" t="n"/>
      <c r="C235" s="249" t="n"/>
      <c r="D235" s="249" t="n"/>
      <c r="E235" s="249" t="n"/>
      <c r="F235" s="249" t="n"/>
      <c r="G235" s="249" t="n"/>
    </row>
    <row r="236" ht="13" customHeight="1" s="250">
      <c r="A236" s="249" t="n"/>
      <c r="B236" s="249" t="n"/>
      <c r="C236" s="249" t="n"/>
      <c r="D236" s="249" t="n"/>
      <c r="E236" s="249" t="n"/>
      <c r="F236" s="249" t="n"/>
      <c r="G236" s="249" t="n"/>
    </row>
    <row r="237" ht="13" customHeight="1" s="250">
      <c r="A237" s="249" t="n"/>
      <c r="B237" s="249" t="n"/>
      <c r="C237" s="249" t="n"/>
      <c r="D237" s="249" t="n"/>
      <c r="E237" s="249" t="n"/>
      <c r="F237" s="249" t="n"/>
      <c r="G237" s="249" t="n"/>
    </row>
    <row r="238" ht="13" customHeight="1" s="250">
      <c r="A238" s="249" t="n"/>
      <c r="B238" s="249" t="n"/>
      <c r="C238" s="249" t="n"/>
      <c r="D238" s="249" t="n"/>
      <c r="E238" s="249" t="n"/>
      <c r="F238" s="249" t="n"/>
      <c r="G238" s="249" t="n"/>
    </row>
    <row r="239" ht="13" customHeight="1" s="250">
      <c r="A239" s="249" t="n"/>
      <c r="B239" s="249" t="n"/>
      <c r="C239" s="249" t="n"/>
      <c r="D239" s="249" t="n"/>
      <c r="E239" s="249" t="n"/>
      <c r="F239" s="249" t="n"/>
      <c r="G239" s="249" t="n"/>
    </row>
    <row r="240" ht="13" customHeight="1" s="250">
      <c r="A240" s="249" t="n"/>
      <c r="B240" s="249" t="n"/>
      <c r="C240" s="249" t="n"/>
      <c r="D240" s="249" t="n"/>
      <c r="E240" s="249" t="n"/>
      <c r="F240" s="249" t="n"/>
      <c r="G240" s="249" t="n"/>
    </row>
    <row r="241" ht="13" customHeight="1" s="250">
      <c r="A241" s="249" t="n"/>
      <c r="B241" s="249" t="n"/>
      <c r="C241" s="249" t="n"/>
      <c r="D241" s="249" t="n"/>
      <c r="E241" s="249" t="n"/>
      <c r="F241" s="249" t="n"/>
      <c r="G241" s="249" t="n"/>
    </row>
    <row r="242" ht="13" customHeight="1" s="250">
      <c r="A242" s="249" t="n"/>
      <c r="B242" s="249" t="n"/>
      <c r="C242" s="249" t="n"/>
      <c r="D242" s="249" t="n"/>
      <c r="E242" s="249" t="n"/>
      <c r="F242" s="249" t="n"/>
      <c r="G242" s="249" t="n"/>
    </row>
    <row r="243" ht="13" customHeight="1" s="250">
      <c r="A243" s="249" t="n"/>
      <c r="B243" s="249" t="n"/>
      <c r="C243" s="249" t="n"/>
      <c r="D243" s="249" t="n"/>
      <c r="E243" s="249" t="n"/>
      <c r="F243" s="249" t="n"/>
      <c r="G243" s="249" t="n"/>
    </row>
    <row r="244" ht="13" customHeight="1" s="250">
      <c r="A244" s="249" t="n"/>
      <c r="B244" s="249" t="n"/>
      <c r="C244" s="249" t="n"/>
      <c r="D244" s="249" t="n"/>
      <c r="E244" s="249" t="n"/>
      <c r="F244" s="249" t="n"/>
      <c r="G244" s="249" t="n"/>
    </row>
    <row r="245" ht="13" customHeight="1" s="250">
      <c r="A245" s="249" t="n"/>
      <c r="B245" s="249" t="n"/>
      <c r="C245" s="249" t="n"/>
      <c r="D245" s="249" t="n"/>
      <c r="E245" s="249" t="n"/>
      <c r="F245" s="249" t="n"/>
      <c r="G245" s="249" t="n"/>
    </row>
    <row r="246" ht="13" customHeight="1" s="250">
      <c r="A246" s="249" t="n"/>
      <c r="B246" s="249" t="n"/>
      <c r="C246" s="249" t="n"/>
      <c r="D246" s="249" t="n"/>
      <c r="E246" s="249" t="n"/>
      <c r="F246" s="249" t="n"/>
      <c r="G246" s="249" t="n"/>
    </row>
    <row r="247" ht="13" customHeight="1" s="250">
      <c r="A247" s="249" t="n"/>
      <c r="B247" s="249" t="n"/>
      <c r="C247" s="249" t="n"/>
      <c r="D247" s="249" t="n"/>
      <c r="E247" s="249" t="n"/>
      <c r="F247" s="249" t="n"/>
      <c r="G247" s="249" t="n"/>
    </row>
    <row r="248" ht="13" customHeight="1" s="250">
      <c r="A248" s="249" t="n"/>
      <c r="B248" s="249" t="n"/>
      <c r="C248" s="249" t="n"/>
      <c r="D248" s="249" t="n"/>
      <c r="E248" s="249" t="n"/>
      <c r="F248" s="249" t="n"/>
      <c r="G248" s="249" t="n"/>
    </row>
    <row r="249" ht="13" customHeight="1" s="250">
      <c r="A249" s="249" t="n"/>
      <c r="B249" s="249" t="n"/>
      <c r="C249" s="249" t="n"/>
      <c r="D249" s="249" t="n"/>
      <c r="E249" s="249" t="n"/>
      <c r="F249" s="249" t="n"/>
      <c r="G249" s="249" t="n"/>
    </row>
    <row r="250" ht="13" customHeight="1" s="250">
      <c r="A250" s="249" t="n"/>
      <c r="B250" s="249" t="n"/>
      <c r="C250" s="249" t="n"/>
      <c r="D250" s="249" t="n"/>
      <c r="E250" s="249" t="n"/>
      <c r="F250" s="249" t="n"/>
      <c r="G250" s="249" t="n"/>
    </row>
    <row r="251" ht="13" customHeight="1" s="250">
      <c r="A251" s="249" t="n"/>
      <c r="B251" s="249" t="n"/>
      <c r="C251" s="249" t="n"/>
      <c r="D251" s="249" t="n"/>
      <c r="E251" s="249" t="n"/>
      <c r="F251" s="249" t="n"/>
      <c r="G251" s="249" t="n"/>
    </row>
    <row r="252" ht="13" customHeight="1" s="250">
      <c r="A252" s="249" t="n"/>
      <c r="B252" s="249" t="n"/>
      <c r="C252" s="249" t="n"/>
      <c r="D252" s="249" t="n"/>
      <c r="E252" s="249" t="n"/>
      <c r="F252" s="249" t="n"/>
      <c r="G252" s="249" t="n"/>
    </row>
    <row r="253" ht="13" customHeight="1" s="250">
      <c r="A253" s="249" t="n"/>
      <c r="B253" s="249" t="n"/>
      <c r="C253" s="249" t="n"/>
      <c r="D253" s="249" t="n"/>
      <c r="E253" s="249" t="n"/>
      <c r="F253" s="249" t="n"/>
      <c r="G253" s="249" t="n"/>
    </row>
    <row r="254" ht="13" customHeight="1" s="250">
      <c r="A254" s="249" t="n"/>
      <c r="B254" s="249" t="n"/>
      <c r="C254" s="249" t="n"/>
      <c r="D254" s="249" t="n"/>
      <c r="E254" s="249" t="n"/>
      <c r="F254" s="249" t="n"/>
      <c r="G254" s="249" t="n"/>
    </row>
    <row r="255" ht="13" customHeight="1" s="250">
      <c r="A255" s="249" t="n"/>
      <c r="B255" s="249" t="n"/>
      <c r="C255" s="249" t="n"/>
      <c r="D255" s="249" t="n"/>
      <c r="E255" s="249" t="n"/>
      <c r="F255" s="249" t="n"/>
      <c r="G255" s="249" t="n"/>
    </row>
    <row r="256" ht="13" customHeight="1" s="250">
      <c r="A256" s="249" t="n"/>
      <c r="B256" s="249" t="n"/>
      <c r="C256" s="249" t="n"/>
      <c r="D256" s="249" t="n"/>
      <c r="E256" s="249" t="n"/>
      <c r="F256" s="249" t="n"/>
      <c r="G256" s="249" t="n"/>
    </row>
    <row r="257" ht="13" customHeight="1" s="250">
      <c r="A257" s="249" t="n"/>
      <c r="B257" s="249" t="n"/>
      <c r="C257" s="249" t="n"/>
      <c r="D257" s="249" t="n"/>
      <c r="E257" s="249" t="n"/>
      <c r="F257" s="249" t="n"/>
      <c r="G257" s="249" t="n"/>
    </row>
    <row r="258" ht="13" customHeight="1" s="250">
      <c r="A258" s="249" t="n"/>
      <c r="B258" s="249" t="n"/>
      <c r="C258" s="249" t="n"/>
      <c r="D258" s="249" t="n"/>
      <c r="E258" s="249" t="n"/>
      <c r="F258" s="249" t="n"/>
      <c r="G258" s="249" t="n"/>
    </row>
    <row r="259" ht="13" customHeight="1" s="250">
      <c r="A259" s="249" t="n"/>
      <c r="B259" s="249" t="n"/>
      <c r="C259" s="249" t="n"/>
      <c r="D259" s="249" t="n"/>
      <c r="E259" s="249" t="n"/>
      <c r="F259" s="249" t="n"/>
      <c r="G259" s="249" t="n"/>
    </row>
    <row r="260" ht="13" customHeight="1" s="250">
      <c r="A260" s="249" t="n"/>
      <c r="B260" s="249" t="n"/>
      <c r="C260" s="249" t="n"/>
      <c r="D260" s="249" t="n"/>
      <c r="E260" s="249" t="n"/>
      <c r="F260" s="249" t="n"/>
      <c r="G260" s="249" t="n"/>
    </row>
    <row r="261" ht="13" customHeight="1" s="250">
      <c r="A261" s="249" t="n"/>
      <c r="B261" s="249" t="n"/>
      <c r="C261" s="249" t="n"/>
      <c r="D261" s="249" t="n"/>
      <c r="E261" s="249" t="n"/>
      <c r="F261" s="249" t="n"/>
      <c r="G261" s="249" t="n"/>
    </row>
    <row r="262" ht="13" customHeight="1" s="250">
      <c r="A262" s="249" t="n"/>
      <c r="B262" s="249" t="n"/>
      <c r="C262" s="249" t="n"/>
      <c r="D262" s="249" t="n"/>
      <c r="E262" s="249" t="n"/>
      <c r="F262" s="249" t="n"/>
      <c r="G262" s="249" t="n"/>
    </row>
    <row r="263" ht="13" customHeight="1" s="250">
      <c r="A263" s="249" t="n"/>
      <c r="B263" s="249" t="n"/>
      <c r="C263" s="249" t="n"/>
      <c r="D263" s="249" t="n"/>
      <c r="E263" s="249" t="n"/>
      <c r="F263" s="249" t="n"/>
      <c r="G263" s="249" t="n"/>
    </row>
    <row r="264" ht="13" customHeight="1" s="250">
      <c r="A264" s="249" t="n"/>
      <c r="B264" s="249" t="n"/>
      <c r="C264" s="249" t="n"/>
      <c r="D264" s="249" t="n"/>
      <c r="E264" s="249" t="n"/>
      <c r="F264" s="249" t="n"/>
      <c r="G264" s="249" t="n"/>
    </row>
    <row r="265" ht="13" customHeight="1" s="250">
      <c r="A265" s="249" t="n"/>
      <c r="B265" s="249" t="n"/>
      <c r="C265" s="249" t="n"/>
      <c r="D265" s="249" t="n"/>
      <c r="E265" s="249" t="n"/>
      <c r="F265" s="249" t="n"/>
      <c r="G265" s="249" t="n"/>
    </row>
    <row r="266" ht="13" customHeight="1" s="250">
      <c r="A266" s="249" t="n"/>
      <c r="B266" s="249" t="n"/>
      <c r="C266" s="249" t="n"/>
      <c r="D266" s="249" t="n"/>
      <c r="E266" s="249" t="n"/>
      <c r="F266" s="249" t="n"/>
      <c r="G266" s="249" t="n"/>
    </row>
    <row r="267" ht="13" customHeight="1" s="250">
      <c r="A267" s="249" t="n"/>
      <c r="B267" s="249" t="n"/>
      <c r="C267" s="249" t="n"/>
      <c r="D267" s="249" t="n"/>
      <c r="E267" s="249" t="n"/>
      <c r="F267" s="249" t="n"/>
      <c r="G267" s="249" t="n"/>
    </row>
    <row r="268" ht="13" customHeight="1" s="250">
      <c r="A268" s="249" t="n"/>
      <c r="B268" s="249" t="n"/>
      <c r="C268" s="249" t="n"/>
      <c r="D268" s="249" t="n"/>
      <c r="E268" s="249" t="n"/>
      <c r="F268" s="249" t="n"/>
      <c r="G268" s="249" t="n"/>
    </row>
    <row r="269" ht="13" customHeight="1" s="250">
      <c r="A269" s="249" t="n"/>
      <c r="B269" s="249" t="n"/>
      <c r="C269" s="249" t="n"/>
      <c r="D269" s="249" t="n"/>
      <c r="E269" s="249" t="n"/>
      <c r="F269" s="249" t="n"/>
      <c r="G269" s="249" t="n"/>
    </row>
    <row r="270" ht="13" customHeight="1" s="250">
      <c r="A270" s="249" t="n"/>
      <c r="B270" s="249" t="n"/>
      <c r="C270" s="249" t="n"/>
      <c r="D270" s="249" t="n"/>
      <c r="E270" s="249" t="n"/>
      <c r="F270" s="249" t="n"/>
      <c r="G270" s="249" t="n"/>
    </row>
    <row r="271" ht="13" customHeight="1" s="250">
      <c r="A271" s="249" t="n"/>
      <c r="B271" s="249" t="n"/>
      <c r="C271" s="249" t="n"/>
      <c r="D271" s="249" t="n"/>
      <c r="E271" s="249" t="n"/>
      <c r="F271" s="249" t="n"/>
      <c r="G271" s="249" t="n"/>
    </row>
    <row r="272" ht="13" customHeight="1" s="250">
      <c r="A272" s="249" t="n"/>
      <c r="B272" s="249" t="n"/>
      <c r="C272" s="249" t="n"/>
      <c r="D272" s="249" t="n"/>
      <c r="E272" s="249" t="n"/>
      <c r="F272" s="249" t="n"/>
      <c r="G272" s="249" t="n"/>
    </row>
    <row r="273" ht="13" customHeight="1" s="250">
      <c r="A273" s="249" t="n"/>
      <c r="B273" s="249" t="n"/>
      <c r="C273" s="249" t="n"/>
      <c r="D273" s="249" t="n"/>
      <c r="E273" s="249" t="n"/>
      <c r="F273" s="249" t="n"/>
      <c r="G273" s="249" t="n"/>
    </row>
    <row r="274" ht="13" customHeight="1" s="250">
      <c r="A274" s="249" t="n"/>
      <c r="B274" s="249" t="n"/>
      <c r="C274" s="249" t="n"/>
      <c r="D274" s="249" t="n"/>
      <c r="E274" s="249" t="n"/>
      <c r="F274" s="249" t="n"/>
      <c r="G274" s="249" t="n"/>
    </row>
    <row r="275" ht="13" customHeight="1" s="250">
      <c r="A275" s="249" t="n"/>
      <c r="B275" s="249" t="n"/>
      <c r="C275" s="249" t="n"/>
      <c r="D275" s="249" t="n"/>
      <c r="E275" s="249" t="n"/>
      <c r="F275" s="249" t="n"/>
      <c r="G275" s="249" t="n"/>
    </row>
    <row r="276" ht="13" customHeight="1" s="250">
      <c r="A276" s="249" t="n"/>
      <c r="B276" s="249" t="n"/>
      <c r="C276" s="249" t="n"/>
      <c r="D276" s="249" t="n"/>
      <c r="E276" s="249" t="n"/>
      <c r="F276" s="249" t="n"/>
      <c r="G276" s="249" t="n"/>
    </row>
    <row r="277" ht="13" customHeight="1" s="250">
      <c r="A277" s="249" t="n"/>
      <c r="B277" s="249" t="n"/>
      <c r="C277" s="249" t="n"/>
      <c r="D277" s="249" t="n"/>
      <c r="E277" s="249" t="n"/>
      <c r="F277" s="249" t="n"/>
      <c r="G277" s="249" t="n"/>
    </row>
    <row r="278" ht="13" customHeight="1" s="250">
      <c r="A278" s="249" t="n"/>
      <c r="B278" s="249" t="n"/>
      <c r="C278" s="249" t="n"/>
      <c r="D278" s="249" t="n"/>
      <c r="E278" s="249" t="n"/>
      <c r="F278" s="249" t="n"/>
      <c r="G278" s="249" t="n"/>
    </row>
    <row r="279" ht="13" customHeight="1" s="250">
      <c r="A279" s="249" t="n"/>
      <c r="B279" s="249" t="n"/>
      <c r="C279" s="249" t="n"/>
      <c r="D279" s="249" t="n"/>
      <c r="E279" s="249" t="n"/>
      <c r="F279" s="249" t="n"/>
      <c r="G279" s="249" t="n"/>
    </row>
    <row r="280" ht="13" customHeight="1" s="250">
      <c r="A280" s="249" t="n"/>
      <c r="B280" s="249" t="n"/>
      <c r="C280" s="249" t="n"/>
      <c r="D280" s="249" t="n"/>
      <c r="E280" s="249" t="n"/>
      <c r="F280" s="249" t="n"/>
      <c r="G280" s="249" t="n"/>
    </row>
    <row r="281" ht="13" customHeight="1" s="250">
      <c r="A281" s="249" t="n"/>
      <c r="B281" s="249" t="n"/>
      <c r="C281" s="249" t="n"/>
      <c r="D281" s="249" t="n"/>
      <c r="E281" s="249" t="n"/>
      <c r="F281" s="249" t="n"/>
      <c r="G281" s="249" t="n"/>
    </row>
    <row r="282" ht="13" customHeight="1" s="250">
      <c r="A282" s="249" t="n"/>
      <c r="B282" s="249" t="n"/>
      <c r="C282" s="249" t="n"/>
      <c r="D282" s="249" t="n"/>
      <c r="E282" s="249" t="n"/>
      <c r="F282" s="249" t="n"/>
      <c r="G282" s="249" t="n"/>
    </row>
    <row r="283" ht="13" customHeight="1" s="250">
      <c r="A283" s="249" t="n"/>
      <c r="B283" s="249" t="n"/>
      <c r="C283" s="249" t="n"/>
      <c r="D283" s="249" t="n"/>
      <c r="E283" s="249" t="n"/>
      <c r="F283" s="249" t="n"/>
      <c r="G283" s="249" t="n"/>
    </row>
    <row r="284" ht="13" customHeight="1" s="250">
      <c r="A284" s="249" t="n"/>
      <c r="B284" s="249" t="n"/>
      <c r="C284" s="249" t="n"/>
      <c r="D284" s="249" t="n"/>
      <c r="E284" s="249" t="n"/>
      <c r="F284" s="249" t="n"/>
      <c r="G284" s="249" t="n"/>
    </row>
    <row r="285" ht="13" customHeight="1" s="250">
      <c r="A285" s="249" t="n"/>
      <c r="B285" s="249" t="n"/>
      <c r="C285" s="249" t="n"/>
      <c r="D285" s="249" t="n"/>
      <c r="E285" s="249" t="n"/>
      <c r="F285" s="249" t="n"/>
      <c r="G285" s="249" t="n"/>
    </row>
    <row r="286" ht="13" customHeight="1" s="250">
      <c r="A286" s="249" t="n"/>
      <c r="B286" s="249" t="n"/>
      <c r="C286" s="249" t="n"/>
      <c r="D286" s="249" t="n"/>
      <c r="E286" s="249" t="n"/>
      <c r="F286" s="249" t="n"/>
      <c r="G286" s="249" t="n"/>
    </row>
    <row r="287" ht="13" customHeight="1" s="250">
      <c r="A287" s="249" t="n"/>
      <c r="B287" s="249" t="n"/>
      <c r="C287" s="249" t="n"/>
      <c r="D287" s="249" t="n"/>
      <c r="E287" s="249" t="n"/>
      <c r="F287" s="249" t="n"/>
      <c r="G287" s="249" t="n"/>
    </row>
    <row r="288" ht="13" customHeight="1" s="250">
      <c r="A288" s="249" t="n"/>
      <c r="B288" s="249" t="n"/>
      <c r="C288" s="249" t="n"/>
      <c r="D288" s="249" t="n"/>
      <c r="E288" s="249" t="n"/>
      <c r="F288" s="249" t="n"/>
      <c r="G288" s="249" t="n"/>
    </row>
    <row r="289" ht="13" customHeight="1" s="250">
      <c r="A289" s="249" t="n"/>
      <c r="B289" s="249" t="n"/>
      <c r="C289" s="249" t="n"/>
      <c r="D289" s="249" t="n"/>
      <c r="E289" s="249" t="n"/>
      <c r="F289" s="249" t="n"/>
      <c r="G289" s="249" t="n"/>
    </row>
    <row r="290" ht="13" customHeight="1" s="250">
      <c r="A290" s="249" t="n"/>
      <c r="B290" s="249" t="n"/>
      <c r="C290" s="249" t="n"/>
      <c r="D290" s="249" t="n"/>
      <c r="E290" s="249" t="n"/>
      <c r="F290" s="249" t="n"/>
      <c r="G290" s="249" t="n"/>
    </row>
    <row r="291" ht="13" customHeight="1" s="250">
      <c r="A291" s="249" t="n"/>
      <c r="B291" s="249" t="n"/>
      <c r="C291" s="249" t="n"/>
      <c r="D291" s="249" t="n"/>
      <c r="E291" s="249" t="n"/>
      <c r="F291" s="249" t="n"/>
      <c r="G291" s="249" t="n"/>
    </row>
    <row r="292" ht="13" customHeight="1" s="250">
      <c r="A292" s="249" t="n"/>
      <c r="B292" s="249" t="n"/>
      <c r="C292" s="249" t="n"/>
      <c r="D292" s="249" t="n"/>
      <c r="E292" s="249" t="n"/>
      <c r="F292" s="249" t="n"/>
      <c r="G292" s="249" t="n"/>
    </row>
    <row r="293" ht="13" customHeight="1" s="250">
      <c r="A293" s="249" t="n"/>
      <c r="B293" s="249" t="n"/>
      <c r="C293" s="249" t="n"/>
      <c r="D293" s="249" t="n"/>
      <c r="E293" s="249" t="n"/>
      <c r="F293" s="249" t="n"/>
      <c r="G293" s="249" t="n"/>
    </row>
    <row r="294" ht="13" customHeight="1" s="250">
      <c r="A294" s="249" t="n"/>
      <c r="B294" s="249" t="n"/>
      <c r="C294" s="249" t="n"/>
      <c r="D294" s="249" t="n"/>
      <c r="E294" s="249" t="n"/>
      <c r="F294" s="249" t="n"/>
      <c r="G294" s="249" t="n"/>
    </row>
    <row r="295" ht="13" customHeight="1" s="250">
      <c r="A295" s="249" t="n"/>
      <c r="B295" s="249" t="n"/>
      <c r="C295" s="249" t="n"/>
      <c r="D295" s="249" t="n"/>
      <c r="E295" s="249" t="n"/>
      <c r="F295" s="249" t="n"/>
      <c r="G295" s="249" t="n"/>
    </row>
    <row r="296" ht="13" customHeight="1" s="250">
      <c r="A296" s="249" t="n"/>
      <c r="B296" s="249" t="n"/>
      <c r="C296" s="249" t="n"/>
      <c r="D296" s="249" t="n"/>
      <c r="E296" s="249" t="n"/>
      <c r="F296" s="249" t="n"/>
      <c r="G296" s="249" t="n"/>
    </row>
    <row r="297" ht="13" customHeight="1" s="250">
      <c r="A297" s="249" t="n"/>
      <c r="B297" s="249" t="n"/>
      <c r="C297" s="249" t="n"/>
      <c r="D297" s="249" t="n"/>
      <c r="E297" s="249" t="n"/>
      <c r="F297" s="249" t="n"/>
      <c r="G297" s="249" t="n"/>
    </row>
    <row r="298" ht="13" customHeight="1" s="250">
      <c r="A298" s="249" t="n"/>
      <c r="B298" s="249" t="n"/>
      <c r="C298" s="249" t="n"/>
      <c r="D298" s="249" t="n"/>
      <c r="E298" s="249" t="n"/>
      <c r="F298" s="249" t="n"/>
      <c r="G298" s="249" t="n"/>
    </row>
    <row r="299" ht="13" customHeight="1" s="250">
      <c r="A299" s="249" t="n"/>
      <c r="B299" s="249" t="n"/>
      <c r="C299" s="249" t="n"/>
      <c r="D299" s="249" t="n"/>
      <c r="E299" s="249" t="n"/>
      <c r="F299" s="249" t="n"/>
      <c r="G299" s="249" t="n"/>
    </row>
    <row r="300" ht="13" customHeight="1" s="250">
      <c r="A300" s="249" t="n"/>
      <c r="B300" s="249" t="n"/>
      <c r="C300" s="249" t="n"/>
      <c r="D300" s="249" t="n"/>
      <c r="E300" s="249" t="n"/>
      <c r="F300" s="249" t="n"/>
      <c r="G300" s="249" t="n"/>
    </row>
    <row r="301" ht="13" customHeight="1" s="250">
      <c r="A301" s="249" t="n"/>
      <c r="B301" s="249" t="n"/>
      <c r="C301" s="249" t="n"/>
      <c r="D301" s="249" t="n"/>
      <c r="E301" s="249" t="n"/>
      <c r="F301" s="249" t="n"/>
      <c r="G301" s="249" t="n"/>
    </row>
    <row r="302" ht="13" customHeight="1" s="250">
      <c r="A302" s="249" t="n"/>
      <c r="B302" s="249" t="n"/>
      <c r="C302" s="249" t="n"/>
      <c r="D302" s="249" t="n"/>
      <c r="E302" s="249" t="n"/>
      <c r="F302" s="249" t="n"/>
      <c r="G302" s="249" t="n"/>
    </row>
    <row r="303" ht="13" customHeight="1" s="250">
      <c r="A303" s="249" t="n"/>
      <c r="B303" s="249" t="n"/>
      <c r="C303" s="249" t="n"/>
      <c r="D303" s="249" t="n"/>
      <c r="E303" s="249" t="n"/>
      <c r="F303" s="249" t="n"/>
      <c r="G303" s="249" t="n"/>
    </row>
    <row r="304" ht="13" customHeight="1" s="250">
      <c r="A304" s="249" t="n"/>
      <c r="B304" s="249" t="n"/>
      <c r="C304" s="249" t="n"/>
      <c r="D304" s="249" t="n"/>
      <c r="E304" s="249" t="n"/>
      <c r="F304" s="249" t="n"/>
      <c r="G304" s="249" t="n"/>
    </row>
    <row r="305" ht="13" customHeight="1" s="250">
      <c r="A305" s="249" t="n"/>
      <c r="B305" s="249" t="n"/>
      <c r="C305" s="249" t="n"/>
      <c r="D305" s="249" t="n"/>
      <c r="E305" s="249" t="n"/>
      <c r="F305" s="249" t="n"/>
      <c r="G305" s="249" t="n"/>
    </row>
    <row r="306" ht="13" customHeight="1" s="250">
      <c r="A306" s="249" t="n"/>
      <c r="B306" s="249" t="n"/>
      <c r="C306" s="249" t="n"/>
      <c r="D306" s="249" t="n"/>
      <c r="E306" s="249" t="n"/>
      <c r="F306" s="249" t="n"/>
      <c r="G306" s="249" t="n"/>
    </row>
    <row r="307" ht="13" customHeight="1" s="250">
      <c r="A307" s="249" t="n"/>
      <c r="B307" s="249" t="n"/>
      <c r="C307" s="249" t="n"/>
      <c r="D307" s="249" t="n"/>
      <c r="E307" s="249" t="n"/>
      <c r="F307" s="249" t="n"/>
      <c r="G307" s="249" t="n"/>
    </row>
    <row r="308" ht="13" customHeight="1" s="250">
      <c r="A308" s="249" t="n"/>
      <c r="B308" s="249" t="n"/>
      <c r="C308" s="249" t="n"/>
      <c r="D308" s="249" t="n"/>
      <c r="E308" s="249" t="n"/>
      <c r="F308" s="249" t="n"/>
      <c r="G308" s="249" t="n"/>
    </row>
    <row r="309" ht="13" customHeight="1" s="250">
      <c r="A309" s="249" t="n"/>
      <c r="B309" s="249" t="n"/>
      <c r="C309" s="249" t="n"/>
      <c r="D309" s="249" t="n"/>
      <c r="E309" s="249" t="n"/>
      <c r="F309" s="249" t="n"/>
      <c r="G309" s="249" t="n"/>
    </row>
    <row r="310" ht="13" customHeight="1" s="250">
      <c r="A310" s="249" t="n"/>
      <c r="B310" s="249" t="n"/>
      <c r="C310" s="249" t="n"/>
      <c r="D310" s="249" t="n"/>
      <c r="E310" s="249" t="n"/>
      <c r="F310" s="249" t="n"/>
      <c r="G310" s="249" t="n"/>
    </row>
    <row r="311" ht="13" customHeight="1" s="250">
      <c r="A311" s="249" t="n"/>
      <c r="B311" s="249" t="n"/>
      <c r="C311" s="249" t="n"/>
      <c r="D311" s="249" t="n"/>
      <c r="E311" s="249" t="n"/>
      <c r="F311" s="249" t="n"/>
      <c r="G311" s="249" t="n"/>
    </row>
    <row r="312" ht="13" customHeight="1" s="250">
      <c r="A312" s="249" t="n"/>
      <c r="B312" s="249" t="n"/>
      <c r="C312" s="249" t="n"/>
      <c r="D312" s="249" t="n"/>
      <c r="E312" s="249" t="n"/>
      <c r="F312" s="249" t="n"/>
      <c r="G312" s="249" t="n"/>
    </row>
    <row r="313" ht="13" customHeight="1" s="250">
      <c r="A313" s="249" t="n"/>
      <c r="B313" s="249" t="n"/>
      <c r="C313" s="249" t="n"/>
      <c r="D313" s="249" t="n"/>
      <c r="E313" s="249" t="n"/>
      <c r="F313" s="249" t="n"/>
      <c r="G313" s="249" t="n"/>
    </row>
    <row r="314" ht="13" customHeight="1" s="250">
      <c r="A314" s="249" t="n"/>
      <c r="B314" s="249" t="n"/>
      <c r="C314" s="249" t="n"/>
      <c r="D314" s="249" t="n"/>
      <c r="E314" s="249" t="n"/>
      <c r="F314" s="249" t="n"/>
      <c r="G314" s="249" t="n"/>
    </row>
    <row r="315" ht="13" customHeight="1" s="250">
      <c r="A315" s="249" t="n"/>
      <c r="B315" s="249" t="n"/>
      <c r="C315" s="249" t="n"/>
      <c r="D315" s="249" t="n"/>
      <c r="E315" s="249" t="n"/>
      <c r="F315" s="249" t="n"/>
      <c r="G315" s="249" t="n"/>
    </row>
    <row r="316" ht="13" customHeight="1" s="250">
      <c r="A316" s="249" t="n"/>
      <c r="B316" s="249" t="n"/>
      <c r="C316" s="249" t="n"/>
      <c r="D316" s="249" t="n"/>
      <c r="E316" s="249" t="n"/>
      <c r="F316" s="249" t="n"/>
      <c r="G316" s="249" t="n"/>
    </row>
    <row r="317" ht="13" customHeight="1" s="250">
      <c r="A317" s="249" t="n"/>
      <c r="B317" s="249" t="n"/>
      <c r="C317" s="249" t="n"/>
      <c r="D317" s="249" t="n"/>
      <c r="E317" s="249" t="n"/>
      <c r="F317" s="249" t="n"/>
      <c r="G317" s="249" t="n"/>
    </row>
    <row r="318" ht="13" customHeight="1" s="250">
      <c r="A318" s="249" t="n"/>
      <c r="B318" s="249" t="n"/>
      <c r="C318" s="249" t="n"/>
      <c r="D318" s="249" t="n"/>
      <c r="E318" s="249" t="n"/>
      <c r="F318" s="249" t="n"/>
      <c r="G318" s="249" t="n"/>
    </row>
    <row r="319" ht="13" customHeight="1" s="250">
      <c r="A319" s="249" t="n"/>
      <c r="B319" s="249" t="n"/>
      <c r="C319" s="249" t="n"/>
      <c r="D319" s="249" t="n"/>
      <c r="E319" s="249" t="n"/>
      <c r="F319" s="249" t="n"/>
      <c r="G319" s="249" t="n"/>
    </row>
    <row r="320" ht="13" customHeight="1" s="250">
      <c r="A320" s="249" t="n"/>
      <c r="B320" s="249" t="n"/>
      <c r="C320" s="249" t="n"/>
      <c r="D320" s="249" t="n"/>
      <c r="E320" s="249" t="n"/>
      <c r="F320" s="249" t="n"/>
      <c r="G320" s="249" t="n"/>
    </row>
    <row r="321" ht="13" customHeight="1" s="250">
      <c r="A321" s="249" t="n"/>
      <c r="B321" s="249" t="n"/>
      <c r="C321" s="249" t="n"/>
      <c r="D321" s="249" t="n"/>
      <c r="E321" s="249" t="n"/>
      <c r="F321" s="249" t="n"/>
      <c r="G321" s="249" t="n"/>
    </row>
    <row r="322" ht="13" customHeight="1" s="250">
      <c r="A322" s="249" t="n"/>
      <c r="B322" s="249" t="n"/>
      <c r="C322" s="249" t="n"/>
      <c r="D322" s="249" t="n"/>
      <c r="E322" s="249" t="n"/>
      <c r="F322" s="249" t="n"/>
      <c r="G322" s="249" t="n"/>
    </row>
    <row r="323" ht="13" customHeight="1" s="250">
      <c r="A323" s="249" t="n"/>
      <c r="B323" s="249" t="n"/>
      <c r="C323" s="249" t="n"/>
      <c r="D323" s="249" t="n"/>
      <c r="E323" s="249" t="n"/>
      <c r="F323" s="249" t="n"/>
      <c r="G323" s="249" t="n"/>
    </row>
    <row r="324" ht="13" customHeight="1" s="250">
      <c r="A324" s="249" t="n"/>
      <c r="B324" s="249" t="n"/>
      <c r="C324" s="249" t="n"/>
      <c r="D324" s="249" t="n"/>
      <c r="E324" s="249" t="n"/>
      <c r="F324" s="249" t="n"/>
      <c r="G324" s="249" t="n"/>
    </row>
    <row r="325" ht="13" customHeight="1" s="250">
      <c r="A325" s="249" t="n"/>
      <c r="B325" s="249" t="n"/>
      <c r="C325" s="249" t="n"/>
      <c r="D325" s="249" t="n"/>
      <c r="E325" s="249" t="n"/>
      <c r="F325" s="249" t="n"/>
      <c r="G325" s="249" t="n"/>
    </row>
    <row r="326" ht="13" customHeight="1" s="250">
      <c r="A326" s="249" t="n"/>
      <c r="B326" s="249" t="n"/>
      <c r="C326" s="249" t="n"/>
      <c r="D326" s="249" t="n"/>
      <c r="E326" s="249" t="n"/>
      <c r="F326" s="249" t="n"/>
      <c r="G326" s="249" t="n"/>
    </row>
    <row r="327" ht="13" customHeight="1" s="250">
      <c r="A327" s="249" t="n"/>
      <c r="B327" s="249" t="n"/>
      <c r="C327" s="249" t="n"/>
      <c r="D327" s="249" t="n"/>
      <c r="E327" s="249" t="n"/>
      <c r="F327" s="249" t="n"/>
      <c r="G327" s="249" t="n"/>
    </row>
    <row r="328" ht="13" customHeight="1" s="250">
      <c r="A328" s="249" t="n"/>
      <c r="B328" s="249" t="n"/>
      <c r="C328" s="249" t="n"/>
      <c r="D328" s="249" t="n"/>
      <c r="E328" s="249" t="n"/>
      <c r="F328" s="249" t="n"/>
      <c r="G328" s="249" t="n"/>
    </row>
    <row r="329" ht="13" customHeight="1" s="250">
      <c r="A329" s="249" t="n"/>
      <c r="B329" s="249" t="n"/>
      <c r="C329" s="249" t="n"/>
      <c r="D329" s="249" t="n"/>
      <c r="E329" s="249" t="n"/>
      <c r="F329" s="249" t="n"/>
      <c r="G329" s="249" t="n"/>
    </row>
    <row r="330" ht="13" customHeight="1" s="250">
      <c r="A330" s="249" t="n"/>
      <c r="B330" s="249" t="n"/>
      <c r="C330" s="249" t="n"/>
      <c r="D330" s="249" t="n"/>
      <c r="E330" s="249" t="n"/>
      <c r="F330" s="249" t="n"/>
      <c r="G330" s="249" t="n"/>
    </row>
    <row r="331" ht="13" customHeight="1" s="250">
      <c r="A331" s="249" t="n"/>
      <c r="B331" s="249" t="n"/>
      <c r="C331" s="249" t="n"/>
      <c r="D331" s="249" t="n"/>
      <c r="E331" s="249" t="n"/>
      <c r="F331" s="249" t="n"/>
      <c r="G331" s="249" t="n"/>
    </row>
    <row r="332" ht="13" customHeight="1" s="250">
      <c r="A332" s="249" t="n"/>
      <c r="B332" s="249" t="n"/>
      <c r="C332" s="249" t="n"/>
      <c r="D332" s="249" t="n"/>
      <c r="E332" s="249" t="n"/>
      <c r="F332" s="249" t="n"/>
      <c r="G332" s="249" t="n"/>
    </row>
    <row r="333" ht="13" customHeight="1" s="250">
      <c r="A333" s="249" t="n"/>
      <c r="B333" s="249" t="n"/>
      <c r="C333" s="249" t="n"/>
      <c r="D333" s="249" t="n"/>
      <c r="E333" s="249" t="n"/>
      <c r="F333" s="249" t="n"/>
      <c r="G333" s="249" t="n"/>
    </row>
    <row r="334" ht="13" customHeight="1" s="250">
      <c r="A334" s="249" t="n"/>
      <c r="B334" s="249" t="n"/>
      <c r="C334" s="249" t="n"/>
      <c r="D334" s="249" t="n"/>
      <c r="E334" s="249" t="n"/>
      <c r="F334" s="249" t="n"/>
      <c r="G334" s="249" t="n"/>
    </row>
    <row r="335" ht="13" customHeight="1" s="250">
      <c r="A335" s="249" t="n"/>
      <c r="B335" s="249" t="n"/>
      <c r="C335" s="249" t="n"/>
      <c r="D335" s="249" t="n"/>
      <c r="E335" s="249" t="n"/>
      <c r="F335" s="249" t="n"/>
      <c r="G335" s="249" t="n"/>
    </row>
    <row r="336" ht="13" customHeight="1" s="250">
      <c r="A336" s="249" t="n"/>
      <c r="B336" s="249" t="n"/>
      <c r="C336" s="249" t="n"/>
      <c r="D336" s="249" t="n"/>
      <c r="E336" s="249" t="n"/>
      <c r="F336" s="249" t="n"/>
      <c r="G336" s="249" t="n"/>
    </row>
    <row r="337" ht="13" customHeight="1" s="250">
      <c r="A337" s="249" t="n"/>
      <c r="B337" s="249" t="n"/>
      <c r="C337" s="249" t="n"/>
      <c r="D337" s="249" t="n"/>
      <c r="E337" s="249" t="n"/>
      <c r="F337" s="249" t="n"/>
      <c r="G337" s="249" t="n"/>
    </row>
    <row r="338" ht="13" customHeight="1" s="250">
      <c r="A338" s="249" t="n"/>
      <c r="B338" s="249" t="n"/>
      <c r="C338" s="249" t="n"/>
      <c r="D338" s="249" t="n"/>
      <c r="E338" s="249" t="n"/>
      <c r="F338" s="249" t="n"/>
      <c r="G338" s="249" t="n"/>
    </row>
    <row r="339" ht="13" customHeight="1" s="250">
      <c r="A339" s="249" t="n"/>
      <c r="B339" s="249" t="n"/>
      <c r="C339" s="249" t="n"/>
      <c r="D339" s="249" t="n"/>
      <c r="E339" s="249" t="n"/>
      <c r="F339" s="249" t="n"/>
      <c r="G339" s="249" t="n"/>
    </row>
    <row r="340" ht="13" customHeight="1" s="250">
      <c r="A340" s="249" t="n"/>
      <c r="B340" s="249" t="n"/>
      <c r="C340" s="249" t="n"/>
      <c r="D340" s="249" t="n"/>
      <c r="E340" s="249" t="n"/>
      <c r="F340" s="249" t="n"/>
      <c r="G340" s="249" t="n"/>
    </row>
    <row r="341" ht="13" customHeight="1" s="250">
      <c r="A341" s="249" t="n"/>
      <c r="B341" s="249" t="n"/>
      <c r="C341" s="249" t="n"/>
      <c r="D341" s="249" t="n"/>
      <c r="E341" s="249" t="n"/>
      <c r="F341" s="249" t="n"/>
      <c r="G341" s="249" t="n"/>
    </row>
    <row r="342" ht="13" customHeight="1" s="250">
      <c r="A342" s="249" t="n"/>
      <c r="B342" s="249" t="n"/>
      <c r="C342" s="249" t="n"/>
      <c r="D342" s="249" t="n"/>
      <c r="E342" s="249" t="n"/>
      <c r="F342" s="249" t="n"/>
      <c r="G342" s="249" t="n"/>
    </row>
    <row r="343" ht="13" customHeight="1" s="250">
      <c r="A343" s="249" t="n"/>
      <c r="B343" s="249" t="n"/>
      <c r="C343" s="249" t="n"/>
      <c r="D343" s="249" t="n"/>
      <c r="E343" s="249" t="n"/>
      <c r="F343" s="249" t="n"/>
      <c r="G343" s="249" t="n"/>
    </row>
    <row r="344" ht="13" customHeight="1" s="250">
      <c r="A344" s="249" t="n"/>
      <c r="B344" s="249" t="n"/>
      <c r="C344" s="249" t="n"/>
      <c r="D344" s="249" t="n"/>
      <c r="E344" s="249" t="n"/>
      <c r="F344" s="249" t="n"/>
      <c r="G344" s="249" t="n"/>
    </row>
    <row r="345" ht="13" customHeight="1" s="250">
      <c r="A345" s="249" t="n"/>
      <c r="B345" s="249" t="n"/>
      <c r="C345" s="249" t="n"/>
      <c r="D345" s="249" t="n"/>
      <c r="E345" s="249" t="n"/>
      <c r="F345" s="249" t="n"/>
      <c r="G345" s="249" t="n"/>
    </row>
    <row r="346" ht="13" customHeight="1" s="250">
      <c r="A346" s="249" t="n"/>
      <c r="B346" s="249" t="n"/>
      <c r="C346" s="249" t="n"/>
      <c r="D346" s="249" t="n"/>
      <c r="E346" s="249" t="n"/>
      <c r="F346" s="249" t="n"/>
      <c r="G346" s="249" t="n"/>
    </row>
    <row r="347" ht="13" customHeight="1" s="250">
      <c r="A347" s="249" t="n"/>
      <c r="B347" s="249" t="n"/>
      <c r="C347" s="249" t="n"/>
      <c r="D347" s="249" t="n"/>
      <c r="E347" s="249" t="n"/>
      <c r="F347" s="249" t="n"/>
      <c r="G347" s="249" t="n"/>
    </row>
    <row r="348" ht="13" customHeight="1" s="250">
      <c r="A348" s="249" t="n"/>
      <c r="B348" s="249" t="n"/>
      <c r="C348" s="249" t="n"/>
      <c r="D348" s="249" t="n"/>
      <c r="E348" s="249" t="n"/>
      <c r="F348" s="249" t="n"/>
      <c r="G348" s="249" t="n"/>
    </row>
    <row r="349" ht="13" customHeight="1" s="250">
      <c r="A349" s="249" t="n"/>
      <c r="B349" s="249" t="n"/>
      <c r="C349" s="249" t="n"/>
      <c r="D349" s="249" t="n"/>
      <c r="E349" s="249" t="n"/>
      <c r="F349" s="249" t="n"/>
      <c r="G349" s="249" t="n"/>
    </row>
    <row r="350" ht="13" customHeight="1" s="250">
      <c r="A350" s="249" t="n"/>
      <c r="B350" s="249" t="n"/>
      <c r="C350" s="249" t="n"/>
      <c r="D350" s="249" t="n"/>
      <c r="E350" s="249" t="n"/>
      <c r="F350" s="249" t="n"/>
      <c r="G350" s="249" t="n"/>
    </row>
    <row r="351" ht="13" customHeight="1" s="250">
      <c r="A351" s="249" t="n"/>
      <c r="B351" s="249" t="n"/>
      <c r="C351" s="249" t="n"/>
      <c r="D351" s="249" t="n"/>
      <c r="E351" s="249" t="n"/>
      <c r="F351" s="249" t="n"/>
      <c r="G351" s="249" t="n"/>
    </row>
    <row r="352" ht="13" customHeight="1" s="250">
      <c r="A352" s="249" t="n"/>
      <c r="B352" s="249" t="n"/>
      <c r="C352" s="249" t="n"/>
      <c r="D352" s="249" t="n"/>
      <c r="E352" s="249" t="n"/>
      <c r="F352" s="249" t="n"/>
      <c r="G352" s="249" t="n"/>
    </row>
    <row r="353" ht="13" customHeight="1" s="250">
      <c r="A353" s="249" t="n"/>
      <c r="B353" s="249" t="n"/>
      <c r="C353" s="249" t="n"/>
      <c r="D353" s="249" t="n"/>
      <c r="E353" s="249" t="n"/>
      <c r="F353" s="249" t="n"/>
      <c r="G353" s="249" t="n"/>
    </row>
    <row r="354" ht="13" customHeight="1" s="250">
      <c r="A354" s="249" t="n"/>
      <c r="B354" s="249" t="n"/>
      <c r="C354" s="249" t="n"/>
      <c r="D354" s="249" t="n"/>
      <c r="E354" s="249" t="n"/>
      <c r="F354" s="249" t="n"/>
      <c r="G354" s="249" t="n"/>
    </row>
    <row r="355" ht="13" customHeight="1" s="250">
      <c r="A355" s="249" t="n"/>
      <c r="B355" s="249" t="n"/>
      <c r="C355" s="249" t="n"/>
      <c r="D355" s="249" t="n"/>
      <c r="E355" s="249" t="n"/>
      <c r="F355" s="249" t="n"/>
      <c r="G355" s="249" t="n"/>
    </row>
    <row r="356" ht="13" customHeight="1" s="250">
      <c r="A356" s="249" t="n"/>
      <c r="B356" s="249" t="n"/>
      <c r="C356" s="249" t="n"/>
      <c r="D356" s="249" t="n"/>
      <c r="E356" s="249" t="n"/>
      <c r="F356" s="249" t="n"/>
      <c r="G356" s="249" t="n"/>
    </row>
    <row r="357" ht="13" customHeight="1" s="250">
      <c r="A357" s="249" t="n"/>
      <c r="B357" s="249" t="n"/>
      <c r="C357" s="249" t="n"/>
      <c r="D357" s="249" t="n"/>
      <c r="E357" s="249" t="n"/>
      <c r="F357" s="249" t="n"/>
      <c r="G357" s="249" t="n"/>
    </row>
    <row r="358" ht="13" customHeight="1" s="250">
      <c r="A358" s="249" t="n"/>
      <c r="B358" s="249" t="n"/>
      <c r="C358" s="249" t="n"/>
      <c r="D358" s="249" t="n"/>
      <c r="E358" s="249" t="n"/>
      <c r="F358" s="249" t="n"/>
      <c r="G358" s="249" t="n"/>
    </row>
    <row r="359" ht="13" customHeight="1" s="250">
      <c r="A359" s="249" t="n"/>
      <c r="B359" s="249" t="n"/>
      <c r="C359" s="249" t="n"/>
      <c r="D359" s="249" t="n"/>
      <c r="E359" s="249" t="n"/>
      <c r="F359" s="249" t="n"/>
      <c r="G359" s="249" t="n"/>
    </row>
    <row r="360" ht="13" customHeight="1" s="250">
      <c r="A360" s="249" t="n"/>
      <c r="B360" s="249" t="n"/>
      <c r="C360" s="249" t="n"/>
      <c r="D360" s="249" t="n"/>
      <c r="E360" s="249" t="n"/>
      <c r="F360" s="249" t="n"/>
      <c r="G360" s="249" t="n"/>
    </row>
    <row r="361" ht="13" customHeight="1" s="250">
      <c r="A361" s="249" t="n"/>
      <c r="B361" s="249" t="n"/>
      <c r="C361" s="249" t="n"/>
      <c r="D361" s="249" t="n"/>
      <c r="E361" s="249" t="n"/>
      <c r="F361" s="249" t="n"/>
      <c r="G361" s="249" t="n"/>
    </row>
    <row r="362" ht="13" customHeight="1" s="250">
      <c r="A362" s="249" t="n"/>
      <c r="B362" s="249" t="n"/>
      <c r="C362" s="249" t="n"/>
      <c r="D362" s="249" t="n"/>
      <c r="E362" s="249" t="n"/>
      <c r="F362" s="249" t="n"/>
      <c r="G362" s="249" t="n"/>
    </row>
    <row r="363" ht="13" customHeight="1" s="250">
      <c r="A363" s="249" t="n"/>
      <c r="B363" s="249" t="n"/>
      <c r="C363" s="249" t="n"/>
      <c r="D363" s="249" t="n"/>
      <c r="E363" s="249" t="n"/>
      <c r="F363" s="249" t="n"/>
      <c r="G363" s="249" t="n"/>
    </row>
    <row r="364" ht="13" customHeight="1" s="250">
      <c r="A364" s="249" t="n"/>
      <c r="B364" s="249" t="n"/>
      <c r="C364" s="249" t="n"/>
      <c r="D364" s="249" t="n"/>
      <c r="E364" s="249" t="n"/>
      <c r="F364" s="249" t="n"/>
      <c r="G364" s="249" t="n"/>
    </row>
    <row r="365" ht="13" customHeight="1" s="250">
      <c r="A365" s="249" t="n"/>
      <c r="B365" s="249" t="n"/>
      <c r="C365" s="249" t="n"/>
      <c r="D365" s="249" t="n"/>
      <c r="E365" s="249" t="n"/>
      <c r="F365" s="249" t="n"/>
      <c r="G365" s="249" t="n"/>
    </row>
    <row r="366" ht="13" customHeight="1" s="250">
      <c r="A366" s="249" t="n"/>
      <c r="B366" s="249" t="n"/>
      <c r="C366" s="249" t="n"/>
      <c r="D366" s="249" t="n"/>
      <c r="E366" s="249" t="n"/>
      <c r="F366" s="249" t="n"/>
      <c r="G366" s="249" t="n"/>
    </row>
    <row r="367" ht="13" customHeight="1" s="250">
      <c r="A367" s="249" t="n"/>
      <c r="B367" s="249" t="n"/>
      <c r="C367" s="249" t="n"/>
      <c r="D367" s="249" t="n"/>
      <c r="E367" s="249" t="n"/>
      <c r="F367" s="249" t="n"/>
      <c r="G367" s="249" t="n"/>
    </row>
    <row r="368" ht="13" customHeight="1" s="250">
      <c r="A368" s="249" t="n"/>
      <c r="B368" s="249" t="n"/>
      <c r="C368" s="249" t="n"/>
      <c r="D368" s="249" t="n"/>
      <c r="E368" s="249" t="n"/>
      <c r="F368" s="249" t="n"/>
      <c r="G368" s="249" t="n"/>
    </row>
    <row r="369" ht="13" customHeight="1" s="250">
      <c r="A369" s="249" t="n"/>
      <c r="B369" s="249" t="n"/>
      <c r="C369" s="249" t="n"/>
      <c r="D369" s="249" t="n"/>
      <c r="E369" s="249" t="n"/>
      <c r="F369" s="249" t="n"/>
      <c r="G369" s="249" t="n"/>
    </row>
    <row r="370" ht="13" customHeight="1" s="250">
      <c r="A370" s="249" t="n"/>
      <c r="B370" s="249" t="n"/>
      <c r="C370" s="249" t="n"/>
      <c r="D370" s="249" t="n"/>
      <c r="E370" s="249" t="n"/>
      <c r="F370" s="249" t="n"/>
      <c r="G370" s="249" t="n"/>
    </row>
    <row r="371" ht="13" customHeight="1" s="250">
      <c r="A371" s="249" t="n"/>
      <c r="B371" s="249" t="n"/>
      <c r="C371" s="249" t="n"/>
      <c r="D371" s="249" t="n"/>
      <c r="E371" s="249" t="n"/>
      <c r="F371" s="249" t="n"/>
      <c r="G371" s="249" t="n"/>
    </row>
    <row r="372" ht="13" customHeight="1" s="250">
      <c r="A372" s="249" t="n"/>
      <c r="B372" s="249" t="n"/>
      <c r="C372" s="249" t="n"/>
      <c r="D372" s="249" t="n"/>
      <c r="E372" s="249" t="n"/>
      <c r="F372" s="249" t="n"/>
      <c r="G372" s="249" t="n"/>
    </row>
    <row r="373" ht="13" customHeight="1" s="250">
      <c r="A373" s="249" t="n"/>
      <c r="B373" s="249" t="n"/>
      <c r="C373" s="249" t="n"/>
      <c r="D373" s="249" t="n"/>
      <c r="E373" s="249" t="n"/>
      <c r="F373" s="249" t="n"/>
      <c r="G373" s="249" t="n"/>
    </row>
    <row r="374" ht="13" customHeight="1" s="250">
      <c r="A374" s="249" t="n"/>
      <c r="B374" s="249" t="n"/>
      <c r="C374" s="249" t="n"/>
      <c r="D374" s="249" t="n"/>
      <c r="E374" s="249" t="n"/>
      <c r="F374" s="249" t="n"/>
      <c r="G374" s="249" t="n"/>
    </row>
    <row r="375" ht="13" customHeight="1" s="250">
      <c r="A375" s="249" t="n"/>
      <c r="B375" s="249" t="n"/>
      <c r="C375" s="249" t="n"/>
      <c r="D375" s="249" t="n"/>
      <c r="E375" s="249" t="n"/>
      <c r="F375" s="249" t="n"/>
      <c r="G375" s="249" t="n"/>
    </row>
    <row r="376" ht="13" customHeight="1" s="250">
      <c r="A376" s="249" t="n"/>
      <c r="B376" s="249" t="n"/>
      <c r="C376" s="249" t="n"/>
      <c r="D376" s="249" t="n"/>
      <c r="E376" s="249" t="n"/>
      <c r="F376" s="249" t="n"/>
      <c r="G376" s="249" t="n"/>
    </row>
    <row r="377" ht="13" customHeight="1" s="250">
      <c r="A377" s="249" t="n"/>
      <c r="B377" s="249" t="n"/>
      <c r="C377" s="249" t="n"/>
      <c r="D377" s="249" t="n"/>
      <c r="E377" s="249" t="n"/>
      <c r="F377" s="249" t="n"/>
      <c r="G377" s="249" t="n"/>
    </row>
    <row r="378" ht="13" customHeight="1" s="250">
      <c r="A378" s="249" t="n"/>
      <c r="B378" s="249" t="n"/>
      <c r="C378" s="249" t="n"/>
      <c r="D378" s="249" t="n"/>
      <c r="E378" s="249" t="n"/>
      <c r="F378" s="249" t="n"/>
      <c r="G378" s="249" t="n"/>
    </row>
    <row r="379" ht="13" customHeight="1" s="250">
      <c r="A379" s="249" t="n"/>
      <c r="B379" s="249" t="n"/>
      <c r="C379" s="249" t="n"/>
      <c r="D379" s="249" t="n"/>
      <c r="E379" s="249" t="n"/>
      <c r="F379" s="249" t="n"/>
      <c r="G379" s="249" t="n"/>
    </row>
    <row r="380" ht="13" customHeight="1" s="250">
      <c r="A380" s="249" t="n"/>
      <c r="B380" s="249" t="n"/>
      <c r="C380" s="249" t="n"/>
      <c r="D380" s="249" t="n"/>
      <c r="E380" s="249" t="n"/>
      <c r="F380" s="249" t="n"/>
      <c r="G380" s="249" t="n"/>
    </row>
    <row r="381" ht="13" customHeight="1" s="250">
      <c r="A381" s="249" t="n"/>
      <c r="B381" s="249" t="n"/>
      <c r="C381" s="249" t="n"/>
      <c r="D381" s="249" t="n"/>
      <c r="E381" s="249" t="n"/>
      <c r="F381" s="249" t="n"/>
      <c r="G381" s="249" t="n"/>
    </row>
    <row r="382" ht="13" customHeight="1" s="250">
      <c r="A382" s="249" t="n"/>
      <c r="B382" s="249" t="n"/>
      <c r="C382" s="249" t="n"/>
      <c r="D382" s="249" t="n"/>
      <c r="E382" s="249" t="n"/>
      <c r="F382" s="249" t="n"/>
      <c r="G382" s="249" t="n"/>
    </row>
    <row r="383" ht="13" customHeight="1" s="250">
      <c r="A383" s="249" t="n"/>
      <c r="B383" s="249" t="n"/>
      <c r="C383" s="249" t="n"/>
      <c r="D383" s="249" t="n"/>
      <c r="E383" s="249" t="n"/>
      <c r="F383" s="249" t="n"/>
      <c r="G383" s="249" t="n"/>
    </row>
    <row r="384" ht="13" customHeight="1" s="250">
      <c r="A384" s="249" t="n"/>
      <c r="B384" s="249" t="n"/>
      <c r="C384" s="249" t="n"/>
      <c r="D384" s="249" t="n"/>
      <c r="E384" s="249" t="n"/>
      <c r="F384" s="249" t="n"/>
      <c r="G384" s="249" t="n"/>
    </row>
    <row r="385" ht="13" customHeight="1" s="250">
      <c r="A385" s="249" t="n"/>
      <c r="B385" s="249" t="n"/>
      <c r="C385" s="249" t="n"/>
      <c r="D385" s="249" t="n"/>
      <c r="E385" s="249" t="n"/>
      <c r="F385" s="249" t="n"/>
      <c r="G385" s="249" t="n"/>
    </row>
    <row r="386" ht="13" customHeight="1" s="250">
      <c r="A386" s="249" t="n"/>
      <c r="B386" s="249" t="n"/>
      <c r="C386" s="249" t="n"/>
      <c r="D386" s="249" t="n"/>
      <c r="E386" s="249" t="n"/>
      <c r="F386" s="249" t="n"/>
      <c r="G386" s="249" t="n"/>
    </row>
    <row r="387" ht="13" customHeight="1" s="250">
      <c r="A387" s="249" t="n"/>
      <c r="B387" s="249" t="n"/>
      <c r="C387" s="249" t="n"/>
      <c r="D387" s="249" t="n"/>
      <c r="E387" s="249" t="n"/>
      <c r="F387" s="249" t="n"/>
      <c r="G387" s="249" t="n"/>
    </row>
    <row r="388" ht="13" customHeight="1" s="250">
      <c r="A388" s="249" t="n"/>
      <c r="B388" s="249" t="n"/>
      <c r="C388" s="249" t="n"/>
      <c r="D388" s="249" t="n"/>
      <c r="E388" s="249" t="n"/>
      <c r="F388" s="249" t="n"/>
      <c r="G388" s="249" t="n"/>
    </row>
    <row r="389" ht="13" customHeight="1" s="250">
      <c r="A389" s="249" t="n"/>
      <c r="B389" s="249" t="n"/>
      <c r="C389" s="249" t="n"/>
      <c r="D389" s="249" t="n"/>
      <c r="E389" s="249" t="n"/>
      <c r="F389" s="249" t="n"/>
      <c r="G389" s="249" t="n"/>
    </row>
    <row r="390" ht="13" customHeight="1" s="250">
      <c r="A390" s="249" t="n"/>
      <c r="B390" s="249" t="n"/>
      <c r="C390" s="249" t="n"/>
      <c r="D390" s="249" t="n"/>
      <c r="E390" s="249" t="n"/>
      <c r="F390" s="249" t="n"/>
      <c r="G390" s="249" t="n"/>
    </row>
    <row r="391" ht="13" customHeight="1" s="250">
      <c r="A391" s="249" t="n"/>
      <c r="B391" s="249" t="n"/>
      <c r="C391" s="249" t="n"/>
      <c r="D391" s="249" t="n"/>
      <c r="E391" s="249" t="n"/>
      <c r="F391" s="249" t="n"/>
      <c r="G391" s="249" t="n"/>
    </row>
    <row r="392" ht="13" customHeight="1" s="250">
      <c r="A392" s="249" t="n"/>
      <c r="B392" s="249" t="n"/>
      <c r="C392" s="249" t="n"/>
      <c r="D392" s="249" t="n"/>
      <c r="E392" s="249" t="n"/>
      <c r="F392" s="249" t="n"/>
      <c r="G392" s="249" t="n"/>
    </row>
    <row r="393" ht="13" customHeight="1" s="250">
      <c r="A393" s="249" t="n"/>
      <c r="B393" s="249" t="n"/>
      <c r="C393" s="249" t="n"/>
      <c r="D393" s="249" t="n"/>
      <c r="E393" s="249" t="n"/>
      <c r="F393" s="249" t="n"/>
      <c r="G393" s="249" t="n"/>
    </row>
    <row r="394" ht="13" customHeight="1" s="250">
      <c r="A394" s="249" t="n"/>
      <c r="B394" s="249" t="n"/>
      <c r="C394" s="249" t="n"/>
      <c r="D394" s="249" t="n"/>
      <c r="E394" s="249" t="n"/>
      <c r="F394" s="249" t="n"/>
      <c r="G394" s="249" t="n"/>
    </row>
    <row r="395" ht="13" customHeight="1" s="250">
      <c r="A395" s="249" t="n"/>
      <c r="B395" s="249" t="n"/>
      <c r="C395" s="249" t="n"/>
      <c r="D395" s="249" t="n"/>
      <c r="E395" s="249" t="n"/>
      <c r="F395" s="249" t="n"/>
      <c r="G395" s="249" t="n"/>
    </row>
    <row r="396" ht="13" customHeight="1" s="250">
      <c r="A396" s="249" t="n"/>
      <c r="B396" s="249" t="n"/>
      <c r="C396" s="249" t="n"/>
      <c r="D396" s="249" t="n"/>
      <c r="E396" s="249" t="n"/>
      <c r="F396" s="249" t="n"/>
      <c r="G396" s="249" t="n"/>
    </row>
    <row r="397" ht="13" customHeight="1" s="250">
      <c r="A397" s="249" t="n"/>
      <c r="B397" s="249" t="n"/>
      <c r="C397" s="249" t="n"/>
      <c r="D397" s="249" t="n"/>
      <c r="E397" s="249" t="n"/>
      <c r="F397" s="249" t="n"/>
      <c r="G397" s="249" t="n"/>
    </row>
    <row r="398" ht="13" customHeight="1" s="250">
      <c r="A398" s="249" t="n"/>
      <c r="B398" s="249" t="n"/>
      <c r="C398" s="249" t="n"/>
      <c r="D398" s="249" t="n"/>
      <c r="E398" s="249" t="n"/>
      <c r="F398" s="249" t="n"/>
      <c r="G398" s="249" t="n"/>
    </row>
    <row r="399" ht="13" customHeight="1" s="250">
      <c r="A399" s="249" t="n"/>
      <c r="B399" s="249" t="n"/>
      <c r="C399" s="249" t="n"/>
      <c r="D399" s="249" t="n"/>
      <c r="E399" s="249" t="n"/>
      <c r="F399" s="249" t="n"/>
      <c r="G399" s="249" t="n"/>
    </row>
    <row r="400" ht="13" customHeight="1" s="250">
      <c r="A400" s="249" t="n"/>
      <c r="B400" s="249" t="n"/>
      <c r="C400" s="249" t="n"/>
      <c r="D400" s="249" t="n"/>
      <c r="E400" s="249" t="n"/>
      <c r="F400" s="249" t="n"/>
      <c r="G400" s="249" t="n"/>
    </row>
    <row r="401" ht="13" customHeight="1" s="250">
      <c r="A401" s="249" t="n"/>
      <c r="B401" s="249" t="n"/>
      <c r="C401" s="249" t="n"/>
      <c r="D401" s="249" t="n"/>
      <c r="E401" s="249" t="n"/>
      <c r="F401" s="249" t="n"/>
      <c r="G401" s="249" t="n"/>
    </row>
    <row r="402" ht="13" customHeight="1" s="250">
      <c r="A402" s="249" t="n"/>
      <c r="B402" s="249" t="n"/>
      <c r="C402" s="249" t="n"/>
      <c r="D402" s="249" t="n"/>
      <c r="E402" s="249" t="n"/>
      <c r="F402" s="249" t="n"/>
      <c r="G402" s="249" t="n"/>
    </row>
    <row r="403" ht="13" customHeight="1" s="250">
      <c r="A403" s="249" t="n"/>
      <c r="B403" s="249" t="n"/>
      <c r="C403" s="249" t="n"/>
      <c r="D403" s="249" t="n"/>
      <c r="E403" s="249" t="n"/>
      <c r="F403" s="249" t="n"/>
      <c r="G403" s="249" t="n"/>
    </row>
    <row r="404" ht="13" customHeight="1" s="250">
      <c r="A404" s="249" t="n"/>
      <c r="B404" s="249" t="n"/>
      <c r="C404" s="249" t="n"/>
      <c r="D404" s="249" t="n"/>
      <c r="E404" s="249" t="n"/>
      <c r="F404" s="249" t="n"/>
      <c r="G404" s="249" t="n"/>
    </row>
    <row r="405" ht="13" customHeight="1" s="250">
      <c r="A405" s="249" t="n"/>
      <c r="B405" s="249" t="n"/>
      <c r="C405" s="249" t="n"/>
      <c r="D405" s="249" t="n"/>
      <c r="E405" s="249" t="n"/>
      <c r="F405" s="249" t="n"/>
      <c r="G405" s="249" t="n"/>
    </row>
    <row r="406" ht="13" customHeight="1" s="250">
      <c r="A406" s="249" t="n"/>
      <c r="B406" s="249" t="n"/>
      <c r="C406" s="249" t="n"/>
      <c r="D406" s="249" t="n"/>
      <c r="E406" s="249" t="n"/>
      <c r="F406" s="249" t="n"/>
      <c r="G406" s="249" t="n"/>
    </row>
    <row r="407" ht="13" customHeight="1" s="250">
      <c r="A407" s="249" t="n"/>
      <c r="B407" s="249" t="n"/>
      <c r="C407" s="249" t="n"/>
      <c r="D407" s="249" t="n"/>
      <c r="E407" s="249" t="n"/>
      <c r="F407" s="249" t="n"/>
      <c r="G407" s="249" t="n"/>
    </row>
    <row r="408" ht="13" customHeight="1" s="250">
      <c r="A408" s="249" t="n"/>
      <c r="B408" s="249" t="n"/>
      <c r="C408" s="249" t="n"/>
      <c r="D408" s="249" t="n"/>
      <c r="E408" s="249" t="n"/>
      <c r="F408" s="249" t="n"/>
      <c r="G408" s="249" t="n"/>
    </row>
    <row r="409" ht="13" customHeight="1" s="250">
      <c r="A409" s="249" t="n"/>
      <c r="B409" s="249" t="n"/>
      <c r="C409" s="249" t="n"/>
      <c r="D409" s="249" t="n"/>
      <c r="E409" s="249" t="n"/>
      <c r="F409" s="249" t="n"/>
      <c r="G409" s="249" t="n"/>
    </row>
    <row r="410" ht="13" customHeight="1" s="250">
      <c r="A410" s="249" t="n"/>
      <c r="B410" s="249" t="n"/>
      <c r="C410" s="249" t="n"/>
      <c r="D410" s="249" t="n"/>
      <c r="E410" s="249" t="n"/>
      <c r="F410" s="249" t="n"/>
      <c r="G410" s="249" t="n"/>
    </row>
    <row r="411" ht="13" customHeight="1" s="250">
      <c r="A411" s="249" t="n"/>
      <c r="B411" s="249" t="n"/>
      <c r="C411" s="249" t="n"/>
      <c r="D411" s="249" t="n"/>
      <c r="E411" s="249" t="n"/>
      <c r="F411" s="249" t="n"/>
      <c r="G411" s="249" t="n"/>
    </row>
    <row r="412" ht="13" customHeight="1" s="250">
      <c r="A412" s="249" t="n"/>
      <c r="B412" s="249" t="n"/>
      <c r="C412" s="249" t="n"/>
      <c r="D412" s="249" t="n"/>
      <c r="E412" s="249" t="n"/>
      <c r="F412" s="249" t="n"/>
      <c r="G412" s="249" t="n"/>
    </row>
    <row r="413" ht="13" customHeight="1" s="250">
      <c r="A413" s="249" t="n"/>
      <c r="B413" s="249" t="n"/>
      <c r="C413" s="249" t="n"/>
      <c r="D413" s="249" t="n"/>
      <c r="E413" s="249" t="n"/>
      <c r="F413" s="249" t="n"/>
      <c r="G413" s="249" t="n"/>
    </row>
    <row r="414" ht="13" customHeight="1" s="250">
      <c r="A414" s="249" t="n"/>
      <c r="B414" s="249" t="n"/>
      <c r="C414" s="249" t="n"/>
      <c r="D414" s="249" t="n"/>
      <c r="E414" s="249" t="n"/>
      <c r="F414" s="249" t="n"/>
      <c r="G414" s="249" t="n"/>
    </row>
    <row r="415" ht="13" customHeight="1" s="250">
      <c r="A415" s="249" t="n"/>
      <c r="B415" s="249" t="n"/>
      <c r="C415" s="249" t="n"/>
      <c r="D415" s="249" t="n"/>
      <c r="E415" s="249" t="n"/>
      <c r="F415" s="249" t="n"/>
      <c r="G415" s="249" t="n"/>
    </row>
    <row r="416" ht="13" customHeight="1" s="250">
      <c r="A416" s="249" t="n"/>
      <c r="B416" s="249" t="n"/>
      <c r="C416" s="249" t="n"/>
      <c r="D416" s="249" t="n"/>
      <c r="E416" s="249" t="n"/>
      <c r="F416" s="249" t="n"/>
      <c r="G416" s="249" t="n"/>
    </row>
    <row r="417" ht="13" customHeight="1" s="250">
      <c r="A417" s="249" t="n"/>
      <c r="B417" s="249" t="n"/>
      <c r="C417" s="249" t="n"/>
      <c r="D417" s="249" t="n"/>
      <c r="E417" s="249" t="n"/>
      <c r="F417" s="249" t="n"/>
      <c r="G417" s="249" t="n"/>
    </row>
    <row r="418" ht="13" customHeight="1" s="250">
      <c r="A418" s="249" t="n"/>
      <c r="B418" s="249" t="n"/>
      <c r="C418" s="249" t="n"/>
      <c r="D418" s="249" t="n"/>
      <c r="E418" s="249" t="n"/>
      <c r="F418" s="249" t="n"/>
      <c r="G418" s="249" t="n"/>
    </row>
    <row r="419" ht="13" customHeight="1" s="250">
      <c r="A419" s="249" t="n"/>
      <c r="B419" s="249" t="n"/>
      <c r="C419" s="249" t="n"/>
      <c r="D419" s="249" t="n"/>
      <c r="E419" s="249" t="n"/>
      <c r="F419" s="249" t="n"/>
      <c r="G419" s="249" t="n"/>
    </row>
    <row r="420" ht="13" customHeight="1" s="250">
      <c r="A420" s="249" t="n"/>
      <c r="B420" s="249" t="n"/>
      <c r="C420" s="249" t="n"/>
      <c r="D420" s="249" t="n"/>
      <c r="E420" s="249" t="n"/>
      <c r="F420" s="249" t="n"/>
      <c r="G420" s="249" t="n"/>
    </row>
    <row r="421" ht="13" customHeight="1" s="250">
      <c r="A421" s="249" t="n"/>
      <c r="B421" s="249" t="n"/>
      <c r="C421" s="249" t="n"/>
      <c r="D421" s="249" t="n"/>
      <c r="E421" s="249" t="n"/>
      <c r="F421" s="249" t="n"/>
      <c r="G421" s="249" t="n"/>
    </row>
    <row r="422" ht="13" customHeight="1" s="250">
      <c r="A422" s="249" t="n"/>
      <c r="B422" s="249" t="n"/>
      <c r="C422" s="249" t="n"/>
      <c r="D422" s="249" t="n"/>
      <c r="E422" s="249" t="n"/>
      <c r="F422" s="249" t="n"/>
      <c r="G422" s="249" t="n"/>
    </row>
    <row r="423" ht="13" customHeight="1" s="250">
      <c r="A423" s="249" t="n"/>
      <c r="B423" s="249" t="n"/>
      <c r="C423" s="249" t="n"/>
      <c r="D423" s="249" t="n"/>
      <c r="E423" s="249" t="n"/>
      <c r="F423" s="249" t="n"/>
      <c r="G423" s="249" t="n"/>
    </row>
    <row r="424" ht="13" customHeight="1" s="250">
      <c r="A424" s="249" t="n"/>
      <c r="B424" s="249" t="n"/>
      <c r="C424" s="249" t="n"/>
      <c r="D424" s="249" t="n"/>
      <c r="E424" s="249" t="n"/>
      <c r="F424" s="249" t="n"/>
      <c r="G424" s="249" t="n"/>
    </row>
    <row r="425" ht="13" customHeight="1" s="250">
      <c r="A425" s="249" t="n"/>
      <c r="B425" s="249" t="n"/>
      <c r="C425" s="249" t="n"/>
      <c r="D425" s="249" t="n"/>
      <c r="E425" s="249" t="n"/>
      <c r="F425" s="249" t="n"/>
      <c r="G425" s="249" t="n"/>
    </row>
    <row r="426" ht="13" customHeight="1" s="250">
      <c r="A426" s="249" t="n"/>
      <c r="B426" s="249" t="n"/>
      <c r="C426" s="249" t="n"/>
      <c r="D426" s="249" t="n"/>
      <c r="E426" s="249" t="n"/>
      <c r="F426" s="249" t="n"/>
      <c r="G426" s="249" t="n"/>
    </row>
    <row r="427" ht="13" customHeight="1" s="250">
      <c r="A427" s="249" t="n"/>
      <c r="B427" s="249" t="n"/>
      <c r="C427" s="249" t="n"/>
      <c r="D427" s="249" t="n"/>
      <c r="E427" s="249" t="n"/>
      <c r="F427" s="249" t="n"/>
      <c r="G427" s="249" t="n"/>
    </row>
    <row r="428" ht="13" customHeight="1" s="250">
      <c r="A428" s="249" t="n"/>
      <c r="B428" s="249" t="n"/>
      <c r="C428" s="249" t="n"/>
      <c r="D428" s="249" t="n"/>
      <c r="E428" s="249" t="n"/>
      <c r="F428" s="249" t="n"/>
      <c r="G428" s="249" t="n"/>
    </row>
    <row r="429" ht="13" customHeight="1" s="250">
      <c r="A429" s="249" t="n"/>
      <c r="B429" s="249" t="n"/>
      <c r="C429" s="249" t="n"/>
      <c r="D429" s="249" t="n"/>
      <c r="E429" s="249" t="n"/>
      <c r="F429" s="249" t="n"/>
      <c r="G429" s="249" t="n"/>
    </row>
    <row r="430" ht="13" customHeight="1" s="250">
      <c r="A430" s="249" t="n"/>
      <c r="B430" s="249" t="n"/>
      <c r="C430" s="249" t="n"/>
      <c r="D430" s="249" t="n"/>
      <c r="E430" s="249" t="n"/>
      <c r="F430" s="249" t="n"/>
      <c r="G430" s="249" t="n"/>
    </row>
    <row r="431" ht="13" customHeight="1" s="250">
      <c r="A431" s="249" t="n"/>
      <c r="B431" s="249" t="n"/>
      <c r="C431" s="249" t="n"/>
      <c r="D431" s="249" t="n"/>
      <c r="E431" s="249" t="n"/>
      <c r="F431" s="249" t="n"/>
      <c r="G431" s="249" t="n"/>
    </row>
    <row r="432" ht="13" customHeight="1" s="250">
      <c r="A432" s="249" t="n"/>
      <c r="B432" s="249" t="n"/>
      <c r="C432" s="249" t="n"/>
      <c r="D432" s="249" t="n"/>
      <c r="E432" s="249" t="n"/>
      <c r="F432" s="249" t="n"/>
      <c r="G432" s="249" t="n"/>
    </row>
    <row r="433" ht="13" customHeight="1" s="250">
      <c r="A433" s="249" t="n"/>
      <c r="B433" s="249" t="n"/>
      <c r="C433" s="249" t="n"/>
      <c r="D433" s="249" t="n"/>
      <c r="E433" s="249" t="n"/>
      <c r="F433" s="249" t="n"/>
      <c r="G433" s="249" t="n"/>
    </row>
    <row r="434" ht="13" customHeight="1" s="250">
      <c r="A434" s="249" t="n"/>
      <c r="B434" s="249" t="n"/>
      <c r="C434" s="249" t="n"/>
      <c r="D434" s="249" t="n"/>
      <c r="E434" s="249" t="n"/>
      <c r="F434" s="249" t="n"/>
      <c r="G434" s="249" t="n"/>
    </row>
    <row r="435" ht="13" customHeight="1" s="250">
      <c r="A435" s="249" t="n"/>
      <c r="B435" s="249" t="n"/>
      <c r="C435" s="249" t="n"/>
      <c r="D435" s="249" t="n"/>
      <c r="E435" s="249" t="n"/>
      <c r="F435" s="249" t="n"/>
      <c r="G435" s="249" t="n"/>
    </row>
    <row r="436" ht="13" customHeight="1" s="250">
      <c r="A436" s="249" t="n"/>
      <c r="B436" s="249" t="n"/>
      <c r="C436" s="249" t="n"/>
      <c r="D436" s="249" t="n"/>
      <c r="E436" s="249" t="n"/>
      <c r="F436" s="249" t="n"/>
      <c r="G436" s="249" t="n"/>
    </row>
    <row r="437" ht="13" customHeight="1" s="250">
      <c r="A437" s="249" t="n"/>
      <c r="B437" s="249" t="n"/>
      <c r="C437" s="249" t="n"/>
      <c r="D437" s="249" t="n"/>
      <c r="E437" s="249" t="n"/>
      <c r="F437" s="249" t="n"/>
      <c r="G437" s="249" t="n"/>
    </row>
    <row r="438" ht="13" customHeight="1" s="250">
      <c r="A438" s="249" t="n"/>
      <c r="B438" s="249" t="n"/>
      <c r="C438" s="249" t="n"/>
      <c r="D438" s="249" t="n"/>
      <c r="E438" s="249" t="n"/>
      <c r="F438" s="249" t="n"/>
      <c r="G438" s="249" t="n"/>
    </row>
    <row r="439" ht="13" customHeight="1" s="250">
      <c r="A439" s="249" t="n"/>
      <c r="B439" s="249" t="n"/>
      <c r="C439" s="249" t="n"/>
      <c r="D439" s="249" t="n"/>
      <c r="E439" s="249" t="n"/>
      <c r="F439" s="249" t="n"/>
      <c r="G439" s="249" t="n"/>
    </row>
    <row r="440" ht="13" customHeight="1" s="250">
      <c r="A440" s="249" t="n"/>
      <c r="B440" s="249" t="n"/>
      <c r="C440" s="249" t="n"/>
      <c r="D440" s="249" t="n"/>
      <c r="E440" s="249" t="n"/>
      <c r="F440" s="249" t="n"/>
      <c r="G440" s="249" t="n"/>
    </row>
    <row r="441" ht="13" customHeight="1" s="250">
      <c r="A441" s="249" t="n"/>
      <c r="B441" s="249" t="n"/>
      <c r="C441" s="249" t="n"/>
      <c r="D441" s="249" t="n"/>
      <c r="E441" s="249" t="n"/>
      <c r="F441" s="249" t="n"/>
      <c r="G441" s="249" t="n"/>
    </row>
    <row r="442" ht="13" customHeight="1" s="250">
      <c r="A442" s="249" t="n"/>
      <c r="B442" s="249" t="n"/>
      <c r="C442" s="249" t="n"/>
      <c r="D442" s="249" t="n"/>
      <c r="E442" s="249" t="n"/>
      <c r="F442" s="249" t="n"/>
      <c r="G442" s="249" t="n"/>
    </row>
    <row r="443" ht="13" customHeight="1" s="250">
      <c r="A443" s="249" t="n"/>
      <c r="B443" s="249" t="n"/>
      <c r="C443" s="249" t="n"/>
      <c r="D443" s="249" t="n"/>
      <c r="E443" s="249" t="n"/>
      <c r="F443" s="249" t="n"/>
      <c r="G443" s="249" t="n"/>
    </row>
    <row r="444" ht="13" customHeight="1" s="250">
      <c r="A444" s="249" t="n"/>
      <c r="B444" s="249" t="n"/>
      <c r="C444" s="249" t="n"/>
      <c r="D444" s="249" t="n"/>
      <c r="E444" s="249" t="n"/>
      <c r="F444" s="249" t="n"/>
      <c r="G444" s="249" t="n"/>
    </row>
    <row r="445" ht="13" customHeight="1" s="250">
      <c r="A445" s="249" t="n"/>
      <c r="B445" s="249" t="n"/>
      <c r="C445" s="249" t="n"/>
      <c r="D445" s="249" t="n"/>
      <c r="E445" s="249" t="n"/>
      <c r="F445" s="249" t="n"/>
      <c r="G445" s="249" t="n"/>
    </row>
    <row r="446" ht="13" customHeight="1" s="250">
      <c r="A446" s="249" t="n"/>
      <c r="B446" s="249" t="n"/>
      <c r="C446" s="249" t="n"/>
      <c r="D446" s="249" t="n"/>
      <c r="E446" s="249" t="n"/>
      <c r="F446" s="249" t="n"/>
      <c r="G446" s="249" t="n"/>
    </row>
    <row r="447" ht="13" customHeight="1" s="250">
      <c r="A447" s="249" t="n"/>
      <c r="B447" s="249" t="n"/>
      <c r="C447" s="249" t="n"/>
      <c r="D447" s="249" t="n"/>
      <c r="E447" s="249" t="n"/>
      <c r="F447" s="249" t="n"/>
      <c r="G447" s="249" t="n"/>
    </row>
    <row r="448" ht="13" customHeight="1" s="250">
      <c r="A448" s="249" t="n"/>
      <c r="B448" s="249" t="n"/>
      <c r="C448" s="249" t="n"/>
      <c r="D448" s="249" t="n"/>
      <c r="E448" s="249" t="n"/>
      <c r="F448" s="249" t="n"/>
      <c r="G448" s="249" t="n"/>
    </row>
    <row r="449" ht="13" customHeight="1" s="250">
      <c r="A449" s="249" t="n"/>
      <c r="B449" s="249" t="n"/>
      <c r="C449" s="249" t="n"/>
      <c r="D449" s="249" t="n"/>
      <c r="E449" s="249" t="n"/>
      <c r="F449" s="249" t="n"/>
      <c r="G449" s="249" t="n"/>
    </row>
    <row r="450" ht="13" customHeight="1" s="250">
      <c r="A450" s="249" t="n"/>
      <c r="B450" s="249" t="n"/>
      <c r="C450" s="249" t="n"/>
      <c r="D450" s="249" t="n"/>
      <c r="E450" s="249" t="n"/>
      <c r="F450" s="249" t="n"/>
      <c r="G450" s="249" t="n"/>
    </row>
    <row r="451" ht="13" customHeight="1" s="250">
      <c r="A451" s="249" t="n"/>
      <c r="B451" s="249" t="n"/>
      <c r="C451" s="249" t="n"/>
      <c r="D451" s="249" t="n"/>
      <c r="E451" s="249" t="n"/>
      <c r="F451" s="249" t="n"/>
      <c r="G451" s="249" t="n"/>
    </row>
    <row r="452" ht="13" customHeight="1" s="250">
      <c r="A452" s="249" t="n"/>
      <c r="B452" s="249" t="n"/>
      <c r="C452" s="249" t="n"/>
      <c r="D452" s="249" t="n"/>
      <c r="E452" s="249" t="n"/>
      <c r="F452" s="249" t="n"/>
      <c r="G452" s="249" t="n"/>
    </row>
    <row r="453" ht="13" customHeight="1" s="250">
      <c r="A453" s="249" t="n"/>
      <c r="B453" s="249" t="n"/>
      <c r="C453" s="249" t="n"/>
      <c r="D453" s="249" t="n"/>
      <c r="E453" s="249" t="n"/>
      <c r="F453" s="249" t="n"/>
      <c r="G453" s="249" t="n"/>
    </row>
    <row r="454" ht="13" customHeight="1" s="250">
      <c r="A454" s="249" t="n"/>
      <c r="B454" s="249" t="n"/>
      <c r="C454" s="249" t="n"/>
      <c r="D454" s="249" t="n"/>
      <c r="E454" s="249" t="n"/>
      <c r="F454" s="249" t="n"/>
      <c r="G454" s="249" t="n"/>
    </row>
    <row r="455" ht="13" customHeight="1" s="250">
      <c r="A455" s="249" t="n"/>
      <c r="B455" s="249" t="n"/>
      <c r="C455" s="249" t="n"/>
      <c r="D455" s="249" t="n"/>
      <c r="E455" s="249" t="n"/>
      <c r="F455" s="249" t="n"/>
      <c r="G455" s="249" t="n"/>
    </row>
    <row r="456" ht="13" customHeight="1" s="250">
      <c r="A456" s="249" t="n"/>
      <c r="B456" s="249" t="n"/>
      <c r="C456" s="249" t="n"/>
      <c r="D456" s="249" t="n"/>
      <c r="E456" s="249" t="n"/>
      <c r="F456" s="249" t="n"/>
      <c r="G456" s="249" t="n"/>
    </row>
    <row r="457" ht="13" customHeight="1" s="250">
      <c r="A457" s="249" t="n"/>
      <c r="B457" s="249" t="n"/>
      <c r="C457" s="249" t="n"/>
      <c r="D457" s="249" t="n"/>
      <c r="E457" s="249" t="n"/>
      <c r="F457" s="249" t="n"/>
      <c r="G457" s="249" t="n"/>
    </row>
    <row r="458" ht="13" customHeight="1" s="250">
      <c r="A458" s="249" t="n"/>
      <c r="B458" s="249" t="n"/>
      <c r="C458" s="249" t="n"/>
      <c r="D458" s="249" t="n"/>
      <c r="E458" s="249" t="n"/>
      <c r="F458" s="249" t="n"/>
      <c r="G458" s="249" t="n"/>
    </row>
    <row r="459" ht="13" customHeight="1" s="250">
      <c r="A459" s="249" t="n"/>
      <c r="B459" s="249" t="n"/>
      <c r="C459" s="249" t="n"/>
      <c r="D459" s="249" t="n"/>
      <c r="E459" s="249" t="n"/>
      <c r="F459" s="249" t="n"/>
      <c r="G459" s="249" t="n"/>
    </row>
    <row r="460" ht="13" customHeight="1" s="250">
      <c r="A460" s="249" t="n"/>
      <c r="B460" s="249" t="n"/>
      <c r="C460" s="249" t="n"/>
      <c r="D460" s="249" t="n"/>
      <c r="E460" s="249" t="n"/>
      <c r="F460" s="249" t="n"/>
      <c r="G460" s="249" t="n"/>
    </row>
    <row r="461" ht="13" customHeight="1" s="250">
      <c r="A461" s="249" t="n"/>
      <c r="B461" s="249" t="n"/>
      <c r="C461" s="249" t="n"/>
      <c r="D461" s="249" t="n"/>
      <c r="E461" s="249" t="n"/>
      <c r="F461" s="249" t="n"/>
      <c r="G461" s="249" t="n"/>
    </row>
    <row r="462" ht="13" customHeight="1" s="250">
      <c r="A462" s="249" t="n"/>
      <c r="B462" s="249" t="n"/>
      <c r="C462" s="249" t="n"/>
      <c r="D462" s="249" t="n"/>
      <c r="E462" s="249" t="n"/>
      <c r="F462" s="249" t="n"/>
      <c r="G462" s="249" t="n"/>
    </row>
    <row r="463" ht="13" customHeight="1" s="250">
      <c r="A463" s="249" t="n"/>
      <c r="B463" s="249" t="n"/>
      <c r="C463" s="249" t="n"/>
      <c r="D463" s="249" t="n"/>
      <c r="E463" s="249" t="n"/>
      <c r="F463" s="249" t="n"/>
      <c r="G463" s="249" t="n"/>
    </row>
    <row r="464" ht="13" customHeight="1" s="250">
      <c r="A464" s="249" t="n"/>
      <c r="B464" s="249" t="n"/>
      <c r="C464" s="249" t="n"/>
      <c r="D464" s="249" t="n"/>
      <c r="E464" s="249" t="n"/>
      <c r="F464" s="249" t="n"/>
      <c r="G464" s="249" t="n"/>
    </row>
    <row r="465" ht="13" customHeight="1" s="250">
      <c r="A465" s="249" t="n"/>
      <c r="B465" s="249" t="n"/>
      <c r="C465" s="249" t="n"/>
      <c r="D465" s="249" t="n"/>
      <c r="E465" s="249" t="n"/>
      <c r="F465" s="249" t="n"/>
      <c r="G465" s="249" t="n"/>
    </row>
    <row r="466" ht="13" customHeight="1" s="250">
      <c r="A466" s="249" t="n"/>
      <c r="B466" s="249" t="n"/>
      <c r="C466" s="249" t="n"/>
      <c r="D466" s="249" t="n"/>
      <c r="E466" s="249" t="n"/>
      <c r="F466" s="249" t="n"/>
      <c r="G466" s="249" t="n"/>
    </row>
    <row r="467" ht="13" customHeight="1" s="250">
      <c r="A467" s="249" t="n"/>
      <c r="B467" s="249" t="n"/>
      <c r="C467" s="249" t="n"/>
      <c r="D467" s="249" t="n"/>
      <c r="E467" s="249" t="n"/>
      <c r="F467" s="249" t="n"/>
      <c r="G467" s="249" t="n"/>
    </row>
    <row r="468" ht="13" customHeight="1" s="250">
      <c r="A468" s="249" t="n"/>
      <c r="B468" s="249" t="n"/>
      <c r="C468" s="249" t="n"/>
      <c r="D468" s="249" t="n"/>
      <c r="E468" s="249" t="n"/>
      <c r="F468" s="249" t="n"/>
      <c r="G468" s="249" t="n"/>
    </row>
    <row r="469" ht="13" customHeight="1" s="250">
      <c r="A469" s="249" t="n"/>
      <c r="B469" s="249" t="n"/>
      <c r="C469" s="249" t="n"/>
      <c r="D469" s="249" t="n"/>
      <c r="E469" s="249" t="n"/>
      <c r="F469" s="249" t="n"/>
      <c r="G469" s="249" t="n"/>
    </row>
    <row r="470" ht="13" customHeight="1" s="250">
      <c r="A470" s="249" t="n"/>
      <c r="B470" s="249" t="n"/>
      <c r="C470" s="249" t="n"/>
      <c r="D470" s="249" t="n"/>
      <c r="E470" s="249" t="n"/>
      <c r="F470" s="249" t="n"/>
      <c r="G470" s="249" t="n"/>
    </row>
    <row r="471" ht="13" customHeight="1" s="250">
      <c r="A471" s="249" t="n"/>
      <c r="B471" s="249" t="n"/>
      <c r="C471" s="249" t="n"/>
      <c r="D471" s="249" t="n"/>
      <c r="E471" s="249" t="n"/>
      <c r="F471" s="249" t="n"/>
      <c r="G471" s="249" t="n"/>
    </row>
    <row r="472" ht="13" customHeight="1" s="250">
      <c r="A472" s="249" t="n"/>
      <c r="B472" s="249" t="n"/>
      <c r="C472" s="249" t="n"/>
      <c r="D472" s="249" t="n"/>
      <c r="E472" s="249" t="n"/>
      <c r="F472" s="249" t="n"/>
      <c r="G472" s="249" t="n"/>
    </row>
    <row r="473" ht="13" customHeight="1" s="250">
      <c r="A473" s="249" t="n"/>
      <c r="B473" s="249" t="n"/>
      <c r="C473" s="249" t="n"/>
      <c r="D473" s="249" t="n"/>
      <c r="E473" s="249" t="n"/>
      <c r="F473" s="249" t="n"/>
      <c r="G473" s="249" t="n"/>
    </row>
    <row r="474" ht="13" customHeight="1" s="250">
      <c r="A474" s="249" t="n"/>
      <c r="B474" s="249" t="n"/>
      <c r="C474" s="249" t="n"/>
      <c r="D474" s="249" t="n"/>
      <c r="E474" s="249" t="n"/>
      <c r="F474" s="249" t="n"/>
      <c r="G474" s="249" t="n"/>
    </row>
    <row r="475" ht="13" customHeight="1" s="250">
      <c r="A475" s="249" t="n"/>
      <c r="B475" s="249" t="n"/>
      <c r="C475" s="249" t="n"/>
      <c r="D475" s="249" t="n"/>
      <c r="E475" s="249" t="n"/>
      <c r="F475" s="249" t="n"/>
      <c r="G475" s="249" t="n"/>
    </row>
    <row r="476" ht="13" customHeight="1" s="250">
      <c r="A476" s="249" t="n"/>
      <c r="B476" s="249" t="n"/>
      <c r="C476" s="249" t="n"/>
      <c r="D476" s="249" t="n"/>
      <c r="E476" s="249" t="n"/>
      <c r="F476" s="249" t="n"/>
      <c r="G476" s="249" t="n"/>
    </row>
    <row r="477" ht="13" customHeight="1" s="250">
      <c r="A477" s="249" t="n"/>
      <c r="B477" s="249" t="n"/>
      <c r="C477" s="249" t="n"/>
      <c r="D477" s="249" t="n"/>
      <c r="E477" s="249" t="n"/>
      <c r="F477" s="249" t="n"/>
      <c r="G477" s="249" t="n"/>
    </row>
    <row r="478" ht="13" customHeight="1" s="250">
      <c r="A478" s="249" t="n"/>
      <c r="B478" s="249" t="n"/>
      <c r="C478" s="249" t="n"/>
      <c r="D478" s="249" t="n"/>
      <c r="E478" s="249" t="n"/>
      <c r="F478" s="249" t="n"/>
      <c r="G478" s="249" t="n"/>
    </row>
    <row r="479" ht="13" customHeight="1" s="250">
      <c r="A479" s="249" t="n"/>
      <c r="B479" s="249" t="n"/>
      <c r="C479" s="249" t="n"/>
      <c r="D479" s="249" t="n"/>
      <c r="E479" s="249" t="n"/>
      <c r="F479" s="249" t="n"/>
      <c r="G479" s="249" t="n"/>
    </row>
    <row r="480" ht="13" customHeight="1" s="250">
      <c r="A480" s="249" t="n"/>
      <c r="B480" s="249" t="n"/>
      <c r="C480" s="249" t="n"/>
      <c r="D480" s="249" t="n"/>
      <c r="E480" s="249" t="n"/>
      <c r="F480" s="249" t="n"/>
      <c r="G480" s="249" t="n"/>
    </row>
    <row r="481" ht="13" customHeight="1" s="250">
      <c r="A481" s="249" t="n"/>
      <c r="B481" s="249" t="n"/>
      <c r="C481" s="249" t="n"/>
      <c r="D481" s="249" t="n"/>
      <c r="E481" s="249" t="n"/>
      <c r="F481" s="249" t="n"/>
      <c r="G481" s="249" t="n"/>
    </row>
    <row r="482" ht="13" customHeight="1" s="250">
      <c r="A482" s="249" t="n"/>
      <c r="B482" s="249" t="n"/>
      <c r="C482" s="249" t="n"/>
      <c r="D482" s="249" t="n"/>
      <c r="E482" s="249" t="n"/>
      <c r="F482" s="249" t="n"/>
      <c r="G482" s="249" t="n"/>
    </row>
    <row r="483" ht="13" customHeight="1" s="250">
      <c r="A483" s="249" t="n"/>
      <c r="B483" s="249" t="n"/>
      <c r="C483" s="249" t="n"/>
      <c r="D483" s="249" t="n"/>
      <c r="E483" s="249" t="n"/>
      <c r="F483" s="249" t="n"/>
      <c r="G483" s="249" t="n"/>
    </row>
    <row r="484" ht="13" customHeight="1" s="250">
      <c r="A484" s="249" t="n"/>
      <c r="B484" s="249" t="n"/>
      <c r="C484" s="249" t="n"/>
      <c r="D484" s="249" t="n"/>
      <c r="E484" s="249" t="n"/>
      <c r="F484" s="249" t="n"/>
      <c r="G484" s="249" t="n"/>
    </row>
    <row r="485" ht="13" customHeight="1" s="250">
      <c r="A485" s="249" t="n"/>
      <c r="B485" s="249" t="n"/>
      <c r="C485" s="249" t="n"/>
      <c r="D485" s="249" t="n"/>
      <c r="E485" s="249" t="n"/>
      <c r="F485" s="249" t="n"/>
      <c r="G485" s="249" t="n"/>
    </row>
    <row r="486" ht="13" customHeight="1" s="250">
      <c r="A486" s="249" t="n"/>
      <c r="B486" s="249" t="n"/>
      <c r="C486" s="249" t="n"/>
      <c r="D486" s="249" t="n"/>
      <c r="E486" s="249" t="n"/>
      <c r="F486" s="249" t="n"/>
      <c r="G486" s="249" t="n"/>
    </row>
    <row r="487" ht="13" customHeight="1" s="250">
      <c r="A487" s="249" t="n"/>
      <c r="B487" s="249" t="n"/>
      <c r="C487" s="249" t="n"/>
      <c r="D487" s="249" t="n"/>
      <c r="E487" s="249" t="n"/>
      <c r="F487" s="249" t="n"/>
      <c r="G487" s="249" t="n"/>
    </row>
    <row r="488" ht="13" customHeight="1" s="250">
      <c r="A488" s="249" t="n"/>
      <c r="B488" s="249" t="n"/>
      <c r="C488" s="249" t="n"/>
      <c r="D488" s="249" t="n"/>
      <c r="E488" s="249" t="n"/>
      <c r="F488" s="249" t="n"/>
      <c r="G488" s="249" t="n"/>
    </row>
    <row r="489" ht="13" customHeight="1" s="250">
      <c r="A489" s="249" t="n"/>
      <c r="B489" s="249" t="n"/>
      <c r="C489" s="249" t="n"/>
      <c r="D489" s="249" t="n"/>
      <c r="E489" s="249" t="n"/>
      <c r="F489" s="249" t="n"/>
      <c r="G489" s="249" t="n"/>
    </row>
    <row r="490" ht="13" customHeight="1" s="250">
      <c r="A490" s="249" t="n"/>
      <c r="B490" s="249" t="n"/>
      <c r="C490" s="249" t="n"/>
      <c r="D490" s="249" t="n"/>
      <c r="E490" s="249" t="n"/>
      <c r="F490" s="249" t="n"/>
      <c r="G490" s="249" t="n"/>
    </row>
    <row r="491" ht="13" customHeight="1" s="250">
      <c r="A491" s="249" t="n"/>
      <c r="B491" s="249" t="n"/>
      <c r="C491" s="249" t="n"/>
      <c r="D491" s="249" t="n"/>
      <c r="E491" s="249" t="n"/>
      <c r="F491" s="249" t="n"/>
      <c r="G491" s="249" t="n"/>
    </row>
    <row r="492" ht="13" customHeight="1" s="250">
      <c r="A492" s="249" t="n"/>
      <c r="B492" s="249" t="n"/>
      <c r="C492" s="249" t="n"/>
      <c r="D492" s="249" t="n"/>
      <c r="E492" s="249" t="n"/>
      <c r="F492" s="249" t="n"/>
      <c r="G492" s="249" t="n"/>
    </row>
    <row r="493" ht="13" customHeight="1" s="250">
      <c r="A493" s="249" t="n"/>
      <c r="B493" s="249" t="n"/>
      <c r="C493" s="249" t="n"/>
      <c r="D493" s="249" t="n"/>
      <c r="E493" s="249" t="n"/>
      <c r="F493" s="249" t="n"/>
      <c r="G493" s="249" t="n"/>
    </row>
    <row r="494" ht="13" customHeight="1" s="250">
      <c r="A494" s="249" t="n"/>
      <c r="B494" s="249" t="n"/>
      <c r="C494" s="249" t="n"/>
      <c r="D494" s="249" t="n"/>
      <c r="E494" s="249" t="n"/>
      <c r="F494" s="249" t="n"/>
      <c r="G494" s="249" t="n"/>
    </row>
    <row r="495" ht="13" customHeight="1" s="250">
      <c r="A495" s="249" t="n"/>
      <c r="B495" s="249" t="n"/>
      <c r="C495" s="249" t="n"/>
      <c r="D495" s="249" t="n"/>
      <c r="E495" s="249" t="n"/>
      <c r="F495" s="249" t="n"/>
      <c r="G495" s="249" t="n"/>
    </row>
    <row r="496" ht="13" customHeight="1" s="250">
      <c r="A496" s="249" t="n"/>
      <c r="B496" s="249" t="n"/>
      <c r="C496" s="249" t="n"/>
      <c r="D496" s="249" t="n"/>
      <c r="E496" s="249" t="n"/>
      <c r="F496" s="249" t="n"/>
      <c r="G496" s="249" t="n"/>
    </row>
    <row r="497" ht="13" customHeight="1" s="250">
      <c r="A497" s="249" t="n"/>
      <c r="B497" s="249" t="n"/>
      <c r="C497" s="249" t="n"/>
      <c r="D497" s="249" t="n"/>
      <c r="E497" s="249" t="n"/>
      <c r="F497" s="249" t="n"/>
      <c r="G497" s="249" t="n"/>
    </row>
    <row r="498" ht="13" customHeight="1" s="250">
      <c r="A498" s="249" t="n"/>
      <c r="B498" s="249" t="n"/>
      <c r="C498" s="249" t="n"/>
      <c r="D498" s="249" t="n"/>
      <c r="E498" s="249" t="n"/>
      <c r="F498" s="249" t="n"/>
      <c r="G498" s="249" t="n"/>
    </row>
    <row r="499" ht="13" customHeight="1" s="250">
      <c r="A499" s="249" t="n"/>
      <c r="B499" s="249" t="n"/>
      <c r="C499" s="249" t="n"/>
      <c r="D499" s="249" t="n"/>
      <c r="E499" s="249" t="n"/>
      <c r="F499" s="249" t="n"/>
      <c r="G499" s="249" t="n"/>
    </row>
  </sheetData>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tabColor rgb="FFFFFFFF"/>
    <outlinePr summaryBelow="0" summaryRight="0"/>
    <pageSetUpPr/>
  </sheetPr>
  <dimension ref="A1:J39"/>
  <sheetViews>
    <sheetView zoomScale="130" zoomScaleNormal="130" workbookViewId="0">
      <selection activeCell="A1" sqref="A1"/>
    </sheetView>
  </sheetViews>
  <sheetFormatPr baseColWidth="10" defaultColWidth="12.6640625" defaultRowHeight="15.75" customHeight="1"/>
  <cols>
    <col width="2.6640625" customWidth="1" style="250" min="1" max="1"/>
    <col width="10" customWidth="1" style="250" min="2" max="2"/>
    <col width="37.6640625" customWidth="1" style="250" min="4" max="4"/>
    <col width="8" customWidth="1" style="250" min="7" max="7"/>
    <col width="8.5" customWidth="1" style="250" min="9" max="9"/>
  </cols>
  <sheetData>
    <row r="1" ht="27.75" customHeight="1" s="250">
      <c r="A1" s="14" t="n"/>
      <c r="B1" s="257" t="n"/>
      <c r="C1" s="258" t="inlineStr">
        <is>
          <t xml:space="preserve"> Getting started with XLSForms</t>
        </is>
      </c>
      <c r="D1" s="259" t="n"/>
      <c r="E1" s="14" t="n"/>
      <c r="F1" s="14" t="n"/>
      <c r="G1" s="15" t="n"/>
      <c r="H1" s="16" t="inlineStr">
        <is>
          <t>Last update</t>
        </is>
      </c>
      <c r="I1" s="15" t="inlineStr">
        <is>
          <t>License</t>
        </is>
      </c>
      <c r="J1" s="14" t="n"/>
    </row>
    <row r="2" ht="21.75" customHeight="1" s="250">
      <c r="A2" s="14" t="n"/>
      <c r="B2" s="260" t="n"/>
      <c r="C2" s="261" t="n"/>
      <c r="D2" s="262" t="n"/>
      <c r="E2" s="18" t="n"/>
      <c r="F2" s="18" t="n"/>
      <c r="G2" s="19" t="n"/>
      <c r="H2" s="20" t="n">
        <v>45982</v>
      </c>
      <c r="I2" s="19" t="inlineStr">
        <is>
          <t>CC BY-SA</t>
        </is>
      </c>
      <c r="J2" s="14" t="n"/>
    </row>
    <row r="3" ht="18.75" customHeight="1" s="250">
      <c r="A3" s="14" t="n"/>
      <c r="B3" s="21" t="n"/>
      <c r="C3" s="22" t="n"/>
      <c r="D3" s="21" t="n"/>
      <c r="E3" s="23" t="n"/>
      <c r="F3" s="22" t="n"/>
      <c r="G3" s="22" t="n"/>
      <c r="H3" s="24" t="n"/>
      <c r="I3" s="24" t="n"/>
      <c r="J3" s="14" t="n"/>
    </row>
    <row r="4" ht="13" customHeight="1" s="250">
      <c r="A4" s="14" t="n"/>
      <c r="B4" s="25" t="inlineStr">
        <is>
          <t>-   The XLSForm standard lets you create powerful forms for the ODK ecosystem.</t>
        </is>
      </c>
      <c r="C4" s="26" t="n"/>
      <c r="D4" s="26" t="n"/>
      <c r="E4" s="27" t="n"/>
      <c r="F4" s="14" t="n"/>
      <c r="G4" s="14" t="n"/>
      <c r="H4" s="24" t="n"/>
      <c r="I4" s="24" t="n"/>
      <c r="J4" s="14" t="n"/>
    </row>
    <row r="5" ht="13" customHeight="1" s="250">
      <c r="A5" s="14" t="n"/>
      <c r="B5" s="28" t="inlineStr">
        <is>
          <t>-   A form is defined using 4 sheets:</t>
        </is>
      </c>
      <c r="C5" s="28" t="n"/>
      <c r="D5" s="28" t="n"/>
      <c r="E5" s="14" t="n"/>
      <c r="F5" s="14" t="n"/>
      <c r="G5" s="14" t="n"/>
      <c r="H5" s="14" t="n"/>
      <c r="I5" s="14" t="n"/>
      <c r="J5" s="14" t="n"/>
    </row>
    <row r="6" ht="13" customHeight="1" s="250">
      <c r="A6" s="17" t="n"/>
      <c r="B6" s="29" t="inlineStr">
        <is>
          <t xml:space="preserve">     -  The survey sheet defines the questions and logic for your form. It is required.</t>
        </is>
      </c>
      <c r="C6" s="30" t="n"/>
      <c r="D6" s="14" t="n"/>
      <c r="E6" s="31" t="n"/>
      <c r="F6" s="14" t="n"/>
      <c r="G6" s="14" t="n"/>
      <c r="H6" s="14" t="n"/>
      <c r="I6" s="14" t="n"/>
      <c r="J6" s="14" t="n"/>
    </row>
    <row r="7" ht="13" customHeight="1" s="250">
      <c r="A7" s="17" t="n"/>
      <c r="B7" s="14" t="inlineStr">
        <is>
          <t xml:space="preserve">     -  The choices sheet defines choices to use in select questions.</t>
        </is>
      </c>
      <c r="C7" s="30" t="n"/>
      <c r="D7" s="14" t="n"/>
      <c r="E7" s="31" t="n"/>
      <c r="F7" s="14" t="n"/>
      <c r="G7" s="14" t="n"/>
      <c r="H7" s="14" t="n"/>
      <c r="I7" s="14" t="n"/>
      <c r="J7" s="14" t="n"/>
    </row>
    <row r="8" ht="13" customHeight="1" s="250">
      <c r="A8" s="17" t="n"/>
      <c r="B8" s="14" t="inlineStr">
        <is>
          <t xml:space="preserve">     -  The settings sheet defines form metadata and configuration.</t>
        </is>
      </c>
      <c r="C8" s="30" t="n"/>
      <c r="D8" s="14" t="n"/>
      <c r="E8" s="31" t="n"/>
      <c r="F8" s="14" t="n"/>
      <c r="G8" s="14" t="n"/>
      <c r="H8" s="14" t="n"/>
      <c r="I8" s="14" t="n"/>
      <c r="J8" s="14" t="n"/>
    </row>
    <row r="9" ht="13" customHeight="1" s="250">
      <c r="A9" s="17" t="n"/>
      <c r="B9" s="14" t="inlineStr">
        <is>
          <t xml:space="preserve">     -  The entities sheet is used to create entities from form values for use in longitudinal workflows, case management, and more.</t>
        </is>
      </c>
      <c r="C9" s="30" t="n"/>
      <c r="D9" s="14" t="n"/>
      <c r="E9" s="31" t="n"/>
      <c r="F9" s="14" t="n"/>
      <c r="G9" s="14" t="n"/>
      <c r="H9" s="14" t="n"/>
      <c r="I9" s="14" t="n"/>
      <c r="J9" s="14" t="n"/>
    </row>
    <row r="10" ht="13" customHeight="1" s="250">
      <c r="A10" s="17" t="n"/>
      <c r="B10" s="14" t="n"/>
      <c r="C10" s="14" t="n"/>
      <c r="D10" s="14" t="n"/>
      <c r="E10" s="31" t="n"/>
      <c r="F10" s="14" t="n"/>
      <c r="G10" s="14" t="n"/>
      <c r="H10" s="14" t="n"/>
      <c r="I10" s="14" t="n"/>
      <c r="J10" s="14" t="n"/>
    </row>
    <row r="11" ht="13" customHeight="1" s="250">
      <c r="A11" s="14" t="n"/>
      <c r="B11" s="22" t="inlineStr">
        <is>
          <t>-   The template sheets contain the most common columns. See the Translations and Additional columns sheets for other columns.</t>
        </is>
      </c>
      <c r="C11" s="22" t="n"/>
      <c r="D11" s="22" t="n"/>
      <c r="E11" s="14" t="n"/>
      <c r="F11" s="14" t="n"/>
      <c r="G11" s="14" t="n"/>
      <c r="H11" s="14" t="n"/>
      <c r="I11" s="14" t="n"/>
      <c r="J11" s="14" t="n"/>
    </row>
    <row r="12" ht="13" customHeight="1" s="250">
      <c r="A12" s="14" t="n"/>
      <c r="B12" s="14" t="inlineStr">
        <is>
          <t>-   Hover over column names to see a note about how they can be used.</t>
        </is>
      </c>
      <c r="C12" s="14" t="n"/>
      <c r="D12" s="14" t="n"/>
      <c r="E12" s="14" t="n"/>
      <c r="F12" s="14" t="n"/>
      <c r="G12" s="14" t="n"/>
      <c r="H12" s="14" t="n"/>
      <c r="I12" s="14" t="n"/>
      <c r="J12" s="14" t="n"/>
    </row>
    <row r="13" ht="13" customHeight="1" s="250">
      <c r="A13" s="14" t="n"/>
      <c r="B13" s="14" t="inlineStr">
        <is>
          <t>-   Columns colored in green on the survey and choices sheets can be translated.</t>
        </is>
      </c>
      <c r="C13" s="14" t="n"/>
      <c r="D13" s="14" t="n"/>
      <c r="E13" s="14" t="n"/>
      <c r="F13" s="14" t="n"/>
      <c r="G13" s="14" t="n"/>
      <c r="H13" s="14" t="n"/>
      <c r="I13" s="14" t="n"/>
      <c r="J13" s="14" t="n"/>
    </row>
    <row r="14" ht="13" customHeight="1" s="250">
      <c r="A14" s="14" t="n"/>
      <c r="B14" s="14" t="n"/>
      <c r="C14" s="14" t="n"/>
      <c r="D14" s="14" t="n"/>
      <c r="E14" s="14" t="n"/>
      <c r="F14" s="14" t="n"/>
      <c r="G14" s="14" t="n"/>
      <c r="H14" s="14" t="n"/>
      <c r="I14" s="14" t="n"/>
      <c r="J14" s="14" t="n"/>
    </row>
    <row r="15" ht="13" customHeight="1" s="250">
      <c r="A15" s="14" t="n"/>
      <c r="B15" s="14" t="inlineStr">
        <is>
          <t>💡 Use File &gt; Make a copy to make a copy of this template that you can edit</t>
        </is>
      </c>
      <c r="C15" s="14" t="n"/>
      <c r="D15" s="14" t="n"/>
      <c r="E15" s="14" t="n"/>
      <c r="F15" s="14" t="n"/>
      <c r="G15" s="14" t="n"/>
      <c r="H15" s="14" t="n"/>
      <c r="I15" s="14" t="n"/>
      <c r="J15" s="14" t="n"/>
    </row>
    <row r="16" ht="13" customHeight="1" s="250">
      <c r="A16" s="14" t="n"/>
      <c r="B16" s="14" t="inlineStr">
        <is>
          <t xml:space="preserve">💡 Using a consistent column order makes it easier to copy and paste between different form definitions. </t>
        </is>
      </c>
      <c r="C16" s="14" t="n"/>
      <c r="D16" s="14" t="n"/>
      <c r="E16" s="14" t="n"/>
      <c r="F16" s="14" t="n"/>
      <c r="G16" s="14" t="n"/>
      <c r="H16" s="14" t="n"/>
      <c r="I16" s="14" t="n"/>
      <c r="J16" s="14" t="n"/>
    </row>
    <row r="17" ht="13" customHeight="1" s="250">
      <c r="A17" s="14" t="n"/>
      <c r="B17" s="14" t="inlineStr">
        <is>
          <t>💡 Consider hiding columns you don't need instead of deleting them.</t>
        </is>
      </c>
      <c r="C17" s="14" t="n"/>
      <c r="D17" s="14" t="n"/>
      <c r="E17" s="14" t="n"/>
      <c r="F17" s="14" t="n"/>
      <c r="G17" s="14" t="n"/>
      <c r="H17" s="14" t="n"/>
      <c r="I17" s="14" t="n"/>
      <c r="J17" s="14" t="n"/>
    </row>
    <row r="18" ht="13" customHeight="1" s="250">
      <c r="A18" s="14" t="n"/>
      <c r="B18" s="14" t="n"/>
      <c r="C18" s="14" t="n"/>
      <c r="D18" s="14" t="n"/>
      <c r="E18" s="14" t="n"/>
      <c r="F18" s="14" t="n"/>
      <c r="G18" s="14" t="n"/>
      <c r="H18" s="14" t="n"/>
      <c r="I18" s="14" t="n"/>
      <c r="J18" s="14" t="n"/>
    </row>
    <row r="19" ht="13" customHeight="1" s="250">
      <c r="A19" s="14" t="n"/>
      <c r="B19" s="32" t="inlineStr">
        <is>
          <t>Resources</t>
        </is>
      </c>
      <c r="C19" s="32" t="n"/>
      <c r="D19" s="14" t="n"/>
      <c r="E19" s="14" t="n"/>
      <c r="F19" s="14" t="n"/>
      <c r="G19" s="14" t="n"/>
      <c r="H19" s="14" t="n"/>
      <c r="I19" s="14" t="n"/>
      <c r="J19" s="14" t="n"/>
    </row>
    <row r="20" ht="13" customHeight="1" s="250">
      <c r="A20" s="14" t="n"/>
      <c r="B20" s="33" t="inlineStr">
        <is>
          <t>📖 ODK form design docs</t>
        </is>
      </c>
      <c r="C20" s="14" t="n"/>
      <c r="D20" s="14" t="n"/>
      <c r="E20" s="14" t="n"/>
      <c r="F20" s="14" t="n"/>
      <c r="G20" s="14" t="n"/>
      <c r="H20" s="14" t="n"/>
      <c r="I20" s="14" t="n"/>
      <c r="J20" s="14" t="n"/>
    </row>
    <row r="21" ht="13" customHeight="1" s="250">
      <c r="A21" s="14" t="n"/>
      <c r="B21" s="33" t="inlineStr">
        <is>
          <t>🧵 XLSForm tutorial</t>
        </is>
      </c>
      <c r="C21" s="14" t="n"/>
      <c r="D21" s="14" t="n"/>
      <c r="E21" s="14" t="n"/>
      <c r="F21" s="14" t="n"/>
      <c r="G21" s="14" t="n"/>
      <c r="H21" s="14" t="n"/>
      <c r="I21" s="14" t="n"/>
      <c r="J21" s="14" t="n"/>
    </row>
    <row r="22" ht="13" customHeight="1" s="250">
      <c r="A22" s="14" t="n"/>
      <c r="B22" s="34" t="inlineStr">
        <is>
          <t>💬 Forum for support</t>
        </is>
      </c>
      <c r="C22" s="14" t="n"/>
      <c r="D22" s="14" t="n"/>
      <c r="E22" s="14" t="n"/>
      <c r="F22" s="14" t="n"/>
      <c r="G22" s="14" t="n"/>
      <c r="H22" s="14" t="n"/>
      <c r="I22" s="14" t="n"/>
      <c r="J22" s="14" t="n"/>
    </row>
    <row r="23" ht="13" customHeight="1" s="250">
      <c r="A23" s="14" t="n"/>
      <c r="B23" s="33" t="inlineStr">
        <is>
          <t>💡 Have ideas for improving this template? Share them here!</t>
        </is>
      </c>
      <c r="C23" s="14" t="n"/>
      <c r="D23" s="14" t="n"/>
      <c r="E23" s="14" t="n"/>
      <c r="F23" s="14" t="n"/>
      <c r="G23" s="14" t="n"/>
      <c r="H23" s="14" t="n"/>
      <c r="I23" s="14" t="n"/>
      <c r="J23" s="14" t="n"/>
    </row>
    <row r="24" ht="13" customHeight="1" s="250">
      <c r="A24" s="14" t="n"/>
      <c r="B24" s="35" t="n"/>
      <c r="C24" s="14" t="n"/>
      <c r="D24" s="14" t="n"/>
      <c r="E24" s="14" t="n"/>
      <c r="F24" s="14" t="n"/>
      <c r="G24" s="14" t="n"/>
      <c r="H24" s="14" t="n"/>
      <c r="I24" s="14" t="n"/>
      <c r="J24" s="14" t="n"/>
    </row>
    <row r="25" ht="13" customHeight="1" s="250">
      <c r="A25" s="14" t="n"/>
      <c r="B25" s="35" t="inlineStr">
        <is>
          <t>Credits</t>
        </is>
      </c>
      <c r="C25" s="14" t="n"/>
      <c r="D25" s="14" t="n"/>
      <c r="E25" s="14" t="n"/>
      <c r="F25" s="14" t="n"/>
      <c r="G25" s="14" t="n"/>
      <c r="H25" s="14" t="n"/>
      <c r="I25" s="14" t="n"/>
      <c r="J25" s="14" t="n"/>
    </row>
    <row r="26" ht="13" customHeight="1" s="250">
      <c r="A26" s="14" t="n"/>
      <c r="B26" s="34" t="inlineStr">
        <is>
          <t xml:space="preserve">Styling ideas from yxf script </t>
        </is>
      </c>
      <c r="C26" s="14" t="n"/>
      <c r="D26" s="14" t="n"/>
      <c r="E26" s="14" t="n"/>
      <c r="F26" s="14" t="n"/>
      <c r="G26" s="14" t="n"/>
      <c r="H26" s="14" t="n"/>
      <c r="I26" s="14" t="n"/>
      <c r="J26" s="14" t="n"/>
    </row>
    <row r="27" ht="13" customHeight="1" s="250">
      <c r="A27" s="14" t="n"/>
      <c r="B27" s="34" t="inlineStr">
        <is>
          <t>Inspiration from CartONG's XLSform cheat sheet</t>
        </is>
      </c>
      <c r="C27" s="14" t="n"/>
      <c r="D27" s="14" t="n"/>
      <c r="E27" s="14" t="n"/>
      <c r="F27" s="14" t="n"/>
      <c r="G27" s="14" t="n"/>
      <c r="H27" s="14" t="n"/>
      <c r="I27" s="14" t="n"/>
      <c r="J27" s="14" t="n"/>
    </row>
    <row r="28" ht="13" customHeight="1" s="250">
      <c r="A28" s="14" t="n"/>
      <c r="B28" s="35" t="n"/>
      <c r="C28" s="36" t="n"/>
      <c r="D28" s="14" t="n"/>
      <c r="E28" s="14" t="n"/>
      <c r="F28" s="14" t="n"/>
      <c r="G28" s="14" t="n"/>
      <c r="H28" s="14" t="n"/>
      <c r="I28" s="14" t="n"/>
      <c r="J28" s="14" t="n"/>
    </row>
    <row r="29" ht="13" customHeight="1" s="250">
      <c r="A29" s="14" t="n"/>
      <c r="B29" s="35" t="inlineStr">
        <is>
          <t>Changelog</t>
        </is>
      </c>
      <c r="C29" s="14" t="n"/>
      <c r="D29" s="14" t="n"/>
      <c r="E29" s="14" t="n"/>
      <c r="F29" s="14" t="n"/>
      <c r="G29" s="14" t="n"/>
      <c r="H29" s="14" t="n"/>
      <c r="I29" s="14" t="n"/>
      <c r="J29" s="14" t="n"/>
    </row>
    <row r="30" ht="13" customHeight="1" s="250">
      <c r="A30" s="14" t="n"/>
      <c r="B30" s="37" t="n">
        <v>45982</v>
      </c>
      <c r="C30" s="14" t="inlineStr">
        <is>
          <t>Add hidden type, big-image additional column</t>
        </is>
      </c>
      <c r="D30" s="14" t="n"/>
      <c r="E30" s="14" t="n"/>
      <c r="F30" s="14" t="n"/>
      <c r="G30" s="14" t="n"/>
      <c r="H30" s="14" t="n"/>
      <c r="I30" s="14" t="n"/>
      <c r="J30" s="14" t="n"/>
    </row>
    <row r="31" ht="13" customHeight="1" s="250">
      <c r="A31" s="14" t="n"/>
      <c r="B31" s="37" t="n">
        <v>45631</v>
      </c>
      <c r="C31" s="14" t="inlineStr">
        <is>
          <t>Add counter appearance</t>
        </is>
      </c>
      <c r="D31" s="14" t="n"/>
      <c r="E31" s="14" t="n"/>
      <c r="F31" s="14" t="n"/>
      <c r="G31" s="14" t="n"/>
      <c r="H31" s="14" t="n"/>
      <c r="I31" s="14" t="n"/>
      <c r="J31" s="14" t="n"/>
    </row>
    <row r="32" ht="13" customHeight="1" s="250">
      <c r="A32" s="14" t="n"/>
      <c r="B32" s="37" t="n">
        <v>45481</v>
      </c>
      <c r="C32" s="14" t="inlineStr">
        <is>
          <t>Add masked appearance</t>
        </is>
      </c>
      <c r="D32" s="14" t="n"/>
      <c r="E32" s="14" t="n"/>
      <c r="F32" s="14" t="n"/>
      <c r="G32" s="14" t="n"/>
      <c r="H32" s="14" t="n"/>
      <c r="I32" s="14" t="n"/>
      <c r="J32" s="14" t="n"/>
    </row>
    <row r="33" ht="13" customHeight="1" s="250">
      <c r="A33" s="14" t="n"/>
      <c r="B33" s="37" t="n">
        <v>45474</v>
      </c>
      <c r="C33" s="14" t="inlineStr">
        <is>
          <t>Add table-list, hidden-answer and printer appearances</t>
        </is>
      </c>
      <c r="D33" s="14" t="n"/>
      <c r="E33" s="14" t="n"/>
      <c r="F33" s="14" t="n"/>
      <c r="G33" s="14" t="n"/>
      <c r="H33" s="14" t="n"/>
      <c r="I33" s="14" t="n"/>
      <c r="J33" s="14" t="n"/>
    </row>
    <row r="34" ht="13" customHeight="1" s="250">
      <c r="A34" s="14" t="n"/>
      <c r="B34" s="37" t="n">
        <v>45335</v>
      </c>
      <c r="C34" s="14" t="inlineStr">
        <is>
          <t>no-calendar appearance does not work for Enketo</t>
        </is>
      </c>
      <c r="D34" s="14" t="n"/>
      <c r="E34" s="14" t="n"/>
      <c r="F34" s="14" t="n"/>
      <c r="G34" s="14" t="n"/>
      <c r="H34" s="14" t="n"/>
      <c r="I34" s="14" t="n"/>
      <c r="J34" s="14" t="n"/>
    </row>
    <row r="35" ht="13" customHeight="1" s="250">
      <c r="A35" s="14" t="n"/>
      <c r="B35" s="37" t="n">
        <v>45320</v>
      </c>
      <c r="C35" s="14" t="inlineStr">
        <is>
          <t>Add entity_id and update_if to "Additional columns", add table-list to appearances, add grid theme reference</t>
        </is>
      </c>
      <c r="D35" s="14" t="n"/>
      <c r="E35" s="14" t="n"/>
      <c r="F35" s="14" t="n"/>
      <c r="G35" s="14" t="n"/>
      <c r="H35" s="14" t="n"/>
      <c r="I35" s="14" t="n"/>
      <c r="J35" s="14" t="n"/>
    </row>
    <row r="36" ht="13" customHeight="1" s="250">
      <c r="A36" s="14" t="n"/>
      <c r="B36" s="37" t="n">
        <v>45232</v>
      </c>
      <c r="C36" s="34" t="inlineStr">
        <is>
          <t>Add decimal and text numbers for thousands-sep appearance; add filters on types, appearances and additional columns sheets (thanks @wroos!)</t>
        </is>
      </c>
      <c r="D36" s="14" t="n"/>
      <c r="E36" s="14" t="n"/>
      <c r="F36" s="14" t="n"/>
      <c r="G36" s="14" t="n"/>
      <c r="H36" s="14" t="n"/>
      <c r="I36" s="14" t="n"/>
      <c r="J36" s="14" t="n"/>
    </row>
    <row r="37" ht="13" customHeight="1" s="250">
      <c r="A37" s="14" t="n"/>
      <c r="B37" s="37" t="n">
        <v>45223</v>
      </c>
      <c r="C37" s="14" t="inlineStr">
        <is>
          <t>Add Make a copy tip to readme</t>
        </is>
      </c>
      <c r="D37" s="14" t="n"/>
      <c r="E37" s="14" t="n"/>
      <c r="F37" s="14" t="n"/>
      <c r="G37" s="14" t="n"/>
      <c r="H37" s="14" t="n"/>
      <c r="I37" s="14" t="n"/>
      <c r="J37" s="14" t="n"/>
    </row>
    <row r="38" ht="13" customHeight="1" s="250">
      <c r="A38" s="14" t="n"/>
      <c r="B38" s="37" t="n">
        <v>45215</v>
      </c>
      <c r="C38" s="14" t="inlineStr">
        <is>
          <t>v2023.1 release</t>
        </is>
      </c>
      <c r="D38" s="14" t="n"/>
      <c r="E38" s="14" t="n"/>
      <c r="F38" s="14" t="n"/>
      <c r="G38" s="14" t="n"/>
      <c r="H38" s="14" t="n"/>
      <c r="I38" s="14" t="n"/>
      <c r="J38" s="14" t="n"/>
    </row>
    <row r="39" ht="13" customHeight="1" s="250">
      <c r="A39" s="14" t="n"/>
      <c r="B39" s="14" t="n"/>
      <c r="C39" s="14" t="n"/>
      <c r="D39" s="14" t="n"/>
      <c r="E39" s="14" t="n"/>
      <c r="F39" s="14" t="n"/>
      <c r="G39" s="14" t="n"/>
      <c r="H39" s="14" t="n"/>
      <c r="I39" s="14" t="n"/>
      <c r="J39" s="14" t="n"/>
    </row>
  </sheetData>
  <mergeCells count="2">
    <mergeCell ref="B1:B2"/>
    <mergeCell ref="C1:D2"/>
  </mergeCells>
  <hyperlinks>
    <hyperlink xmlns:r="http://schemas.openxmlformats.org/officeDocument/2006/relationships" ref="I2" r:id="rId1"/>
    <hyperlink xmlns:r="http://schemas.openxmlformats.org/officeDocument/2006/relationships" ref="B20" r:id="rId2"/>
    <hyperlink xmlns:r="http://schemas.openxmlformats.org/officeDocument/2006/relationships" ref="B21" r:id="rId3"/>
    <hyperlink xmlns:r="http://schemas.openxmlformats.org/officeDocument/2006/relationships" ref="B22" r:id="rId4"/>
    <hyperlink xmlns:r="http://schemas.openxmlformats.org/officeDocument/2006/relationships" ref="B23" r:id="rId5"/>
    <hyperlink xmlns:r="http://schemas.openxmlformats.org/officeDocument/2006/relationships" ref="B26" r:id="rId6"/>
    <hyperlink xmlns:r="http://schemas.openxmlformats.org/officeDocument/2006/relationships" ref="B27" location="gid=1090840308" r:id="rId7"/>
    <hyperlink xmlns:r="http://schemas.openxmlformats.org/officeDocument/2006/relationships" ref="C36" r:id="rId8"/>
  </hyperlinks>
  <pageMargins left="0.7" right="0.7" top="0.75" bottom="0.75" header="0.3" footer="0.3"/>
  <drawing xmlns:r="http://schemas.openxmlformats.org/officeDocument/2006/relationships" r:id="rId9"/>
</worksheet>
</file>

<file path=xl/worksheets/sheet7.xml><?xml version="1.0" encoding="utf-8"?>
<worksheet xmlns="http://schemas.openxmlformats.org/spreadsheetml/2006/main">
  <sheetPr>
    <outlinePr summaryBelow="0" summaryRight="0"/>
    <pageSetUpPr/>
  </sheetPr>
  <dimension ref="A1:G47"/>
  <sheetViews>
    <sheetView zoomScale="130" zoomScaleNormal="130" workbookViewId="0">
      <pane ySplit="7" topLeftCell="A8" activePane="bottomLeft" state="frozen"/>
      <selection pane="bottomLeft" activeCell="A1" sqref="A1"/>
    </sheetView>
  </sheetViews>
  <sheetFormatPr baseColWidth="10" defaultColWidth="12.6640625" defaultRowHeight="15.75" customHeight="1"/>
  <cols>
    <col width="2.6640625" customWidth="1" style="250" min="1" max="1"/>
    <col width="32" customWidth="1" style="250" min="2" max="2"/>
    <col width="48.6640625" customWidth="1" style="250" min="3" max="3"/>
    <col width="19" customWidth="1" style="250" min="4" max="4"/>
    <col width="16.6640625" customWidth="1" style="250" min="5" max="5"/>
    <col width="28.33203125" customWidth="1" style="250" min="6" max="6"/>
  </cols>
  <sheetData>
    <row r="1" ht="39" customHeight="1" s="250">
      <c r="A1" s="38" t="n"/>
      <c r="B1" s="240" t="inlineStr">
        <is>
          <t>Types</t>
        </is>
      </c>
      <c r="C1" s="263" t="n"/>
      <c r="D1" s="263" t="n"/>
      <c r="E1" s="263" t="n"/>
      <c r="F1" s="263" t="n"/>
      <c r="G1" s="39" t="n"/>
    </row>
    <row r="2" ht="13" customHeight="1" s="250">
      <c r="A2" s="39" t="n"/>
      <c r="B2" s="121" t="n"/>
      <c r="C2" s="264" t="n"/>
      <c r="D2" s="264" t="n"/>
      <c r="E2" s="264" t="n"/>
      <c r="F2" s="265" t="n"/>
      <c r="G2" s="39" t="n"/>
    </row>
    <row r="3" ht="13" customHeight="1" s="250">
      <c r="A3" s="39" t="n"/>
      <c r="B3" s="39" t="inlineStr">
        <is>
          <t>The survey sheet's 'type' column determines how the user will be prompted or what will be computed by the form</t>
        </is>
      </c>
      <c r="C3" s="39" t="n"/>
      <c r="D3" s="39" t="n"/>
      <c r="E3" s="39" t="n"/>
      <c r="F3" s="41" t="inlineStr">
        <is>
          <t>📋 Form with all question types</t>
        </is>
      </c>
      <c r="G3" s="39" t="n"/>
    </row>
    <row r="4" ht="13" customHeight="1" s="250">
      <c r="A4" s="39" t="n"/>
      <c r="B4" s="39" t="inlineStr">
        <is>
          <t>💡 See the Appearances sheet to learn how to modify how a question is displayed to users</t>
        </is>
      </c>
      <c r="C4" s="39" t="n"/>
      <c r="D4" s="39" t="n"/>
      <c r="E4" s="39" t="n"/>
      <c r="G4" s="39" t="n"/>
    </row>
    <row r="5" ht="21" customHeight="1" s="250">
      <c r="A5" s="38" t="n"/>
      <c r="B5" s="39" t="inlineStr">
        <is>
          <t>💡 The parameters column is sometimes used to configure aspects of a question type that are not appearance-related</t>
        </is>
      </c>
      <c r="C5" s="39" t="n"/>
      <c r="D5" s="39" t="n"/>
      <c r="E5" s="39" t="n"/>
      <c r="F5" s="39" t="n"/>
      <c r="G5" s="39" t="n"/>
    </row>
    <row r="6" ht="21" customHeight="1" s="250">
      <c r="A6" s="38" t="n"/>
      <c r="B6" s="42" t="n"/>
      <c r="C6" s="42" t="n"/>
      <c r="D6" s="42" t="n"/>
      <c r="E6" s="42" t="n"/>
      <c r="F6" s="43" t="n"/>
      <c r="G6" s="39" t="n"/>
    </row>
    <row r="7" ht="21.75" customHeight="1" s="250">
      <c r="A7" s="44" t="n"/>
      <c r="B7" s="45" t="inlineStr">
        <is>
          <t>Field type</t>
        </is>
      </c>
      <c r="C7" s="46" t="inlineStr">
        <is>
          <t>Description</t>
        </is>
      </c>
      <c r="D7" s="46" t="inlineStr">
        <is>
          <t>Collect mobile forms</t>
        </is>
      </c>
      <c r="E7" s="46" t="inlineStr">
        <is>
          <t>Enketo web forms</t>
        </is>
      </c>
      <c r="F7" s="47" t="inlineStr">
        <is>
          <t>Parameters</t>
        </is>
      </c>
      <c r="G7" s="48" t="n"/>
    </row>
    <row r="8" ht="21" customHeight="1" s="250">
      <c r="A8" s="44" t="n"/>
      <c r="B8" s="49" t="inlineStr">
        <is>
          <t>text</t>
        </is>
      </c>
      <c r="C8" s="50" t="inlineStr">
        <is>
          <t>Prompt the user for a text response</t>
        </is>
      </c>
      <c r="D8" s="51" t="inlineStr">
        <is>
          <t>Yes</t>
        </is>
      </c>
      <c r="E8" s="52" t="inlineStr">
        <is>
          <t>Yes</t>
        </is>
      </c>
      <c r="F8" s="53" t="n"/>
      <c r="G8" s="48" t="n"/>
    </row>
    <row r="9" ht="14.25" customHeight="1" s="250">
      <c r="A9" s="44" t="n"/>
      <c r="B9" s="54" t="inlineStr">
        <is>
          <t>integer</t>
        </is>
      </c>
      <c r="C9" s="55" t="inlineStr">
        <is>
          <t>Prompt the user for an integer response</t>
        </is>
      </c>
      <c r="D9" s="51" t="inlineStr">
        <is>
          <t>Yes</t>
        </is>
      </c>
      <c r="E9" s="56" t="inlineStr">
        <is>
          <t>Yes</t>
        </is>
      </c>
      <c r="F9" s="57" t="n"/>
      <c r="G9" s="48" t="n"/>
    </row>
    <row r="10" ht="21" customHeight="1" s="250">
      <c r="A10" s="44" t="n"/>
      <c r="B10" s="49" t="inlineStr">
        <is>
          <t>decimal</t>
        </is>
      </c>
      <c r="C10" s="50" t="inlineStr">
        <is>
          <t>Prompt the user for a decimal response</t>
        </is>
      </c>
      <c r="D10" s="51" t="inlineStr">
        <is>
          <t>Yes</t>
        </is>
      </c>
      <c r="E10" s="52" t="inlineStr">
        <is>
          <t>Yes</t>
        </is>
      </c>
      <c r="F10" s="53" t="n"/>
      <c r="G10" s="48" t="n"/>
    </row>
    <row r="11" ht="21" customHeight="1" s="250">
      <c r="A11" s="44" t="n"/>
      <c r="B11" s="54" t="inlineStr">
        <is>
          <t>note</t>
        </is>
      </c>
      <c r="C11" s="55" t="inlineStr">
        <is>
          <t>Show the user some text</t>
        </is>
      </c>
      <c r="D11" s="51" t="inlineStr">
        <is>
          <t>Yes</t>
        </is>
      </c>
      <c r="E11" s="56" t="inlineStr">
        <is>
          <t>Yes</t>
        </is>
      </c>
      <c r="F11" s="57" t="n"/>
      <c r="G11" s="48" t="n"/>
    </row>
    <row r="12" ht="26" customHeight="1" s="250">
      <c r="A12" s="44" t="n"/>
      <c r="B12" s="49" t="inlineStr">
        <is>
          <t>calculate</t>
        </is>
      </c>
      <c r="C12" s="50" t="inlineStr">
        <is>
          <t>Record the result of an expression specified in the calculation column</t>
        </is>
      </c>
      <c r="D12" s="51" t="inlineStr">
        <is>
          <t>Yes</t>
        </is>
      </c>
      <c r="E12" s="52" t="inlineStr">
        <is>
          <t>Yes</t>
        </is>
      </c>
      <c r="F12" s="53" t="n"/>
      <c r="G12" s="48" t="n"/>
    </row>
    <row r="13" ht="21" customHeight="1" s="250">
      <c r="A13" s="44" t="n"/>
      <c r="B13" s="54" t="inlineStr">
        <is>
          <t>select_one list_name</t>
        </is>
      </c>
      <c r="C13" s="55" t="inlineStr">
        <is>
          <t>Prompt the user to select one choice out of a list</t>
        </is>
      </c>
      <c r="D13" s="51" t="inlineStr">
        <is>
          <t>Yes</t>
        </is>
      </c>
      <c r="E13" s="56" t="inlineStr">
        <is>
          <t>Yes</t>
        </is>
      </c>
      <c r="F13" s="57" t="inlineStr">
        <is>
          <t>randomize, seed</t>
        </is>
      </c>
      <c r="G13" s="48" t="n"/>
    </row>
    <row r="14" ht="21" customHeight="1" s="250">
      <c r="A14" s="44" t="n"/>
      <c r="B14" s="49" t="inlineStr">
        <is>
          <t>select_multiple list_name</t>
        </is>
      </c>
      <c r="C14" s="50" t="inlineStr">
        <is>
          <t>Prompt the user to select multiple choices out of a list</t>
        </is>
      </c>
      <c r="D14" s="51" t="inlineStr">
        <is>
          <t>Yes</t>
        </is>
      </c>
      <c r="E14" s="52" t="inlineStr">
        <is>
          <t>Yes</t>
        </is>
      </c>
      <c r="F14" s="53" t="inlineStr">
        <is>
          <t>randomize, seed</t>
        </is>
      </c>
      <c r="G14" s="48" t="n"/>
    </row>
    <row r="15" ht="26" customHeight="1" s="250">
      <c r="A15" s="44" t="n"/>
      <c r="B15" s="54" t="inlineStr">
        <is>
          <t>select_one_from_file file.extension</t>
        </is>
      </c>
      <c r="C15" s="55" t="inlineStr">
        <is>
          <t>Prompt the user to select one choice out of a list of choices from a file</t>
        </is>
      </c>
      <c r="D15" s="51" t="inlineStr">
        <is>
          <t>Yes</t>
        </is>
      </c>
      <c r="E15" s="56" t="inlineStr">
        <is>
          <t>Yes</t>
        </is>
      </c>
      <c r="F15" s="57" t="inlineStr">
        <is>
          <t>randomize, seed, value, label</t>
        </is>
      </c>
      <c r="G15" s="48" t="n"/>
    </row>
    <row r="16" ht="26" customHeight="1" s="250">
      <c r="A16" s="44" t="n"/>
      <c r="B16" s="49" t="inlineStr">
        <is>
          <t>select_multiple_from_file file.extension</t>
        </is>
      </c>
      <c r="C16" s="50" t="inlineStr">
        <is>
          <t>Prompt the user to select multiple choices out of a list of choices from a file</t>
        </is>
      </c>
      <c r="D16" s="51" t="inlineStr">
        <is>
          <t>Yes</t>
        </is>
      </c>
      <c r="E16" s="52" t="inlineStr">
        <is>
          <t>Yes</t>
        </is>
      </c>
      <c r="F16" s="53" t="inlineStr">
        <is>
          <t>randomize, seed, value, label</t>
        </is>
      </c>
      <c r="G16" s="48" t="n"/>
    </row>
    <row r="17" ht="21" customHeight="1" s="250">
      <c r="A17" s="44" t="n"/>
      <c r="B17" s="54" t="inlineStr">
        <is>
          <t>begin_repeat</t>
        </is>
      </c>
      <c r="C17" s="55" t="inlineStr">
        <is>
          <t>Indicate the start of a group of questions that are repeated</t>
        </is>
      </c>
      <c r="D17" s="51" t="inlineStr">
        <is>
          <t>Yes</t>
        </is>
      </c>
      <c r="E17" s="56" t="inlineStr">
        <is>
          <t>Yes</t>
        </is>
      </c>
      <c r="F17" s="57" t="n"/>
      <c r="G17" s="48" t="n"/>
    </row>
    <row r="18" ht="21" customHeight="1" s="250">
      <c r="A18" s="44" t="n"/>
      <c r="B18" s="49" t="inlineStr">
        <is>
          <t>end_repeat</t>
        </is>
      </c>
      <c r="C18" s="50" t="inlineStr">
        <is>
          <t>Indicate the end of a group of questions that are repeated</t>
        </is>
      </c>
      <c r="D18" s="51" t="inlineStr">
        <is>
          <t>Yes</t>
        </is>
      </c>
      <c r="E18" s="52" t="inlineStr">
        <is>
          <t>Yes</t>
        </is>
      </c>
      <c r="F18" s="53" t="n"/>
      <c r="G18" s="48" t="n"/>
    </row>
    <row r="19" ht="21" customHeight="1" s="250">
      <c r="A19" s="44" t="n"/>
      <c r="B19" s="54" t="inlineStr">
        <is>
          <t>begin_group</t>
        </is>
      </c>
      <c r="C19" s="55" t="inlineStr">
        <is>
          <t>Indicate the start of a group of questions</t>
        </is>
      </c>
      <c r="D19" s="51" t="inlineStr">
        <is>
          <t>Yes</t>
        </is>
      </c>
      <c r="E19" s="56" t="inlineStr">
        <is>
          <t>Yes</t>
        </is>
      </c>
      <c r="F19" s="57" t="n"/>
      <c r="G19" s="48" t="n"/>
    </row>
    <row r="20" ht="21" customHeight="1" s="250">
      <c r="A20" s="44" t="n"/>
      <c r="B20" s="49" t="inlineStr">
        <is>
          <t>end_group</t>
        </is>
      </c>
      <c r="C20" s="50" t="inlineStr">
        <is>
          <t>Indicate the end of a group of questions</t>
        </is>
      </c>
      <c r="D20" s="51" t="inlineStr">
        <is>
          <t>Yes</t>
        </is>
      </c>
      <c r="E20" s="52" t="inlineStr">
        <is>
          <t>Yes</t>
        </is>
      </c>
      <c r="F20" s="53" t="n"/>
      <c r="G20" s="48" t="n"/>
    </row>
    <row r="21" ht="26" customHeight="1" s="250">
      <c r="A21" s="44" t="n"/>
      <c r="B21" s="54" t="inlineStr">
        <is>
          <t>geopoint</t>
        </is>
      </c>
      <c r="C21" s="55" t="inlineStr">
        <is>
          <t>Prompt the user to record a single point (a location)</t>
        </is>
      </c>
      <c r="D21" s="51" t="inlineStr">
        <is>
          <t>Yes</t>
        </is>
      </c>
      <c r="E21" s="56" t="inlineStr">
        <is>
          <t>Yes</t>
        </is>
      </c>
      <c r="F21" s="58" t="inlineStr">
        <is>
          <t>capture-accuracy, warning-accuracy, allow-mock-accuracy</t>
        </is>
      </c>
      <c r="G21" s="48" t="n"/>
    </row>
    <row r="22" ht="21" customHeight="1" s="250">
      <c r="A22" s="44" t="n"/>
      <c r="B22" s="49" t="inlineStr">
        <is>
          <t>geotrace</t>
        </is>
      </c>
      <c r="C22" s="50" t="inlineStr">
        <is>
          <t>Prompt the user to record a line of points</t>
        </is>
      </c>
      <c r="D22" s="51" t="inlineStr">
        <is>
          <t>Yes</t>
        </is>
      </c>
      <c r="E22" s="52" t="inlineStr">
        <is>
          <t>Yes</t>
        </is>
      </c>
      <c r="F22" s="53" t="n"/>
      <c r="G22" s="48" t="n"/>
    </row>
    <row r="23" ht="26" customHeight="1" s="250">
      <c r="A23" s="44" t="n"/>
      <c r="B23" s="54" t="inlineStr">
        <is>
          <t>geoshape</t>
        </is>
      </c>
      <c r="C23" s="55" t="inlineStr">
        <is>
          <t>Prompt the user to record a polygon of points (first and last point are identical)</t>
        </is>
      </c>
      <c r="D23" s="51" t="inlineStr">
        <is>
          <t>Yes</t>
        </is>
      </c>
      <c r="E23" s="56" t="inlineStr">
        <is>
          <t>Yes</t>
        </is>
      </c>
      <c r="F23" s="57" t="n"/>
      <c r="G23" s="48" t="n"/>
    </row>
    <row r="24" ht="26" customHeight="1" s="250">
      <c r="A24" s="44" t="n"/>
      <c r="B24" s="59" t="inlineStr">
        <is>
          <t>start-geopoint</t>
        </is>
      </c>
      <c r="C24" s="50" t="inlineStr">
        <is>
          <t>Record the highest-accuracy point within 20 seconds of creating the blank filled form</t>
        </is>
      </c>
      <c r="D24" s="60" t="inlineStr">
        <is>
          <t>Yes</t>
        </is>
      </c>
      <c r="E24" s="61" t="inlineStr">
        <is>
          <t>Yes</t>
        </is>
      </c>
      <c r="F24" s="62" t="n"/>
      <c r="G24" s="63" t="n"/>
    </row>
    <row r="25" ht="26" customHeight="1" s="250">
      <c r="A25" s="44" t="n"/>
      <c r="B25" s="54" t="inlineStr">
        <is>
          <t>range</t>
        </is>
      </c>
      <c r="C25" s="55" t="inlineStr">
        <is>
          <t>Prompt the user to select a value in an integer or decimal range defined in the parameters column</t>
        </is>
      </c>
      <c r="D25" s="51" t="inlineStr">
        <is>
          <t>Yes</t>
        </is>
      </c>
      <c r="E25" s="56" t="inlineStr">
        <is>
          <t>Yes</t>
        </is>
      </c>
      <c r="F25" s="57" t="inlineStr">
        <is>
          <t>start, end, step</t>
        </is>
      </c>
      <c r="G25" s="64" t="n"/>
    </row>
    <row r="26" ht="21" customHeight="1" s="250">
      <c r="A26" s="44" t="n"/>
      <c r="B26" s="49" t="inlineStr">
        <is>
          <t>image</t>
        </is>
      </c>
      <c r="C26" s="50" t="inlineStr">
        <is>
          <t>Prompt the user for an image</t>
        </is>
      </c>
      <c r="D26" s="51" t="inlineStr">
        <is>
          <t>Yes</t>
        </is>
      </c>
      <c r="E26" s="52" t="inlineStr">
        <is>
          <t>Yes</t>
        </is>
      </c>
      <c r="F26" s="53" t="inlineStr">
        <is>
          <t>max-pixels</t>
        </is>
      </c>
      <c r="G26" s="48" t="n"/>
    </row>
    <row r="27" ht="21" customHeight="1" s="250">
      <c r="A27" s="44" t="n"/>
      <c r="B27" s="54" t="inlineStr">
        <is>
          <t>barcode</t>
        </is>
      </c>
      <c r="C27" s="55" t="inlineStr">
        <is>
          <t>Prompt the user to scan a barcode</t>
        </is>
      </c>
      <c r="D27" s="51" t="inlineStr">
        <is>
          <t>Yes</t>
        </is>
      </c>
      <c r="E27" s="56" t="inlineStr">
        <is>
          <t>No</t>
        </is>
      </c>
      <c r="F27" s="57" t="n"/>
      <c r="G27" s="48" t="n"/>
    </row>
    <row r="28" ht="26" customHeight="1" s="250">
      <c r="A28" s="44" t="n"/>
      <c r="B28" s="49" t="inlineStr">
        <is>
          <t>audio</t>
        </is>
      </c>
      <c r="C28" s="50" t="inlineStr">
        <is>
          <t>Prompt the user to record or select audio</t>
        </is>
      </c>
      <c r="D28" s="51" t="inlineStr">
        <is>
          <t>Yes</t>
        </is>
      </c>
      <c r="E28" s="52" t="inlineStr">
        <is>
          <t>Yes</t>
        </is>
      </c>
      <c r="F28" s="62" t="inlineStr">
        <is>
          <t>quality (normal, low, voice-only, external; defaults to normal)</t>
        </is>
      </c>
      <c r="G28" s="48" t="n"/>
    </row>
    <row r="29" ht="21" customHeight="1" s="250">
      <c r="A29" s="44" t="n"/>
      <c r="B29" s="54" t="inlineStr">
        <is>
          <t>background-audio</t>
        </is>
      </c>
      <c r="C29" s="55" t="inlineStr">
        <is>
          <t>Record audio in the background while filling out the form</t>
        </is>
      </c>
      <c r="D29" s="51" t="inlineStr">
        <is>
          <t>Yes</t>
        </is>
      </c>
      <c r="E29" s="56" t="inlineStr">
        <is>
          <t>No</t>
        </is>
      </c>
      <c r="F29" s="57" t="inlineStr">
        <is>
          <t>quality (normal, low, voice-only)</t>
        </is>
      </c>
      <c r="G29" s="48" t="n"/>
    </row>
    <row r="30" ht="21" customHeight="1" s="250">
      <c r="A30" s="44" t="n"/>
      <c r="B30" s="49" t="inlineStr">
        <is>
          <t>video</t>
        </is>
      </c>
      <c r="C30" s="50" t="inlineStr">
        <is>
          <t>Prompt the user to record or select a video</t>
        </is>
      </c>
      <c r="D30" s="51" t="inlineStr">
        <is>
          <t>Yes</t>
        </is>
      </c>
      <c r="E30" s="52" t="inlineStr">
        <is>
          <t>Yes</t>
        </is>
      </c>
      <c r="F30" s="53" t="n"/>
      <c r="G30" s="48" t="n"/>
    </row>
    <row r="31" ht="21" customHeight="1" s="250">
      <c r="A31" s="44" t="n"/>
      <c r="B31" s="54" t="inlineStr">
        <is>
          <t>file</t>
        </is>
      </c>
      <c r="C31" s="55" t="inlineStr">
        <is>
          <t>Prompt the user to attach a file</t>
        </is>
      </c>
      <c r="D31" s="51" t="inlineStr">
        <is>
          <t>Yes</t>
        </is>
      </c>
      <c r="E31" s="56" t="inlineStr">
        <is>
          <t>Yes</t>
        </is>
      </c>
      <c r="F31" s="57" t="n"/>
      <c r="G31" s="48" t="n"/>
    </row>
    <row r="32" ht="21" customHeight="1" s="250">
      <c r="A32" s="44" t="n"/>
      <c r="B32" s="49" t="inlineStr">
        <is>
          <t>date</t>
        </is>
      </c>
      <c r="C32" s="50" t="inlineStr">
        <is>
          <t>Prompt the user for a date response</t>
        </is>
      </c>
      <c r="D32" s="51" t="inlineStr">
        <is>
          <t>Yes</t>
        </is>
      </c>
      <c r="E32" s="52" t="inlineStr">
        <is>
          <t>Yes</t>
        </is>
      </c>
      <c r="F32" s="53" t="n"/>
      <c r="G32" s="48" t="n"/>
    </row>
    <row r="33" ht="21" customHeight="1" s="250">
      <c r="A33" s="44" t="n"/>
      <c r="B33" s="54" t="inlineStr">
        <is>
          <t>time</t>
        </is>
      </c>
      <c r="C33" s="55" t="inlineStr">
        <is>
          <t>Prompt the user for a time response</t>
        </is>
      </c>
      <c r="D33" s="51" t="inlineStr">
        <is>
          <t>Yes</t>
        </is>
      </c>
      <c r="E33" s="56" t="inlineStr">
        <is>
          <t>Yes</t>
        </is>
      </c>
      <c r="F33" s="57" t="n"/>
      <c r="G33" s="48" t="n"/>
    </row>
    <row r="34" ht="21" customHeight="1" s="250">
      <c r="A34" s="44" t="n"/>
      <c r="B34" s="49" t="inlineStr">
        <is>
          <t>datetime</t>
        </is>
      </c>
      <c r="C34" s="50" t="inlineStr">
        <is>
          <t>Prompt the user for a date and time response</t>
        </is>
      </c>
      <c r="D34" s="51" t="inlineStr">
        <is>
          <t>Yes</t>
        </is>
      </c>
      <c r="E34" s="52" t="inlineStr">
        <is>
          <t>Yes</t>
        </is>
      </c>
      <c r="F34" s="53" t="n"/>
      <c r="G34" s="48" t="n"/>
    </row>
    <row r="35" ht="21" customHeight="1" s="250">
      <c r="A35" s="44" t="n"/>
      <c r="B35" s="54" t="inlineStr">
        <is>
          <t>rank</t>
        </is>
      </c>
      <c r="C35" s="55" t="inlineStr">
        <is>
          <t>Prompt the user to rank a list of choices</t>
        </is>
      </c>
      <c r="D35" s="51" t="inlineStr">
        <is>
          <t>Yes</t>
        </is>
      </c>
      <c r="E35" s="56" t="inlineStr">
        <is>
          <t>Yes</t>
        </is>
      </c>
      <c r="F35" s="57" t="n"/>
      <c r="G35" s="48" t="n"/>
    </row>
    <row r="36" ht="26" customHeight="1" s="250">
      <c r="A36" s="44" t="n"/>
      <c r="B36" s="49" t="inlineStr">
        <is>
          <t>csv-external</t>
        </is>
      </c>
      <c r="C36" s="50" t="inlineStr">
        <is>
          <t>Attach a CSV to the form for querying. Specify its name without extension in the name column</t>
        </is>
      </c>
      <c r="D36" s="51" t="inlineStr">
        <is>
          <t>Yes</t>
        </is>
      </c>
      <c r="E36" s="52" t="inlineStr">
        <is>
          <t>Yes</t>
        </is>
      </c>
      <c r="F36" s="53" t="n"/>
      <c r="G36" s="48" t="n"/>
    </row>
    <row r="37" ht="21" customHeight="1" s="250">
      <c r="A37" s="44" t="n"/>
      <c r="B37" s="54" t="inlineStr">
        <is>
          <t>acknowledge</t>
        </is>
      </c>
      <c r="C37" s="55" t="inlineStr">
        <is>
          <t>Prompt the user to acknowledge a statement</t>
        </is>
      </c>
      <c r="D37" s="51" t="inlineStr">
        <is>
          <t>Yes</t>
        </is>
      </c>
      <c r="E37" s="56" t="inlineStr">
        <is>
          <t>Yes</t>
        </is>
      </c>
      <c r="F37" s="57" t="n"/>
      <c r="G37" s="48" t="n"/>
    </row>
    <row r="38" ht="21" customHeight="1" s="250">
      <c r="A38" s="44" t="n"/>
      <c r="B38" s="49" t="inlineStr">
        <is>
          <t>start</t>
        </is>
      </c>
      <c r="C38" s="50" t="inlineStr">
        <is>
          <t>Record the time when the blank filled form is created</t>
        </is>
      </c>
      <c r="D38" s="51" t="inlineStr">
        <is>
          <t>Yes</t>
        </is>
      </c>
      <c r="E38" s="52" t="inlineStr">
        <is>
          <t>Yes</t>
        </is>
      </c>
      <c r="F38" s="53" t="n"/>
      <c r="G38" s="48" t="n"/>
    </row>
    <row r="39" ht="21" customHeight="1" s="250">
      <c r="A39" s="44" t="n"/>
      <c r="B39" s="54" t="inlineStr">
        <is>
          <t>end</t>
        </is>
      </c>
      <c r="C39" s="55" t="inlineStr">
        <is>
          <t>Record the time the last time that the filled form is finalized</t>
        </is>
      </c>
      <c r="D39" s="51" t="inlineStr">
        <is>
          <t>Yes</t>
        </is>
      </c>
      <c r="E39" s="56" t="inlineStr">
        <is>
          <t>Yes</t>
        </is>
      </c>
      <c r="F39" s="57" t="n"/>
      <c r="G39" s="48" t="n"/>
    </row>
    <row r="40" ht="21.75" customHeight="1" s="250">
      <c r="A40" s="44" t="n"/>
      <c r="B40" s="49" t="inlineStr">
        <is>
          <t>today</t>
        </is>
      </c>
      <c r="C40" s="50" t="inlineStr">
        <is>
          <t>Record the date when the blank filled form is created</t>
        </is>
      </c>
      <c r="D40" s="51" t="inlineStr">
        <is>
          <t>Yes</t>
        </is>
      </c>
      <c r="E40" s="52" t="inlineStr">
        <is>
          <t>Yes</t>
        </is>
      </c>
      <c r="F40" s="53" t="n"/>
      <c r="G40" s="48" t="n"/>
    </row>
    <row r="41" ht="21" customHeight="1" s="250">
      <c r="A41" s="44" t="n"/>
      <c r="B41" s="54" t="inlineStr">
        <is>
          <t>deviceid</t>
        </is>
      </c>
      <c r="C41" s="55" t="inlineStr">
        <is>
          <t>Record the install's unique ID (reset on uninstall or cache clear)</t>
        </is>
      </c>
      <c r="D41" s="51" t="inlineStr">
        <is>
          <t>Yes</t>
        </is>
      </c>
      <c r="E41" s="56" t="inlineStr">
        <is>
          <t>Yes</t>
        </is>
      </c>
      <c r="F41" s="57" t="n"/>
      <c r="G41" s="48" t="n"/>
    </row>
    <row r="42" ht="21" customHeight="1" s="250">
      <c r="A42" s="44" t="n"/>
      <c r="B42" s="49" t="inlineStr">
        <is>
          <t>username</t>
        </is>
      </c>
      <c r="C42" s="50" t="inlineStr">
        <is>
          <t>Record the username</t>
        </is>
      </c>
      <c r="D42" s="51" t="inlineStr">
        <is>
          <t>Yes</t>
        </is>
      </c>
      <c r="E42" s="52" t="inlineStr">
        <is>
          <t>Yes</t>
        </is>
      </c>
      <c r="F42" s="53" t="n"/>
      <c r="G42" s="48" t="n"/>
    </row>
    <row r="43" ht="21" customHeight="1" s="250">
      <c r="A43" s="44" t="n"/>
      <c r="B43" s="54" t="inlineStr">
        <is>
          <t>phonenumber</t>
        </is>
      </c>
      <c r="C43" s="55" t="inlineStr">
        <is>
          <t>Record the phone number stored in app settings</t>
        </is>
      </c>
      <c r="D43" s="51" t="inlineStr">
        <is>
          <t>Yes</t>
        </is>
      </c>
      <c r="E43" s="56" t="inlineStr">
        <is>
          <t>No</t>
        </is>
      </c>
      <c r="F43" s="65" t="n"/>
      <c r="G43" s="48" t="n"/>
    </row>
    <row r="44" ht="21" customHeight="1" s="250">
      <c r="A44" s="44" t="n"/>
      <c r="B44" s="49" t="inlineStr">
        <is>
          <t>email</t>
        </is>
      </c>
      <c r="C44" s="50" t="inlineStr">
        <is>
          <t>Record the email stored in app settings</t>
        </is>
      </c>
      <c r="D44" s="51" t="inlineStr">
        <is>
          <t>Yes</t>
        </is>
      </c>
      <c r="E44" s="52" t="inlineStr">
        <is>
          <t>No</t>
        </is>
      </c>
      <c r="F44" s="66" t="n"/>
      <c r="G44" s="48" t="n"/>
    </row>
    <row r="45" ht="26" customHeight="1" s="250">
      <c r="A45" s="67" t="n"/>
      <c r="B45" s="54" t="inlineStr">
        <is>
          <t>hidden</t>
        </is>
      </c>
      <c r="C45" s="55" t="inlineStr">
        <is>
          <t>Hidden field that can record the result of a calculation, have a default value, or have no value at all.</t>
        </is>
      </c>
      <c r="D45" s="51" t="inlineStr">
        <is>
          <t>Yes</t>
        </is>
      </c>
      <c r="E45" s="56" t="inlineStr">
        <is>
          <t>Yes</t>
        </is>
      </c>
      <c r="F45" s="57" t="n"/>
      <c r="G45" s="48" t="n"/>
    </row>
    <row r="46" ht="52" customHeight="1" s="250">
      <c r="A46" s="44" t="n"/>
      <c r="B46" s="68" t="inlineStr">
        <is>
          <t>audit</t>
        </is>
      </c>
      <c r="C46" s="69" t="inlineStr">
        <is>
          <t>Log user's actions while filling out the form as an attached CSV</t>
        </is>
      </c>
      <c r="D46" s="70" t="inlineStr">
        <is>
          <t>Yes</t>
        </is>
      </c>
      <c r="E46" s="71" t="inlineStr">
        <is>
          <t>No</t>
        </is>
      </c>
      <c r="F46" s="72" t="inlineStr">
        <is>
          <t>location-priority, location-min-interval, location-max-age, track-changes, track-changes-reasons, identify-user</t>
        </is>
      </c>
      <c r="G46" s="48" t="n"/>
    </row>
    <row r="47" ht="21" customHeight="1" s="250">
      <c r="A47" s="73" t="n"/>
      <c r="B47" s="74" t="n"/>
      <c r="C47" s="74" t="n"/>
      <c r="D47" s="74" t="n"/>
      <c r="E47" s="74" t="n"/>
      <c r="F47" s="75" t="n"/>
      <c r="G47" s="39" t="n"/>
    </row>
  </sheetData>
  <autoFilter ref="D7:E46"/>
  <mergeCells count="2">
    <mergeCell ref="B2:F2"/>
    <mergeCell ref="B1:F1"/>
  </mergeCells>
  <conditionalFormatting sqref="D8:E46">
    <cfRule type="cellIs" priority="1" operator="equal" dxfId="1">
      <formula>"YES"</formula>
    </cfRule>
  </conditionalFormatting>
  <conditionalFormatting sqref="D8:E47">
    <cfRule type="cellIs" priority="2" operator="equal" dxfId="0">
      <formula>"NO"</formula>
    </cfRule>
  </conditionalFormatting>
  <hyperlinks>
    <hyperlink xmlns:r="http://schemas.openxmlformats.org/officeDocument/2006/relationships" ref="F3" location="gid=0" r:id="rId1"/>
  </hyperlink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G53"/>
  <sheetViews>
    <sheetView zoomScale="130" zoomScaleNormal="130" workbookViewId="0">
      <pane ySplit="6" topLeftCell="A7" activePane="bottomLeft" state="frozen"/>
      <selection pane="bottomLeft" activeCell="A1" sqref="A1"/>
    </sheetView>
  </sheetViews>
  <sheetFormatPr baseColWidth="10" defaultColWidth="12.6640625" defaultRowHeight="15.75" customHeight="1"/>
  <cols>
    <col width="2.6640625" customWidth="1" style="250" min="1" max="1"/>
    <col width="16.1640625" customWidth="1" style="250" min="2" max="2"/>
    <col width="55.6640625" customWidth="1" style="250" min="3" max="3"/>
    <col width="24.83203125" customWidth="1" style="250" min="4" max="4"/>
    <col width="19.6640625" customWidth="1" style="250" min="5" max="5"/>
    <col width="19.1640625" customWidth="1" style="250" min="6" max="6"/>
  </cols>
  <sheetData>
    <row r="1" ht="41.25" customHeight="1" s="250">
      <c r="A1" s="76" t="n"/>
      <c r="B1" s="240" t="inlineStr">
        <is>
          <t>Appearances</t>
        </is>
      </c>
      <c r="C1" s="263" t="n"/>
      <c r="D1" s="263" t="n"/>
      <c r="E1" s="263" t="n"/>
      <c r="F1" s="263" t="n"/>
      <c r="G1" s="77" t="n"/>
    </row>
    <row r="2" ht="13" customHeight="1" s="250">
      <c r="A2" s="77" t="n"/>
      <c r="B2" s="77" t="n"/>
      <c r="C2" s="266" t="n"/>
      <c r="D2" s="266" t="n"/>
      <c r="E2" s="266" t="n"/>
      <c r="F2" s="267" t="n"/>
      <c r="G2" s="77" t="n"/>
    </row>
    <row r="3" ht="13" customHeight="1" s="250">
      <c r="A3" s="77" t="n"/>
      <c r="B3" s="39" t="inlineStr">
        <is>
          <t>Appearances configure how a question will be displayed to the user on their device</t>
        </is>
      </c>
      <c r="C3" s="77" t="n"/>
      <c r="D3" s="77" t="n"/>
      <c r="E3" s="77" t="n"/>
      <c r="F3" s="77" t="n"/>
      <c r="G3" s="77" t="n"/>
    </row>
    <row r="4" ht="13" customHeight="1" s="250">
      <c r="A4" s="77" t="n"/>
      <c r="B4" s="39" t="inlineStr">
        <is>
          <t>💡 Most appearances for the same question type can be combined by using a space-separated list</t>
        </is>
      </c>
      <c r="C4" s="77" t="n"/>
      <c r="D4" s="77" t="n"/>
      <c r="E4" s="77" t="n"/>
      <c r="F4" s="77" t="n"/>
      <c r="G4" s="77" t="n"/>
    </row>
    <row r="5" ht="13" customHeight="1" s="250">
      <c r="A5" s="77" t="n"/>
      <c r="B5" s="79" t="n"/>
      <c r="C5" s="79" t="n"/>
      <c r="D5" s="79" t="n"/>
      <c r="E5" s="79" t="n"/>
      <c r="F5" s="79" t="n"/>
      <c r="G5" s="77" t="n"/>
    </row>
    <row r="6" ht="25.5" customHeight="1" s="250">
      <c r="A6" s="80" t="n"/>
      <c r="B6" s="45" t="inlineStr">
        <is>
          <t>Appearance name</t>
        </is>
      </c>
      <c r="C6" s="46" t="inlineStr">
        <is>
          <t>Description</t>
        </is>
      </c>
      <c r="D6" s="46" t="inlineStr">
        <is>
          <t>Type(s) used with</t>
        </is>
      </c>
      <c r="E6" s="46" t="inlineStr">
        <is>
          <t>Collect mobile forms</t>
        </is>
      </c>
      <c r="F6" s="81" t="inlineStr">
        <is>
          <t>Enketo web forms</t>
        </is>
      </c>
      <c r="G6" s="82" t="n"/>
    </row>
    <row r="7" ht="13" customHeight="1" s="250">
      <c r="A7" s="83" t="n"/>
      <c r="B7" s="49" t="inlineStr">
        <is>
          <t>numbers</t>
        </is>
      </c>
      <c r="C7" s="84" t="inlineStr">
        <is>
          <t>Restrict input to numeric symbols but save the value as text</t>
        </is>
      </c>
      <c r="D7" s="84" t="inlineStr">
        <is>
          <t>text</t>
        </is>
      </c>
      <c r="E7" s="52" t="inlineStr">
        <is>
          <t>Yes</t>
        </is>
      </c>
      <c r="F7" s="85" t="inlineStr">
        <is>
          <t>depends on browser</t>
        </is>
      </c>
      <c r="G7" s="82" t="n"/>
    </row>
    <row r="8" ht="26" customHeight="1" s="250">
      <c r="A8" s="83" t="n"/>
      <c r="B8" s="54" t="inlineStr">
        <is>
          <t>multiline</t>
        </is>
      </c>
      <c r="C8" s="86" t="inlineStr">
        <is>
          <t>Show a text area that is multiple lines tall</t>
        </is>
      </c>
      <c r="D8" s="86" t="inlineStr">
        <is>
          <t>text</t>
        </is>
      </c>
      <c r="E8" s="87" t="inlineStr">
        <is>
          <t>No (text boxes grow vertically as needed)</t>
        </is>
      </c>
      <c r="F8" s="88" t="inlineStr">
        <is>
          <t>Yes</t>
        </is>
      </c>
      <c r="G8" s="89" t="n"/>
    </row>
    <row r="9" ht="13" customHeight="1" s="250">
      <c r="A9" s="83" t="n"/>
      <c r="B9" s="49" t="inlineStr">
        <is>
          <t>url</t>
        </is>
      </c>
      <c r="C9" s="84" t="inlineStr">
        <is>
          <t>Show a button to launch the website represented by this field's value</t>
        </is>
      </c>
      <c r="D9" s="84" t="inlineStr">
        <is>
          <t>text</t>
        </is>
      </c>
      <c r="E9" s="52" t="inlineStr">
        <is>
          <t>Yes</t>
        </is>
      </c>
      <c r="F9" s="85" t="inlineStr">
        <is>
          <t>Yes</t>
        </is>
      </c>
      <c r="G9" s="82" t="n"/>
    </row>
    <row r="10" ht="26" customHeight="1" s="250">
      <c r="A10" s="83" t="n"/>
      <c r="B10" s="54" t="inlineStr">
        <is>
          <t>ex:</t>
        </is>
      </c>
      <c r="C10" s="55" t="inlineStr">
        <is>
          <t>Add the Android app ID of a custom application after the ex: prefix to launch that application</t>
        </is>
      </c>
      <c r="D10" s="55" t="inlineStr">
        <is>
          <t>text integer decimal image audio video file</t>
        </is>
      </c>
      <c r="E10" s="56" t="inlineStr">
        <is>
          <t>Yes</t>
        </is>
      </c>
      <c r="F10" s="88" t="inlineStr">
        <is>
          <t>No</t>
        </is>
      </c>
      <c r="G10" s="82" t="n"/>
    </row>
    <row r="11" ht="26" customHeight="1" s="250">
      <c r="A11" s="90" t="n"/>
      <c r="B11" s="59" t="inlineStr">
        <is>
          <t>thousands-sep</t>
        </is>
      </c>
      <c r="C11" s="50" t="inlineStr">
        <is>
          <t>Automatically add locale-dependent thousands separators on screen but not in submissions</t>
        </is>
      </c>
      <c r="D11" s="50" t="inlineStr">
        <is>
          <t>integer, decimal, text numbers</t>
        </is>
      </c>
      <c r="E11" s="61" t="inlineStr">
        <is>
          <t>Yes</t>
        </is>
      </c>
      <c r="F11" s="91" t="inlineStr">
        <is>
          <t>Yes</t>
        </is>
      </c>
      <c r="G11" s="92" t="n"/>
    </row>
    <row r="12" ht="13" customHeight="1" s="250">
      <c r="A12" s="83" t="n"/>
      <c r="B12" s="54" t="inlineStr">
        <is>
          <t>bearing</t>
        </is>
      </c>
      <c r="C12" s="86" t="inlineStr">
        <is>
          <t>Prompt the user to capture the device-reported compass direction</t>
        </is>
      </c>
      <c r="D12" s="86" t="inlineStr">
        <is>
          <t>decimal</t>
        </is>
      </c>
      <c r="E12" s="56" t="inlineStr">
        <is>
          <t>Yes</t>
        </is>
      </c>
      <c r="F12" s="88" t="inlineStr">
        <is>
          <t>No</t>
        </is>
      </c>
      <c r="G12" s="82" t="n"/>
    </row>
    <row r="13" ht="13" customHeight="1" s="250">
      <c r="A13" s="83" t="n"/>
      <c r="B13" s="49" t="inlineStr">
        <is>
          <t>vertical</t>
        </is>
      </c>
      <c r="C13" s="84" t="inlineStr">
        <is>
          <t>Show a vertical range slider instead of the default horizontal slider</t>
        </is>
      </c>
      <c r="D13" s="84" t="inlineStr">
        <is>
          <t>range</t>
        </is>
      </c>
      <c r="E13" s="52" t="inlineStr">
        <is>
          <t>Yes</t>
        </is>
      </c>
      <c r="F13" s="85" t="inlineStr">
        <is>
          <t>Yes</t>
        </is>
      </c>
      <c r="G13" s="82" t="n"/>
    </row>
    <row r="14" ht="13" customHeight="1" s="250">
      <c r="A14" s="83" t="n"/>
      <c r="B14" s="54" t="inlineStr">
        <is>
          <t>no-ticks</t>
        </is>
      </c>
      <c r="C14" s="86" t="inlineStr">
        <is>
          <t>Hide tick marks for a range slider (can combine with vertical)</t>
        </is>
      </c>
      <c r="D14" s="86" t="inlineStr">
        <is>
          <t>range</t>
        </is>
      </c>
      <c r="E14" s="56" t="inlineStr">
        <is>
          <t>Yes</t>
        </is>
      </c>
      <c r="F14" s="88" t="inlineStr">
        <is>
          <t>Yes</t>
        </is>
      </c>
      <c r="G14" s="82" t="n"/>
    </row>
    <row r="15" ht="13" customHeight="1" s="250">
      <c r="A15" s="83" t="n"/>
      <c r="B15" s="49" t="inlineStr">
        <is>
          <t>picker</t>
        </is>
      </c>
      <c r="C15" s="84" t="inlineStr">
        <is>
          <t>Show values in a range as a list of options that can be picked</t>
        </is>
      </c>
      <c r="D15" s="84" t="inlineStr">
        <is>
          <t>range</t>
        </is>
      </c>
      <c r="E15" s="52" t="inlineStr">
        <is>
          <t>Yes</t>
        </is>
      </c>
      <c r="F15" s="85" t="inlineStr">
        <is>
          <t>Yes</t>
        </is>
      </c>
      <c r="G15" s="82" t="n"/>
    </row>
    <row r="16" ht="13" customHeight="1" s="250">
      <c r="A16" s="83" t="n"/>
      <c r="B16" s="54" t="inlineStr">
        <is>
          <t>rating</t>
        </is>
      </c>
      <c r="C16" s="86" t="inlineStr">
        <is>
          <t>Show values in a range as star ratings</t>
        </is>
      </c>
      <c r="D16" s="86" t="inlineStr">
        <is>
          <t>range</t>
        </is>
      </c>
      <c r="E16" s="56" t="inlineStr">
        <is>
          <t>Yes</t>
        </is>
      </c>
      <c r="F16" s="88" t="inlineStr">
        <is>
          <t>Yes</t>
        </is>
      </c>
      <c r="G16" s="82" t="n"/>
    </row>
    <row r="17" ht="13" customHeight="1" s="250">
      <c r="A17" s="83" t="n"/>
      <c r="B17" s="49" t="inlineStr">
        <is>
          <t>new</t>
        </is>
      </c>
      <c r="C17" s="84" t="inlineStr">
        <is>
          <t>Only show the option to capture new media, not to select existing</t>
        </is>
      </c>
      <c r="D17" s="84" t="inlineStr">
        <is>
          <t>image audio video</t>
        </is>
      </c>
      <c r="E17" s="52" t="inlineStr">
        <is>
          <t>Yes</t>
        </is>
      </c>
      <c r="F17" s="85" t="inlineStr">
        <is>
          <t>depends on browser</t>
        </is>
      </c>
      <c r="G17" s="82" t="n"/>
    </row>
    <row r="18" ht="13" customHeight="1" s="250">
      <c r="A18" s="83" t="n"/>
      <c r="B18" s="54" t="inlineStr">
        <is>
          <t>new-front</t>
        </is>
      </c>
      <c r="C18" s="86" t="inlineStr">
        <is>
          <t xml:space="preserve">Only show the option to capture a new picture from front (selfie) camera </t>
        </is>
      </c>
      <c r="D18" s="86" t="inlineStr">
        <is>
          <t>image</t>
        </is>
      </c>
      <c r="E18" s="56" t="inlineStr">
        <is>
          <t>Yes</t>
        </is>
      </c>
      <c r="F18" s="88" t="inlineStr">
        <is>
          <t>depends on browser</t>
        </is>
      </c>
      <c r="G18" s="82" t="n"/>
    </row>
    <row r="19" ht="13" customHeight="1" s="250">
      <c r="A19" s="83" t="n"/>
      <c r="B19" s="49" t="inlineStr">
        <is>
          <t>draw</t>
        </is>
      </c>
      <c r="C19" s="84" t="inlineStr">
        <is>
          <t>Prompt the user to draw an image</t>
        </is>
      </c>
      <c r="D19" s="84" t="inlineStr">
        <is>
          <t>image</t>
        </is>
      </c>
      <c r="E19" s="52" t="inlineStr">
        <is>
          <t>Yes</t>
        </is>
      </c>
      <c r="F19" s="85" t="inlineStr">
        <is>
          <t>Yes</t>
        </is>
      </c>
      <c r="G19" s="82" t="n"/>
    </row>
    <row r="20" ht="13" customHeight="1" s="250">
      <c r="A20" s="83" t="n"/>
      <c r="B20" s="54" t="inlineStr">
        <is>
          <t>annotate</t>
        </is>
      </c>
      <c r="C20" s="86" t="inlineStr">
        <is>
          <t>Prompt the user to annotate (draw on) an image</t>
        </is>
      </c>
      <c r="D20" s="86" t="inlineStr">
        <is>
          <t>image</t>
        </is>
      </c>
      <c r="E20" s="56" t="inlineStr">
        <is>
          <t>Yes</t>
        </is>
      </c>
      <c r="F20" s="88" t="inlineStr">
        <is>
          <t>Yes</t>
        </is>
      </c>
      <c r="G20" s="82" t="n"/>
    </row>
    <row r="21" ht="13" customHeight="1" s="250">
      <c r="A21" s="83" t="n"/>
      <c r="B21" s="49" t="inlineStr">
        <is>
          <t>signature</t>
        </is>
      </c>
      <c r="C21" s="84" t="inlineStr">
        <is>
          <t>Prompt the user to sign their signature</t>
        </is>
      </c>
      <c r="D21" s="84" t="inlineStr">
        <is>
          <t>image</t>
        </is>
      </c>
      <c r="E21" s="52" t="inlineStr">
        <is>
          <t>Yes</t>
        </is>
      </c>
      <c r="F21" s="85" t="inlineStr">
        <is>
          <t>Yes</t>
        </is>
      </c>
      <c r="G21" s="82" t="n"/>
    </row>
    <row r="22" ht="13" customHeight="1" s="250">
      <c r="A22" s="83" t="n"/>
      <c r="B22" s="54" t="inlineStr">
        <is>
          <t>no-calendar</t>
        </is>
      </c>
      <c r="C22" s="86" t="inlineStr">
        <is>
          <t>Show date picker as spinners rather than a calendar</t>
        </is>
      </c>
      <c r="D22" s="86" t="inlineStr">
        <is>
          <t>date datetime</t>
        </is>
      </c>
      <c r="E22" s="56" t="inlineStr">
        <is>
          <t>Yes</t>
        </is>
      </c>
      <c r="F22" s="88" t="inlineStr">
        <is>
          <t>No</t>
        </is>
      </c>
      <c r="G22" s="82" t="n"/>
    </row>
    <row r="23" ht="13" customHeight="1" s="250">
      <c r="A23" s="83" t="n"/>
      <c r="B23" s="49" t="inlineStr">
        <is>
          <t>month-year</t>
        </is>
      </c>
      <c r="C23" s="84" t="inlineStr">
        <is>
          <t>Show date picker for month and year only</t>
        </is>
      </c>
      <c r="D23" s="84" t="inlineStr">
        <is>
          <t>date</t>
        </is>
      </c>
      <c r="E23" s="52" t="inlineStr">
        <is>
          <t>Yes</t>
        </is>
      </c>
      <c r="F23" s="85" t="inlineStr">
        <is>
          <t>depends on browser</t>
        </is>
      </c>
      <c r="G23" s="82" t="n"/>
    </row>
    <row r="24" ht="13" customHeight="1" s="250">
      <c r="A24" s="83" t="n"/>
      <c r="B24" s="54" t="inlineStr">
        <is>
          <t>year</t>
        </is>
      </c>
      <c r="C24" s="86" t="inlineStr">
        <is>
          <t>Show date picker for year only</t>
        </is>
      </c>
      <c r="D24" s="86" t="inlineStr">
        <is>
          <t>date</t>
        </is>
      </c>
      <c r="E24" s="56" t="inlineStr">
        <is>
          <t>Yes</t>
        </is>
      </c>
      <c r="F24" s="88" t="inlineStr">
        <is>
          <t>some desktop browsers</t>
        </is>
      </c>
      <c r="G24" s="82" t="n"/>
    </row>
    <row r="25" ht="13" customHeight="1" s="250">
      <c r="A25" s="83" t="n"/>
      <c r="B25" s="49" t="inlineStr">
        <is>
          <t>ethiopian</t>
        </is>
      </c>
      <c r="C25" s="84" t="inlineStr">
        <is>
          <t>Show date picker using the Ethiopian calendar</t>
        </is>
      </c>
      <c r="D25" s="84" t="inlineStr">
        <is>
          <t>date</t>
        </is>
      </c>
      <c r="E25" s="52" t="inlineStr">
        <is>
          <t>Yes</t>
        </is>
      </c>
      <c r="F25" s="85" t="inlineStr">
        <is>
          <t>No</t>
        </is>
      </c>
      <c r="G25" s="82" t="n"/>
    </row>
    <row r="26" ht="13" customHeight="1" s="250">
      <c r="A26" s="83" t="n"/>
      <c r="B26" s="54" t="inlineStr">
        <is>
          <t>coptic</t>
        </is>
      </c>
      <c r="C26" s="86" t="inlineStr">
        <is>
          <t>Show date picker using the Coptic calendar</t>
        </is>
      </c>
      <c r="D26" s="86" t="inlineStr">
        <is>
          <t>date</t>
        </is>
      </c>
      <c r="E26" s="56" t="inlineStr">
        <is>
          <t>Yes</t>
        </is>
      </c>
      <c r="F26" s="88" t="inlineStr">
        <is>
          <t>No</t>
        </is>
      </c>
      <c r="G26" s="82" t="n"/>
    </row>
    <row r="27" ht="13" customHeight="1" s="250">
      <c r="A27" s="83" t="n"/>
      <c r="B27" s="49" t="inlineStr">
        <is>
          <t>islamic</t>
        </is>
      </c>
      <c r="C27" s="84" t="inlineStr">
        <is>
          <t>Show date picker using the Islamic calendar</t>
        </is>
      </c>
      <c r="D27" s="84" t="inlineStr">
        <is>
          <t>date</t>
        </is>
      </c>
      <c r="E27" s="52" t="inlineStr">
        <is>
          <t>Yes</t>
        </is>
      </c>
      <c r="F27" s="85" t="inlineStr">
        <is>
          <t>No</t>
        </is>
      </c>
      <c r="G27" s="82" t="n"/>
    </row>
    <row r="28" ht="13" customHeight="1" s="250">
      <c r="A28" s="83" t="n"/>
      <c r="B28" s="54" t="inlineStr">
        <is>
          <t>bikram-sambat</t>
        </is>
      </c>
      <c r="C28" s="86" t="inlineStr">
        <is>
          <t>Show date picker using the Bikram Sambat (Nepali) calendar</t>
        </is>
      </c>
      <c r="D28" s="86" t="inlineStr">
        <is>
          <t>date</t>
        </is>
      </c>
      <c r="E28" s="56" t="inlineStr">
        <is>
          <t>Yes</t>
        </is>
      </c>
      <c r="F28" s="88" t="inlineStr">
        <is>
          <t>No</t>
        </is>
      </c>
      <c r="G28" s="82" t="n"/>
    </row>
    <row r="29" ht="13" customHeight="1" s="250">
      <c r="A29" s="83" t="n"/>
      <c r="B29" s="49" t="inlineStr">
        <is>
          <t>myanmar</t>
        </is>
      </c>
      <c r="C29" s="84" t="inlineStr">
        <is>
          <t>Show date picker using the Myanmar calendar</t>
        </is>
      </c>
      <c r="D29" s="84" t="inlineStr">
        <is>
          <t>date</t>
        </is>
      </c>
      <c r="E29" s="52" t="inlineStr">
        <is>
          <t>Yes</t>
        </is>
      </c>
      <c r="F29" s="85" t="inlineStr">
        <is>
          <t>No</t>
        </is>
      </c>
      <c r="G29" s="82" t="n"/>
    </row>
    <row r="30" ht="13" customHeight="1" s="250">
      <c r="A30" s="83" t="n"/>
      <c r="B30" s="54" t="inlineStr">
        <is>
          <t>persian</t>
        </is>
      </c>
      <c r="C30" s="86" t="inlineStr">
        <is>
          <t>Show date picker using the Persian calendar</t>
        </is>
      </c>
      <c r="D30" s="86" t="inlineStr">
        <is>
          <t>date</t>
        </is>
      </c>
      <c r="E30" s="56" t="inlineStr">
        <is>
          <t>Yes</t>
        </is>
      </c>
      <c r="F30" s="88" t="inlineStr">
        <is>
          <t>No</t>
        </is>
      </c>
      <c r="G30" s="82" t="n"/>
    </row>
    <row r="31" ht="13" customHeight="1" s="250">
      <c r="A31" s="83" t="n"/>
      <c r="B31" s="49" t="inlineStr">
        <is>
          <t>placement-map</t>
        </is>
      </c>
      <c r="C31" s="84" t="inlineStr">
        <is>
          <t>Show a map that the user can manually place and adjust a location on</t>
        </is>
      </c>
      <c r="D31" s="84" t="inlineStr">
        <is>
          <t>geopoint</t>
        </is>
      </c>
      <c r="E31" s="52" t="inlineStr">
        <is>
          <t>Yes</t>
        </is>
      </c>
      <c r="F31" s="85" t="inlineStr">
        <is>
          <t>Yes</t>
        </is>
      </c>
      <c r="G31" s="82" t="n"/>
    </row>
    <row r="32" ht="26" customHeight="1" s="250">
      <c r="A32" s="83" t="n"/>
      <c r="B32" s="54" t="inlineStr">
        <is>
          <t>maps</t>
        </is>
      </c>
      <c r="C32" s="55" t="inlineStr">
        <is>
          <t>Show a map that the user can capture device location on (but not manually adjust)</t>
        </is>
      </c>
      <c r="D32" s="86" t="inlineStr">
        <is>
          <t>geopoint</t>
        </is>
      </c>
      <c r="E32" s="56" t="inlineStr">
        <is>
          <t>Yes</t>
        </is>
      </c>
      <c r="F32" s="88" t="inlineStr">
        <is>
          <t>Yes</t>
        </is>
      </c>
      <c r="G32" s="82" t="n"/>
    </row>
    <row r="33" ht="13" customHeight="1" s="250">
      <c r="A33" s="83" t="n"/>
      <c r="B33" s="49" t="inlineStr">
        <is>
          <t>hide-input</t>
        </is>
      </c>
      <c r="C33" s="84" t="inlineStr">
        <is>
          <t>Show a larger map and hide geo input fields by default</t>
        </is>
      </c>
      <c r="D33" s="84" t="inlineStr">
        <is>
          <t>geopoint geotrace geoshape</t>
        </is>
      </c>
      <c r="E33" s="52" t="inlineStr">
        <is>
          <t>N/A</t>
        </is>
      </c>
      <c r="F33" s="85" t="inlineStr">
        <is>
          <t>Yes</t>
        </is>
      </c>
      <c r="G33" s="82" t="n"/>
    </row>
    <row r="34" ht="13" customHeight="1" s="250">
      <c r="A34" s="83" t="n"/>
      <c r="B34" s="54" t="inlineStr">
        <is>
          <t>minimal</t>
        </is>
      </c>
      <c r="C34" s="86" t="inlineStr">
        <is>
          <t>Show a text prompt that when tapped shows all choices</t>
        </is>
      </c>
      <c r="D34" s="86" t="inlineStr">
        <is>
          <t>all selects</t>
        </is>
      </c>
      <c r="E34" s="56" t="inlineStr">
        <is>
          <t>Yes</t>
        </is>
      </c>
      <c r="F34" s="88" t="inlineStr">
        <is>
          <t>Yes</t>
        </is>
      </c>
      <c r="G34" s="82" t="n"/>
    </row>
    <row r="35" ht="13" customHeight="1" s="250">
      <c r="A35" s="83" t="n"/>
      <c r="B35" s="49" t="inlineStr">
        <is>
          <t>search</t>
        </is>
      </c>
      <c r="C35" s="84" t="inlineStr">
        <is>
          <t>Allow the user to search the list of available choices</t>
        </is>
      </c>
      <c r="D35" s="84" t="inlineStr">
        <is>
          <t>all selects</t>
        </is>
      </c>
      <c r="E35" s="52" t="inlineStr">
        <is>
          <t>Yes</t>
        </is>
      </c>
      <c r="F35" s="85" t="inlineStr">
        <is>
          <t>Yes (select one only)</t>
        </is>
      </c>
      <c r="G35" s="82" t="n"/>
    </row>
    <row r="36" ht="13" customHeight="1" s="250">
      <c r="A36" s="83" t="n"/>
      <c r="B36" s="54" t="inlineStr">
        <is>
          <t>quick</t>
        </is>
      </c>
      <c r="C36" s="86" t="inlineStr">
        <is>
          <t>Advance to the next screen immediately after a choice is selected</t>
        </is>
      </c>
      <c r="D36" s="86" t="inlineStr">
        <is>
          <t>select_one select_one_from_file</t>
        </is>
      </c>
      <c r="E36" s="56" t="inlineStr">
        <is>
          <t>Yes</t>
        </is>
      </c>
      <c r="F36" s="88" t="inlineStr">
        <is>
          <t>No</t>
        </is>
      </c>
      <c r="G36" s="82" t="n"/>
    </row>
    <row r="37" ht="13" customHeight="1" s="250">
      <c r="A37" s="83" t="n"/>
      <c r="B37" s="49" t="inlineStr">
        <is>
          <t>columns-pack</t>
        </is>
      </c>
      <c r="C37" s="84" t="inlineStr">
        <is>
          <t>Show available choices with as may as possible on one line</t>
        </is>
      </c>
      <c r="D37" s="84" t="inlineStr">
        <is>
          <t>all selects</t>
        </is>
      </c>
      <c r="E37" s="52" t="inlineStr">
        <is>
          <t>Yes</t>
        </is>
      </c>
      <c r="F37" s="85" t="inlineStr">
        <is>
          <t>Yes</t>
        </is>
      </c>
      <c r="G37" s="82" t="n"/>
    </row>
    <row r="38" ht="13" customHeight="1" s="250">
      <c r="A38" s="83" t="n"/>
      <c r="B38" s="54" t="inlineStr">
        <is>
          <t>columns</t>
        </is>
      </c>
      <c r="C38" s="55" t="inlineStr">
        <is>
          <t>Show available choices in 2, 3, 4 or 5 columns depending on screen size</t>
        </is>
      </c>
      <c r="D38" s="86" t="inlineStr">
        <is>
          <t>all selects</t>
        </is>
      </c>
      <c r="E38" s="56" t="inlineStr">
        <is>
          <t>Yes</t>
        </is>
      </c>
      <c r="F38" s="88" t="inlineStr">
        <is>
          <t>Yes</t>
        </is>
      </c>
      <c r="G38" s="82" t="n"/>
    </row>
    <row r="39" ht="13" customHeight="1" s="250">
      <c r="A39" s="83" t="n"/>
      <c r="B39" s="49" t="inlineStr">
        <is>
          <t>columns-n</t>
        </is>
      </c>
      <c r="C39" s="84" t="inlineStr">
        <is>
          <t>Show available choices in the specified number (n) of columns</t>
        </is>
      </c>
      <c r="D39" s="84" t="inlineStr">
        <is>
          <t>all selects</t>
        </is>
      </c>
      <c r="E39" s="52" t="inlineStr">
        <is>
          <t>Yes</t>
        </is>
      </c>
      <c r="F39" s="85" t="inlineStr">
        <is>
          <t>Yes</t>
        </is>
      </c>
      <c r="G39" s="82" t="n"/>
    </row>
    <row r="40" ht="13" customHeight="1" s="250">
      <c r="A40" s="83" t="n"/>
      <c r="B40" s="54" t="inlineStr">
        <is>
          <t>no-buttons</t>
        </is>
      </c>
      <c r="C40" s="86" t="inlineStr">
        <is>
          <t>Show available choices without radio buttons / check boxes</t>
        </is>
      </c>
      <c r="D40" s="86" t="inlineStr">
        <is>
          <t>all selects</t>
        </is>
      </c>
      <c r="E40" s="56" t="inlineStr">
        <is>
          <t>Yes</t>
        </is>
      </c>
      <c r="F40" s="88" t="inlineStr">
        <is>
          <t>Yes</t>
        </is>
      </c>
      <c r="G40" s="82" t="n"/>
    </row>
    <row r="41" ht="26" customHeight="1" s="250">
      <c r="A41" s="83" t="n"/>
      <c r="B41" s="49" t="inlineStr">
        <is>
          <t>image-map</t>
        </is>
      </c>
      <c r="C41" s="50" t="inlineStr">
        <is>
          <t>Show available choices mapped to the svg file specified in the image column</t>
        </is>
      </c>
      <c r="D41" s="84" t="inlineStr">
        <is>
          <t>all selects</t>
        </is>
      </c>
      <c r="E41" s="52" t="inlineStr">
        <is>
          <t>Yes</t>
        </is>
      </c>
      <c r="F41" s="85" t="inlineStr">
        <is>
          <t>Yes</t>
        </is>
      </c>
      <c r="G41" s="82" t="n"/>
    </row>
    <row r="42" ht="13" customHeight="1" s="250">
      <c r="A42" s="83" t="n"/>
      <c r="B42" s="54" t="inlineStr">
        <is>
          <t>likert</t>
        </is>
      </c>
      <c r="C42" s="86" t="inlineStr">
        <is>
          <t>Show available choices horizontally as a likert scale</t>
        </is>
      </c>
      <c r="D42" s="86" t="inlineStr">
        <is>
          <t>select_one select_one_from_file</t>
        </is>
      </c>
      <c r="E42" s="56" t="inlineStr">
        <is>
          <t>Yes</t>
        </is>
      </c>
      <c r="F42" s="88" t="inlineStr">
        <is>
          <t>Yes</t>
        </is>
      </c>
      <c r="G42" s="82" t="n"/>
    </row>
    <row r="43" ht="13" customHeight="1" s="250">
      <c r="A43" s="83" t="n"/>
      <c r="B43" s="49" t="inlineStr">
        <is>
          <t>map</t>
        </is>
      </c>
      <c r="C43" s="50" t="inlineStr">
        <is>
          <t>Show available choices on a map using each choice's geometry column</t>
        </is>
      </c>
      <c r="D43" s="84" t="inlineStr">
        <is>
          <t>select_one select_one_from_file</t>
        </is>
      </c>
      <c r="E43" s="52" t="inlineStr">
        <is>
          <t>Yes</t>
        </is>
      </c>
      <c r="F43" s="85" t="inlineStr">
        <is>
          <t>No</t>
        </is>
      </c>
      <c r="G43" s="82" t="n"/>
    </row>
    <row r="44" ht="26" customHeight="1" s="250">
      <c r="A44" s="83" t="n"/>
      <c r="B44" s="54" t="inlineStr">
        <is>
          <t>field-list</t>
        </is>
      </c>
      <c r="C44" s="86" t="inlineStr">
        <is>
          <t>Show all questions in the field list on the same screen</t>
        </is>
      </c>
      <c r="D44" s="86" t="inlineStr">
        <is>
          <t>begin_group begin_repeat</t>
        </is>
      </c>
      <c r="E44" s="56" t="inlineStr">
        <is>
          <t>Yes</t>
        </is>
      </c>
      <c r="F44" s="93" t="inlineStr">
        <is>
          <t>Yes (only applies in pages mode)</t>
        </is>
      </c>
      <c r="G44" s="82" t="n"/>
    </row>
    <row r="45" ht="13" customHeight="1" s="250">
      <c r="A45" s="83" t="n"/>
      <c r="B45" s="49" t="inlineStr">
        <is>
          <t>label</t>
        </is>
      </c>
      <c r="C45" s="84" t="inlineStr">
        <is>
          <t>Show only option labels to define the top row of a select grid</t>
        </is>
      </c>
      <c r="D45" s="84" t="inlineStr">
        <is>
          <t>all selects</t>
        </is>
      </c>
      <c r="E45" s="52" t="inlineStr">
        <is>
          <t>Yes</t>
        </is>
      </c>
      <c r="F45" s="85" t="inlineStr">
        <is>
          <t>Yes</t>
        </is>
      </c>
      <c r="G45" s="82" t="n"/>
    </row>
    <row r="46" ht="13" customHeight="1" s="250">
      <c r="A46" s="83" t="n"/>
      <c r="B46" s="54" t="inlineStr">
        <is>
          <t>list-nolabel</t>
        </is>
      </c>
      <c r="C46" s="86" t="inlineStr">
        <is>
          <t>Show only radio buttons or checkboxes to define the inside of a select grid</t>
        </is>
      </c>
      <c r="D46" s="86" t="inlineStr">
        <is>
          <t>all selects</t>
        </is>
      </c>
      <c r="E46" s="56" t="inlineStr">
        <is>
          <t>Yes</t>
        </is>
      </c>
      <c r="F46" s="88" t="inlineStr">
        <is>
          <t>Yes</t>
        </is>
      </c>
      <c r="G46" s="82" t="n"/>
    </row>
    <row r="47" ht="13" customHeight="1" s="250">
      <c r="A47" s="83" t="n"/>
      <c r="B47" s="68" t="inlineStr">
        <is>
          <t>list</t>
        </is>
      </c>
      <c r="C47" s="94" t="inlineStr">
        <is>
          <t>Show horizontal radio buttons or checkboxes with their labels</t>
        </is>
      </c>
      <c r="D47" s="94" t="inlineStr">
        <is>
          <t>all selects</t>
        </is>
      </c>
      <c r="E47" s="71" t="inlineStr">
        <is>
          <t>Yes</t>
        </is>
      </c>
      <c r="F47" s="95" t="inlineStr">
        <is>
          <t>Yes</t>
        </is>
      </c>
      <c r="G47" s="82" t="n"/>
    </row>
    <row r="48" ht="13" customHeight="1" s="250">
      <c r="A48" s="96" t="n"/>
      <c r="B48" s="86" t="inlineStr">
        <is>
          <t>table-list</t>
        </is>
      </c>
      <c r="C48" s="86" t="inlineStr">
        <is>
          <t>Shortcut for building a grid of list and list-nolabel questions with a title</t>
        </is>
      </c>
      <c r="D48" s="86" t="inlineStr">
        <is>
          <t>begin_group</t>
        </is>
      </c>
      <c r="E48" s="56" t="inlineStr">
        <is>
          <t>Yes</t>
        </is>
      </c>
      <c r="F48" s="56" t="inlineStr">
        <is>
          <t>Yes</t>
        </is>
      </c>
      <c r="G48" s="82" t="n"/>
    </row>
    <row r="49" ht="13" customHeight="1" s="250">
      <c r="A49" s="83" t="n"/>
      <c r="B49" s="84" t="inlineStr">
        <is>
          <t>hidden-answer</t>
        </is>
      </c>
      <c r="C49" s="84" t="inlineStr">
        <is>
          <t>Hides the scanned barcode value</t>
        </is>
      </c>
      <c r="D49" s="84" t="inlineStr">
        <is>
          <t>barcode</t>
        </is>
      </c>
      <c r="E49" s="52" t="inlineStr">
        <is>
          <t>Yes</t>
        </is>
      </c>
      <c r="F49" s="52" t="inlineStr">
        <is>
          <t>No</t>
        </is>
      </c>
      <c r="G49" s="82" t="n"/>
    </row>
    <row r="50" ht="13" customHeight="1" s="250">
      <c r="A50" s="96" t="n"/>
      <c r="B50" s="86" t="inlineStr">
        <is>
          <t>printer</t>
        </is>
      </c>
      <c r="C50" s="86" t="inlineStr">
        <is>
          <t>Send the value of the question to the printer app for preview and printing</t>
        </is>
      </c>
      <c r="D50" s="86" t="inlineStr">
        <is>
          <t>text</t>
        </is>
      </c>
      <c r="E50" s="97" t="inlineStr">
        <is>
          <t>Yes</t>
        </is>
      </c>
      <c r="F50" s="98" t="inlineStr">
        <is>
          <t>No</t>
        </is>
      </c>
      <c r="G50" s="82" t="n"/>
    </row>
    <row r="51" ht="13" customHeight="1" s="250">
      <c r="A51" s="83" t="n"/>
      <c r="B51" s="84" t="inlineStr">
        <is>
          <t>masked</t>
        </is>
      </c>
      <c r="C51" s="84" t="inlineStr">
        <is>
          <t>Show asterisks (*) instead of what the user is entering</t>
        </is>
      </c>
      <c r="D51" s="84" t="inlineStr">
        <is>
          <t>text</t>
        </is>
      </c>
      <c r="E51" s="97" t="inlineStr">
        <is>
          <t>Yes</t>
        </is>
      </c>
      <c r="F51" s="98" t="inlineStr">
        <is>
          <t>No</t>
        </is>
      </c>
      <c r="G51" s="82" t="n"/>
    </row>
    <row r="52" ht="13" customHeight="1" s="250">
      <c r="A52" s="96" t="n"/>
      <c r="B52" s="86" t="inlineStr">
        <is>
          <t>counter</t>
        </is>
      </c>
      <c r="C52" s="86" t="inlineStr">
        <is>
          <t>Show buttons for incrementing and decrementing</t>
        </is>
      </c>
      <c r="D52" s="86" t="inlineStr">
        <is>
          <t>integer</t>
        </is>
      </c>
      <c r="E52" s="97" t="inlineStr">
        <is>
          <t>Yes</t>
        </is>
      </c>
      <c r="F52" s="98" t="inlineStr">
        <is>
          <t>No</t>
        </is>
      </c>
      <c r="G52" s="82" t="n"/>
    </row>
    <row r="53" ht="13" customHeight="1" s="250">
      <c r="A53" s="77" t="n"/>
      <c r="B53" s="99" t="n"/>
      <c r="C53" s="99" t="n"/>
      <c r="D53" s="99" t="n"/>
      <c r="E53" s="99" t="n"/>
      <c r="F53" s="99" t="n"/>
      <c r="G53" s="77" t="n"/>
    </row>
  </sheetData>
  <autoFilter ref="D6:F52"/>
  <mergeCells count="2">
    <mergeCell ref="B2:F2"/>
    <mergeCell ref="B1:F1"/>
  </mergeCells>
  <conditionalFormatting sqref="E7:F52">
    <cfRule type="containsText" priority="1" operator="containsText" dxfId="1" text="YES">
      <formula>NOT(ISERROR(SEARCH(("YES"),(E7))))</formula>
    </cfRule>
    <cfRule type="notContainsText" priority="2" operator="notContains" dxfId="0" text="YES">
      <formula>ISERROR(SEARCH(("YES"),(E7)))</formula>
    </cfRule>
  </conditionalFormatting>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D19"/>
  <sheetViews>
    <sheetView zoomScale="130" zoomScaleNormal="130" workbookViewId="0">
      <selection activeCell="A1" sqref="A1"/>
    </sheetView>
  </sheetViews>
  <sheetFormatPr baseColWidth="10" defaultColWidth="12.6640625" defaultRowHeight="15.75" customHeight="1"/>
  <cols>
    <col width="2.6640625" customWidth="1" style="250" min="1" max="1"/>
    <col width="46.1640625" customWidth="1" style="250" min="2" max="2"/>
    <col width="80" customWidth="1" style="250" min="3" max="3"/>
  </cols>
  <sheetData>
    <row r="1" ht="39.75" customHeight="1" s="250" thickBot="1">
      <c r="A1" s="100" t="n"/>
      <c r="B1" s="240" t="inlineStr">
        <is>
          <t>Relevance</t>
        </is>
      </c>
      <c r="C1" s="263" t="n"/>
      <c r="D1" s="101" t="n"/>
    </row>
    <row r="2" ht="14" customHeight="1" s="250" thickBot="1">
      <c r="A2" s="77" t="n"/>
      <c r="B2" s="77" t="n"/>
      <c r="C2" s="77" t="n"/>
      <c r="D2" s="77" t="n"/>
    </row>
    <row r="3" ht="14" customHeight="1" s="250" thickBot="1">
      <c r="A3" s="77" t="n"/>
      <c r="B3" s="39" t="inlineStr">
        <is>
          <t>Relevance determines whether a question will be displayed to a user or not. It lets you define branching or skip logic in your forms.</t>
        </is>
      </c>
      <c r="C3" s="77" t="n"/>
      <c r="D3" s="77" t="n"/>
    </row>
    <row r="4" ht="14" customHeight="1" s="250" thickBot="1">
      <c r="A4" s="77" t="n"/>
      <c r="B4" s="39" t="inlineStr">
        <is>
          <t>💡 Apply relevance to groups or repeats to skip or show multiple questions at once</t>
        </is>
      </c>
      <c r="C4" s="77" t="n"/>
      <c r="D4" s="77" t="n"/>
    </row>
    <row r="5" ht="14" customHeight="1" s="250" thickBot="1">
      <c r="A5" s="77" t="n"/>
      <c r="B5" s="39" t="inlineStr">
        <is>
          <t>💡 You can use relevance on a note to provide additional guidance or to confirm a value that could possibly be out of range</t>
        </is>
      </c>
      <c r="C5" s="77" t="n"/>
      <c r="D5" s="77" t="n"/>
    </row>
    <row r="6" ht="14" customHeight="1" s="250" thickBot="1">
      <c r="A6" s="77" t="n"/>
      <c r="B6" s="41" t="inlineStr">
        <is>
          <t>💡 You can meet almost any requirement with available functions</t>
        </is>
      </c>
      <c r="C6" s="77" t="n"/>
      <c r="D6" s="77" t="n"/>
    </row>
    <row r="7" ht="14" customHeight="1" s="250" thickBot="1">
      <c r="A7" s="77" t="n"/>
      <c r="B7" s="79" t="n"/>
      <c r="C7" s="79" t="n"/>
      <c r="D7" s="77" t="n"/>
    </row>
    <row r="8" ht="24" customHeight="1" s="250" thickBot="1">
      <c r="A8" s="90" t="n"/>
      <c r="B8" s="103" t="inlineStr">
        <is>
          <t>Example relevance expression</t>
        </is>
      </c>
      <c r="C8" s="104" t="inlineStr">
        <is>
          <t>Description</t>
        </is>
      </c>
      <c r="D8" s="82" t="n"/>
    </row>
    <row r="9" ht="14" customHeight="1" s="250" thickBot="1">
      <c r="A9" s="105" t="n"/>
      <c r="B9" s="106" t="inlineStr">
        <is>
          <t>${q1} != ''</t>
        </is>
      </c>
      <c r="C9" s="107" t="inlineStr">
        <is>
          <t>This question will appear if q1 was not blank</t>
        </is>
      </c>
      <c r="D9" s="82" t="n"/>
    </row>
    <row r="10" ht="14" customHeight="1" s="250" thickBot="1">
      <c r="A10" s="90" t="n"/>
      <c r="B10" s="106" t="inlineStr">
        <is>
          <t>${age} &lt; 18</t>
        </is>
      </c>
      <c r="C10" s="107" t="inlineStr">
        <is>
          <t>This question will only appear if previously-entered age was less than 18</t>
        </is>
      </c>
      <c r="D10" s="82" t="n"/>
    </row>
    <row r="11" ht="27" customHeight="1" s="250" thickBot="1">
      <c r="A11" s="105" t="n"/>
      <c r="B11" s="106" t="inlineStr">
        <is>
          <t>${random_value} &lt; 0.5</t>
        </is>
      </c>
      <c r="C11" s="107" t="inlineStr">
        <is>
          <t>If ${random_value} is a calculate with calculation once(random()), this question will be shown half the times that this form is launched</t>
        </is>
      </c>
      <c r="D11" s="82" t="n"/>
    </row>
    <row r="12" ht="27" customHeight="1" s="250" thickBot="1">
      <c r="A12" s="90" t="n"/>
      <c r="B12" s="106" t="inlineStr">
        <is>
          <t>(${computed_months} &gt;= 6 and ${computed_months} &lt; 24) or (${months} &gt;= 6 and ${months} &lt; 24)</t>
        </is>
      </c>
      <c r="C12" s="107" t="inlineStr">
        <is>
          <t>Conditions can be combined using and, or</t>
        </is>
      </c>
      <c r="D12" s="82" t="n"/>
    </row>
    <row r="13" ht="14" customHeight="1" s="250" thickBot="1">
      <c r="A13" s="105" t="n"/>
      <c r="B13" s="106" t="inlineStr">
        <is>
          <t>selected(${q1}, 'nurse')</t>
        </is>
      </c>
      <c r="C13" s="107" t="inlineStr">
        <is>
          <t>This question will only appear if 'nurse' was selected in q1</t>
        </is>
      </c>
      <c r="D13" s="82" t="n"/>
    </row>
    <row r="14" ht="27" customHeight="1" s="250" thickBot="1">
      <c r="A14" s="90" t="n"/>
      <c r="B14" s="106" t="inlineStr">
        <is>
          <t>selected(${q1}, -88) or selected(${q2}, -88) or selected(${q3}, -88)</t>
        </is>
      </c>
      <c r="C14" s="107" t="inlineStr">
        <is>
          <t>This question will appear if -88 was selected in any of q1, q2 and q3</t>
        </is>
      </c>
      <c r="D14" s="82" t="n"/>
    </row>
    <row r="15" ht="14" customHeight="1" s="250" thickBot="1">
      <c r="A15" s="105" t="n"/>
      <c r="B15" s="106" t="inlineStr">
        <is>
          <t>${q1} &lt; 12.5 or selected(${q2}, 'y')</t>
        </is>
      </c>
      <c r="C15" s="107" t="inlineStr">
        <is>
          <t>This question will appear if q1's value was less than 12.5 or if 'y' was selected in q2</t>
        </is>
      </c>
      <c r="D15" s="82" t="n"/>
    </row>
    <row r="16" ht="14" customHeight="1" s="250" thickBot="1">
      <c r="A16" s="90" t="n"/>
      <c r="B16" s="106" t="inlineStr">
        <is>
          <t>not(selected(${q2}, 'b'))</t>
        </is>
      </c>
      <c r="C16" s="107" t="inlineStr">
        <is>
          <t>This question will appear if 'b' was not selected in q2</t>
        </is>
      </c>
      <c r="D16" s="82" t="n"/>
    </row>
    <row r="17" ht="14" customHeight="1" s="250" thickBot="1">
      <c r="A17" s="105" t="n"/>
      <c r="B17" s="106" t="inlineStr">
        <is>
          <t>string-length(${q1}) &gt; 3</t>
        </is>
      </c>
      <c r="C17" s="107" t="inlineStr">
        <is>
          <t>This question will appear if the answer to q1 had more than 3 characters</t>
        </is>
      </c>
      <c r="D17" s="82" t="n"/>
    </row>
    <row r="18" ht="40" customHeight="1" s="250" thickBot="1">
      <c r="A18" s="90" t="n"/>
      <c r="B18" s="108" t="inlineStr">
        <is>
          <t>false()</t>
        </is>
      </c>
      <c r="C18" s="109" t="inlineStr">
        <is>
          <t>This question will never appear. This can be useful when creating a form that is intended to be customized for different environments. Questions or sections that are optional can be marked as non-relevant in the template.</t>
        </is>
      </c>
      <c r="D18" s="82" t="n"/>
    </row>
    <row r="19" ht="14" customHeight="1" s="250" thickBot="1">
      <c r="A19" s="77" t="n"/>
      <c r="B19" s="99" t="n"/>
      <c r="C19" s="99" t="n"/>
      <c r="D19" s="77" t="n"/>
    </row>
  </sheetData>
  <mergeCells count="1">
    <mergeCell ref="B1:C1"/>
  </mergeCells>
  <hyperlinks>
    <hyperlink xmlns:r="http://schemas.openxmlformats.org/officeDocument/2006/relationships" ref="B6" r:id="rId1"/>
  </hyperlinks>
  <pageMargins left="0.7" right="0.7" top="0.75" bottom="0.75" header="0.3" footer="0.3"/>
  <tableParts count="1">
    <tablePart xmlns:r="http://schemas.openxmlformats.org/officeDocument/2006/relationships" r:id="rId2"/>
  </tableParts>
</worksheet>
</file>

<file path=xl/worksheets/sheet10.xml><?xml version="1.0" encoding="utf-8"?>
<worksheet xmlns="http://schemas.openxmlformats.org/spreadsheetml/2006/main">
  <sheetPr>
    <outlinePr summaryBelow="0" summaryRight="0"/>
    <pageSetUpPr/>
  </sheetPr>
  <dimension ref="A1:D22"/>
  <sheetViews>
    <sheetView zoomScale="130" zoomScaleNormal="130" workbookViewId="0">
      <selection activeCell="A1" sqref="A1"/>
    </sheetView>
  </sheetViews>
  <sheetFormatPr baseColWidth="10" defaultColWidth="12.6640625" defaultRowHeight="15.75" customHeight="1"/>
  <cols>
    <col width="2.6640625" customWidth="1" style="250" min="1" max="1"/>
    <col width="59.5" customWidth="1" style="250" min="2" max="2"/>
    <col width="81.6640625" customWidth="1" style="250" min="3" max="3"/>
  </cols>
  <sheetData>
    <row r="1" ht="38.25" customHeight="1" s="250" thickBot="1">
      <c r="A1" s="76" t="n"/>
      <c r="B1" s="240" t="inlineStr">
        <is>
          <t>Constraints</t>
        </is>
      </c>
      <c r="C1" s="263" t="n"/>
      <c r="D1" s="77" t="n"/>
    </row>
    <row r="2" ht="14" customHeight="1" s="250" thickBot="1">
      <c r="A2" s="77" t="n"/>
      <c r="B2" s="77" t="n"/>
      <c r="C2" s="77" t="n"/>
      <c r="D2" s="77" t="n"/>
    </row>
    <row r="3" ht="14" customHeight="1" s="250" thickBot="1">
      <c r="A3" s="77" t="n"/>
      <c r="B3" s="77" t="inlineStr">
        <is>
          <t>Constraints limit the answers allowed in a field.</t>
        </is>
      </c>
      <c r="C3" s="77" t="n"/>
      <c r="D3" s="77" t="n"/>
    </row>
    <row r="4" ht="14" customHeight="1" s="250" thickBot="1">
      <c r="A4" s="77" t="n"/>
      <c r="B4" s="77" t="inlineStr">
        <is>
          <t>💡 Constraints are not evaluated if the answer is blank. To require answers, make the question required.</t>
        </is>
      </c>
      <c r="C4" s="77" t="n"/>
      <c r="D4" s="77" t="n"/>
    </row>
    <row r="5" ht="14" customHeight="1" s="250" thickBot="1">
      <c r="A5" s="77" t="n"/>
      <c r="B5" s="110" t="inlineStr">
        <is>
          <t>💡 You can meet almost any requirement with available functions</t>
        </is>
      </c>
      <c r="C5" s="77" t="n"/>
      <c r="D5" s="77" t="n"/>
    </row>
    <row r="6" ht="14" customHeight="1" s="250" thickBot="1">
      <c r="A6" s="77" t="n"/>
      <c r="B6" s="79" t="n"/>
      <c r="C6" s="79" t="n"/>
      <c r="D6" s="77" t="n"/>
    </row>
    <row r="7" ht="21.75" customHeight="1" s="250" thickBot="1">
      <c r="A7" s="111" t="n"/>
      <c r="B7" s="112" t="inlineStr">
        <is>
          <t>Example constraint expression</t>
        </is>
      </c>
      <c r="C7" s="113" t="inlineStr">
        <is>
          <t>Description</t>
        </is>
      </c>
      <c r="D7" s="82" t="n"/>
    </row>
    <row r="8" ht="15" customHeight="1" s="250" thickBot="1">
      <c r="A8" s="245" t="n"/>
      <c r="B8" s="114" t="inlineStr">
        <is>
          <t>. &lt;= 10</t>
        </is>
      </c>
      <c r="C8" s="115" t="inlineStr">
        <is>
          <t>Answer must be a number less or equal to 10</t>
        </is>
      </c>
      <c r="D8" s="82" t="n"/>
    </row>
    <row r="9" ht="15" customHeight="1" s="250" thickBot="1">
      <c r="A9" s="83" t="n"/>
      <c r="B9" s="114" t="inlineStr">
        <is>
          <t>. &gt; 10.51 and . &lt; 18.39</t>
        </is>
      </c>
      <c r="C9" s="115" t="inlineStr">
        <is>
          <t>Answer must be a number between 10.51 and 18.39, excluding those values</t>
        </is>
      </c>
      <c r="D9" s="82" t="n"/>
    </row>
    <row r="10" ht="15" customHeight="1" s="250" thickBot="1">
      <c r="A10" s="245" t="n"/>
      <c r="B10" s="114" t="inlineStr">
        <is>
          <t>string-length(.) &gt; 5</t>
        </is>
      </c>
      <c r="C10" s="115" t="inlineStr">
        <is>
          <t>Answer must be longer than 5 characters</t>
        </is>
      </c>
      <c r="D10" s="82" t="n"/>
    </row>
    <row r="11" ht="15" customHeight="1" s="250" thickBot="1">
      <c r="A11" s="83" t="n"/>
      <c r="B11" s="114" t="inlineStr">
        <is>
          <t>. &gt;= today()</t>
        </is>
      </c>
      <c r="C11" s="115" t="inlineStr">
        <is>
          <t>Answer must be a date today or later</t>
        </is>
      </c>
      <c r="D11" s="82" t="n"/>
    </row>
    <row r="12" ht="15" customHeight="1" s="250" thickBot="1">
      <c r="A12" s="245" t="n"/>
      <c r="B12" s="114" t="inlineStr">
        <is>
          <t>. &gt;= date('2015-08-01')</t>
        </is>
      </c>
      <c r="C12" s="115" t="inlineStr">
        <is>
          <t>Answer must be a date August 1st 2015 or later</t>
        </is>
      </c>
      <c r="D12" s="82" t="n"/>
    </row>
    <row r="13" ht="15" customHeight="1" s="250" thickBot="1">
      <c r="A13" s="83" t="n"/>
      <c r="B13" s="114" t="inlineStr">
        <is>
          <t>count-selected(.) &lt;= 3</t>
        </is>
      </c>
      <c r="C13" s="115" t="inlineStr">
        <is>
          <t>Answer to this multi select question can only include 0, 1, 2 or 3 choices but no more</t>
        </is>
      </c>
      <c r="D13" s="82" t="n"/>
    </row>
    <row r="14" ht="15" customHeight="1" s="250" thickBot="1">
      <c r="A14" s="245" t="n"/>
      <c r="B14" s="114" t="inlineStr">
        <is>
          <t>not(selected(., 'none') and count-selected(.) &gt; 1)</t>
        </is>
      </c>
      <c r="C14" s="115" t="inlineStr">
        <is>
          <t>Answer to this multi select question may not include both 'none' and other selections</t>
        </is>
      </c>
      <c r="D14" s="82" t="n"/>
    </row>
    <row r="15" ht="43" customHeight="1" s="250" thickBot="1">
      <c r="A15" s="83" t="n"/>
      <c r="B15" s="114" t="inlineStr">
        <is>
          <t>if(selected(., 'none'), count-selected(.) = 1, true())</t>
        </is>
      </c>
      <c r="C15" s="115" t="inlineStr">
        <is>
          <t>Another way of expressing the same concept as above: if the 'none' choice is selected, the total number of choices selected must be 1. Otherwise, any number of selections is allowed. Replace true() with another expression to specify a requirement when 'none' is not selected</t>
        </is>
      </c>
      <c r="D15" s="82" t="n"/>
    </row>
    <row r="16" ht="15" customHeight="1" s="250" thickBot="1">
      <c r="A16" s="245" t="n"/>
      <c r="B16" s="114" t="inlineStr">
        <is>
          <t>if(selected(., 'none'), count-selected(.) = 1, count-selected(.) = 2)</t>
        </is>
      </c>
      <c r="C16" s="115" t="inlineStr">
        <is>
          <t>Answer to this multi select question can either be 'none' or exactly two choices not including 'none'</t>
        </is>
      </c>
      <c r="D16" s="82" t="n"/>
    </row>
    <row r="17" ht="15" customHeight="1" s="250" thickBot="1">
      <c r="A17" s="83" t="n"/>
      <c r="B17" s="114" t="inlineStr">
        <is>
          <t>regex(., '^[A-Za-z]{0,6}$')</t>
        </is>
      </c>
      <c r="C17" s="115" t="inlineStr">
        <is>
          <t>Answer to this text question may have up to 6 letters</t>
        </is>
      </c>
      <c r="D17" s="82" t="n"/>
    </row>
    <row r="18" ht="29" customHeight="1" s="250" thickBot="1">
      <c r="A18" s="245" t="n"/>
      <c r="B18" s="114" t="inlineStr">
        <is>
          <t>regex(.,'^[A-Z]{3}+_+[A-Z]{3}+_+[0-9]{4}+_+[0-9]{3,4}$')</t>
        </is>
      </c>
      <c r="C18" s="115" t="inlineStr">
        <is>
          <t>Answer must respect a specific structure (for example this one allows the following : CAR_PRC_2015_048)</t>
        </is>
      </c>
      <c r="D18" s="82" t="n"/>
    </row>
    <row r="19" ht="29" customHeight="1" s="250" thickBot="1">
      <c r="A19" s="83" t="n"/>
      <c r="B19" s="114" t="inlineStr">
        <is>
          <t>regex(., '^[A-Za-z0-9._%+-]+@[A-Za-z0-9.-]+\.[a-zA-Z]{2,4}$')</t>
        </is>
      </c>
      <c r="C19" s="116" t="inlineStr">
        <is>
          <t>Answer to this text question must have an email address structure (note: this is not exact but filters out obviously-wrong inputs)</t>
        </is>
      </c>
      <c r="D19" s="82" t="n"/>
    </row>
    <row r="20" ht="15" customHeight="1" s="250" thickBot="1">
      <c r="A20" s="245" t="n"/>
      <c r="B20" s="114" t="inlineStr">
        <is>
          <t>regex(.,'^\(?[0-9]{3}\)?-?[0-9]{3}-?[0-9]{4}$')</t>
        </is>
      </c>
      <c r="C20" s="115" t="inlineStr">
        <is>
          <t>Answer to this text question must have a North American phone number structure</t>
        </is>
      </c>
      <c r="D20" s="82" t="n"/>
    </row>
    <row r="21" ht="43" customHeight="1" s="250" thickBot="1">
      <c r="A21" s="83" t="n"/>
      <c r="B21" s="117" t="inlineStr">
        <is>
          <t>. = 9999 or (selected(${q1}, 'yes') and . &lt;= 0) or (selected(${q1}, 'no') and . &gt; 0)</t>
        </is>
      </c>
      <c r="C21" s="118" t="inlineStr">
        <is>
          <t>The answer 9999 is always accepted to represent 'unknown'. Otherwise, this question's answer depends on ${q1}'s answer: if ${q1} was 'yes', then this answer must be a negative number. If ${q1} was 'no', this answer must be a positive number.</t>
        </is>
      </c>
      <c r="D21" s="82" t="n"/>
    </row>
    <row r="22" ht="14" customHeight="1" s="250" thickBot="1">
      <c r="A22" s="77" t="n"/>
      <c r="B22" s="99" t="n"/>
      <c r="C22" s="99" t="n"/>
      <c r="D22" s="77" t="n"/>
    </row>
  </sheetData>
  <mergeCells count="1">
    <mergeCell ref="B1:C1"/>
  </mergeCells>
  <hyperlinks>
    <hyperlink xmlns:r="http://schemas.openxmlformats.org/officeDocument/2006/relationships" ref="B5" r:id="rId1"/>
    <hyperlink xmlns:r="http://schemas.openxmlformats.org/officeDocument/2006/relationships" ref="C19" r:id="rId2"/>
  </hyperlinks>
  <pageMargins left="0.7" right="0.7" top="0.75" bottom="0.75" header="0.3" footer="0.3"/>
  <tableParts count="1">
    <tablePart xmlns:r="http://schemas.openxmlformats.org/officeDocument/2006/relationships" r:id="rId3"/>
  </tableParts>
</worksheet>
</file>

<file path=xl/worksheets/sheet11.xml><?xml version="1.0" encoding="utf-8"?>
<worksheet xmlns="http://schemas.openxmlformats.org/spreadsheetml/2006/main">
  <sheetPr>
    <outlinePr summaryBelow="0" summaryRight="0"/>
    <pageSetUpPr/>
  </sheetPr>
  <dimension ref="A1:L834"/>
  <sheetViews>
    <sheetView zoomScale="130" zoomScaleNormal="130" workbookViewId="0">
      <selection activeCell="A1" sqref="A1"/>
    </sheetView>
  </sheetViews>
  <sheetFormatPr baseColWidth="10" defaultColWidth="12.6640625" defaultRowHeight="15.75" customHeight="1"/>
  <cols>
    <col width="2.6640625" customWidth="1" style="250" min="1" max="1"/>
    <col width="17.6640625" customWidth="1" style="250" min="2" max="2"/>
    <col width="18.83203125" customWidth="1" style="250" min="3" max="3"/>
    <col width="8.5" customWidth="1" style="250" min="4" max="4"/>
    <col width="17.33203125" customWidth="1" style="250" min="5" max="5"/>
    <col width="15.6640625" customWidth="1" style="250" min="6" max="7"/>
    <col width="16.33203125" customWidth="1" style="250" min="8" max="8"/>
    <col width="16.6640625" customWidth="1" style="250" min="9" max="9"/>
    <col width="16.33203125" customWidth="1" style="250" min="10" max="10"/>
    <col width="16.6640625" customWidth="1" style="250" min="11" max="11"/>
  </cols>
  <sheetData>
    <row r="1" ht="39" customHeight="1" s="250" thickBot="1">
      <c r="A1" s="100" t="n"/>
      <c r="B1" s="248" t="inlineStr">
        <is>
          <t>Translations</t>
        </is>
      </c>
      <c r="C1" s="263" t="n"/>
      <c r="D1" s="263" t="n"/>
      <c r="E1" s="263" t="n"/>
      <c r="F1" s="263" t="n"/>
      <c r="G1" s="263" t="n"/>
      <c r="H1" s="263" t="n"/>
      <c r="I1" s="263" t="n"/>
      <c r="J1" s="119" t="n"/>
      <c r="K1" s="39" t="n"/>
      <c r="L1" s="249" t="n"/>
    </row>
    <row r="2" ht="14" customHeight="1" s="250" thickBot="1">
      <c r="A2" s="39" t="n"/>
      <c r="B2" s="249" t="n"/>
      <c r="J2" s="39" t="n"/>
      <c r="K2" s="39" t="n"/>
      <c r="L2" s="249" t="n"/>
    </row>
    <row r="3" ht="14" customHeight="1" s="250" thickBot="1">
      <c r="A3" s="39" t="n"/>
      <c r="B3" s="39" t="inlineStr">
        <is>
          <t xml:space="preserve">XLSForms can be translated into multiple languages. </t>
        </is>
      </c>
      <c r="C3" s="39" t="n"/>
      <c r="D3" s="39" t="n"/>
      <c r="E3" s="39" t="n"/>
      <c r="F3" s="39" t="n"/>
      <c r="G3" s="39" t="n"/>
      <c r="H3" s="39" t="n"/>
      <c r="I3" s="120" t="n"/>
      <c r="J3" s="39" t="n"/>
      <c r="K3" s="39" t="n"/>
      <c r="L3" s="249" t="n"/>
    </row>
    <row r="4" ht="14" customHeight="1" s="250" thickBot="1">
      <c r="A4" s="39" t="n"/>
      <c r="B4" s="39" t="inlineStr">
        <is>
          <t>💡 The text on navigation buttons and other system elements are translated as part of the application that shows your form, not as part of the form definition.</t>
        </is>
      </c>
      <c r="C4" s="39" t="n"/>
      <c r="D4" s="39" t="n"/>
      <c r="E4" s="39" t="n"/>
      <c r="F4" s="39" t="n"/>
      <c r="G4" s="39" t="n"/>
      <c r="H4" s="39" t="n"/>
      <c r="I4" s="39" t="n"/>
      <c r="J4" s="121" t="n"/>
      <c r="K4" s="39" t="n"/>
      <c r="L4" s="249" t="n"/>
    </row>
    <row r="5" ht="14" customHeight="1" s="250" thickBot="1">
      <c r="A5" s="39" t="n"/>
      <c r="B5" s="39" t="inlineStr">
        <is>
          <t>💡 Form titles can't be translated.</t>
        </is>
      </c>
      <c r="C5" s="39" t="n"/>
      <c r="D5" s="39" t="n"/>
      <c r="E5" s="39" t="n"/>
      <c r="F5" s="39" t="n"/>
      <c r="G5" s="39" t="n"/>
      <c r="H5" s="39" t="n"/>
      <c r="I5" s="39" t="n"/>
      <c r="J5" s="39" t="n"/>
      <c r="K5" s="39" t="n"/>
      <c r="L5" s="249" t="n"/>
    </row>
    <row r="6" ht="14" customHeight="1" s="250" thickBot="1">
      <c r="A6" s="39" t="n"/>
      <c r="B6" s="39" t="inlineStr">
        <is>
          <t>💡 We recommend that you design your form in one language, test it extensively, and then translate it.</t>
        </is>
      </c>
      <c r="C6" s="39" t="n"/>
      <c r="D6" s="39" t="n"/>
      <c r="E6" s="39" t="n"/>
      <c r="F6" s="39" t="n"/>
      <c r="G6" s="39" t="n"/>
      <c r="H6" s="39" t="n"/>
      <c r="I6" s="39" t="n"/>
      <c r="J6" s="39" t="n"/>
      <c r="K6" s="39" t="n"/>
      <c r="L6" s="249" t="n"/>
    </row>
    <row r="7" ht="14" customHeight="1" s="250" thickBot="1">
      <c r="A7" s="39" t="n"/>
      <c r="B7" s="39" t="inlineStr">
        <is>
          <t>💡 You can specify a default language in the settings sheet.</t>
        </is>
      </c>
      <c r="C7" s="39" t="n"/>
      <c r="D7" s="39" t="n"/>
      <c r="E7" s="39" t="n"/>
      <c r="F7" s="39" t="n"/>
      <c r="G7" s="39" t="n"/>
      <c r="H7" s="39" t="n"/>
      <c r="I7" s="39" t="n"/>
      <c r="J7" s="39" t="n"/>
      <c r="K7" s="39" t="n"/>
      <c r="L7" s="249" t="n"/>
    </row>
    <row r="8" ht="14" customHeight="1" s="250" thickBot="1">
      <c r="A8" s="39" t="n"/>
      <c r="B8" s="39" t="inlineStr">
        <is>
          <t>⚠️ There is no fallback language. Specify a translation for every column used in the form. Otherwise, a dash (-) will be shown for text that is not translated to the current language.</t>
        </is>
      </c>
      <c r="C8" s="39" t="n"/>
      <c r="D8" s="39" t="n"/>
      <c r="E8" s="39" t="n"/>
      <c r="F8" s="39" t="n"/>
      <c r="G8" s="39" t="n"/>
      <c r="H8" s="39" t="n"/>
      <c r="I8" s="39" t="n"/>
      <c r="J8" s="39" t="n"/>
      <c r="K8" s="39" t="n"/>
      <c r="L8" s="249" t="n"/>
    </row>
    <row r="9" ht="14" customHeight="1" s="250" thickBot="1">
      <c r="A9" s="39" t="n"/>
      <c r="B9" s="39" t="inlineStr">
        <is>
          <t>⚠️ If you use the choices sheet, make sure that all of its text and media columns have translations for all languages.</t>
        </is>
      </c>
      <c r="C9" s="39" t="n"/>
      <c r="D9" s="39" t="n"/>
      <c r="E9" s="39" t="n"/>
      <c r="F9" s="39" t="n"/>
      <c r="G9" s="39" t="n"/>
      <c r="H9" s="39" t="n"/>
      <c r="I9" s="39" t="n"/>
      <c r="J9" s="39" t="n"/>
      <c r="K9" s="39" t="n"/>
      <c r="L9" s="249" t="n"/>
    </row>
    <row r="10" ht="14" customHeight="1" s="250" thickBot="1">
      <c r="A10" s="39" t="n"/>
      <c r="B10" s="32" t="n"/>
      <c r="C10" s="39" t="n"/>
      <c r="D10" s="39" t="n"/>
      <c r="E10" s="39" t="n"/>
      <c r="F10" s="39" t="n"/>
      <c r="G10" s="39" t="n"/>
      <c r="H10" s="39" t="n"/>
      <c r="I10" s="39" t="n"/>
      <c r="J10" s="39" t="n"/>
      <c r="K10" s="39" t="n"/>
      <c r="L10" s="249" t="n"/>
    </row>
    <row r="11" ht="14" customHeight="1" s="250" thickBot="1">
      <c r="A11" s="39" t="n"/>
      <c r="B11" s="32" t="inlineStr">
        <is>
          <t>Add new language</t>
        </is>
      </c>
      <c r="C11" s="39" t="n"/>
      <c r="D11" s="39" t="n"/>
      <c r="E11" s="39" t="n"/>
      <c r="F11" s="39" t="n"/>
      <c r="G11" s="39" t="n"/>
      <c r="H11" s="39" t="n"/>
      <c r="I11" s="39" t="n"/>
      <c r="J11" s="39" t="n"/>
      <c r="K11" s="39" t="n"/>
      <c r="L11" s="249" t="n"/>
    </row>
    <row r="12" ht="14" customHeight="1" s="250" thickBot="1">
      <c r="A12" s="39" t="n"/>
      <c r="B12" s="249" t="inlineStr">
        <is>
          <t>Duplicate all columns that have user-facing text or media to add new language.</t>
        </is>
      </c>
      <c r="C12" s="249" t="n"/>
      <c r="D12" s="249" t="n"/>
      <c r="E12" s="39" t="n"/>
      <c r="F12" s="39" t="n"/>
      <c r="G12" s="39" t="n"/>
      <c r="H12" s="39" t="n"/>
      <c r="I12" s="39" t="n"/>
      <c r="J12" s="39" t="n"/>
      <c r="K12" s="39" t="n"/>
      <c r="L12" s="249" t="n"/>
    </row>
    <row r="13" ht="14" customHeight="1" s="250" thickBot="1">
      <c r="A13" s="39" t="n"/>
      <c r="B13" s="122" t="inlineStr">
        <is>
          <t>These are highlighted in the survey and choices sheets:</t>
        </is>
      </c>
      <c r="C13" s="122" t="n"/>
      <c r="D13" s="39" t="n"/>
      <c r="E13" s="39" t="n"/>
      <c r="F13" s="39" t="n"/>
      <c r="G13" s="39" t="n"/>
      <c r="H13" s="39" t="n"/>
      <c r="I13" s="39" t="n"/>
      <c r="J13" s="39" t="n"/>
      <c r="K13" s="39" t="n"/>
      <c r="L13" s="249" t="n"/>
    </row>
    <row r="14" ht="14" customHeight="1" s="250" thickBot="1">
      <c r="A14" s="39" t="n"/>
      <c r="B14" s="123" t="n"/>
      <c r="C14" s="122" t="n"/>
      <c r="D14" s="39" t="n"/>
      <c r="E14" s="39" t="n"/>
      <c r="F14" s="39" t="n"/>
      <c r="G14" s="39" t="n"/>
      <c r="H14" s="39" t="n"/>
      <c r="I14" s="39" t="n"/>
      <c r="J14" s="39" t="n"/>
      <c r="K14" s="39" t="n"/>
      <c r="L14" s="249" t="n"/>
    </row>
    <row r="15" ht="14" customHeight="1" s="250" thickBot="1">
      <c r="A15" s="120" t="n"/>
      <c r="B15" s="124" t="inlineStr">
        <is>
          <t>label</t>
        </is>
      </c>
      <c r="C15" s="125" t="n"/>
      <c r="D15" s="39" t="n"/>
      <c r="E15" s="39" t="n"/>
      <c r="F15" s="39" t="n"/>
      <c r="G15" s="39" t="n"/>
      <c r="H15" s="39" t="n"/>
      <c r="I15" s="39" t="n"/>
      <c r="J15" s="39" t="n"/>
      <c r="K15" s="39" t="n"/>
      <c r="L15" s="249" t="n"/>
    </row>
    <row r="16" ht="14" customHeight="1" s="250" thickBot="1">
      <c r="A16" s="120" t="n"/>
      <c r="B16" s="126" t="inlineStr">
        <is>
          <t>hint</t>
        </is>
      </c>
      <c r="C16" s="125" t="n"/>
      <c r="D16" s="39" t="n"/>
      <c r="E16" s="39" t="n"/>
      <c r="F16" s="39" t="n"/>
      <c r="G16" s="39" t="n"/>
      <c r="H16" s="39" t="n"/>
      <c r="I16" s="39" t="n"/>
      <c r="J16" s="39" t="n"/>
      <c r="K16" s="39" t="n"/>
      <c r="L16" s="249" t="n"/>
    </row>
    <row r="17" ht="14" customHeight="1" s="250" thickBot="1">
      <c r="A17" s="120" t="n"/>
      <c r="B17" s="126" t="inlineStr">
        <is>
          <t>guidance_hint</t>
        </is>
      </c>
      <c r="C17" s="125" t="n"/>
      <c r="D17" s="39" t="n"/>
      <c r="E17" s="39" t="n"/>
      <c r="F17" s="39" t="n"/>
      <c r="G17" s="39" t="n"/>
      <c r="H17" s="39" t="n"/>
      <c r="I17" s="39" t="n"/>
      <c r="J17" s="39" t="n"/>
      <c r="K17" s="39" t="n"/>
      <c r="L17" s="249" t="n"/>
    </row>
    <row r="18" ht="14" customHeight="1" s="250" thickBot="1">
      <c r="A18" s="120" t="n"/>
      <c r="B18" s="126" t="inlineStr">
        <is>
          <t>constraint_message</t>
        </is>
      </c>
      <c r="C18" s="125" t="n"/>
      <c r="D18" s="39" t="n"/>
      <c r="E18" s="39" t="n"/>
      <c r="F18" s="39" t="n"/>
      <c r="G18" s="39" t="n"/>
      <c r="H18" s="39" t="n"/>
      <c r="I18" s="39" t="n"/>
      <c r="J18" s="39" t="n"/>
      <c r="K18" s="39" t="n"/>
      <c r="L18" s="249" t="n"/>
    </row>
    <row r="19" ht="14" customHeight="1" s="250" thickBot="1">
      <c r="A19" s="120" t="n"/>
      <c r="B19" s="126" t="inlineStr">
        <is>
          <t>required_message</t>
        </is>
      </c>
      <c r="C19" s="125" t="n"/>
      <c r="D19" s="39" t="n"/>
      <c r="E19" s="39" t="n"/>
      <c r="F19" s="39" t="n"/>
      <c r="G19" s="39" t="n"/>
      <c r="H19" s="39" t="n"/>
      <c r="I19" s="39" t="n"/>
      <c r="J19" s="39" t="n"/>
      <c r="K19" s="39" t="n"/>
      <c r="L19" s="249" t="n"/>
    </row>
    <row r="20" ht="14" customHeight="1" s="250" thickBot="1">
      <c r="A20" s="120" t="n"/>
      <c r="B20" s="126" t="inlineStr">
        <is>
          <t>image</t>
        </is>
      </c>
      <c r="C20" s="125" t="n"/>
      <c r="D20" s="39" t="n"/>
      <c r="E20" s="39" t="n"/>
      <c r="F20" s="39" t="n"/>
      <c r="G20" s="39" t="n"/>
      <c r="H20" s="39" t="n"/>
      <c r="I20" s="39" t="n"/>
      <c r="J20" s="39" t="n"/>
      <c r="K20" s="39" t="n"/>
      <c r="L20" s="249" t="n"/>
    </row>
    <row r="21" ht="14" customHeight="1" s="250" thickBot="1">
      <c r="A21" s="120" t="n"/>
      <c r="B21" s="126" t="inlineStr">
        <is>
          <t>audio</t>
        </is>
      </c>
      <c r="C21" s="125" t="n"/>
      <c r="D21" s="39" t="n"/>
      <c r="E21" s="39" t="n"/>
      <c r="F21" s="39" t="n"/>
      <c r="G21" s="39" t="n"/>
      <c r="H21" s="39" t="n"/>
      <c r="I21" s="39" t="n"/>
      <c r="J21" s="39" t="n"/>
      <c r="K21" s="39" t="n"/>
      <c r="L21" s="249" t="n"/>
    </row>
    <row r="22" ht="14" customHeight="1" s="250" thickBot="1">
      <c r="A22" s="120" t="n"/>
      <c r="B22" s="127" t="inlineStr">
        <is>
          <t>video</t>
        </is>
      </c>
      <c r="C22" s="125" t="n"/>
      <c r="D22" s="39" t="n"/>
      <c r="E22" s="39" t="n"/>
      <c r="F22" s="39" t="n"/>
      <c r="G22" s="39" t="n"/>
      <c r="H22" s="39" t="n"/>
      <c r="I22" s="39" t="n"/>
      <c r="J22" s="39" t="n"/>
      <c r="K22" s="39" t="n"/>
      <c r="L22" s="249" t="n"/>
    </row>
    <row r="23" ht="14" customHeight="1" s="250" thickBot="1">
      <c r="A23" s="39" t="n"/>
      <c r="B23" s="121" t="n"/>
      <c r="C23" s="39" t="n"/>
      <c r="D23" s="39" t="n"/>
      <c r="E23" s="39" t="n"/>
      <c r="F23" s="39" t="n"/>
      <c r="G23" s="39" t="n"/>
      <c r="H23" s="39" t="n"/>
      <c r="I23" s="39" t="n"/>
      <c r="J23" s="39" t="n"/>
      <c r="K23" s="39" t="n"/>
      <c r="L23" s="249" t="n"/>
    </row>
    <row r="24" ht="14" customHeight="1" s="250" thickBot="1">
      <c r="A24" s="39" t="n"/>
      <c r="B24" s="32" t="inlineStr">
        <is>
          <t>language name and code</t>
        </is>
      </c>
      <c r="C24" s="39" t="n"/>
      <c r="D24" s="39" t="n"/>
      <c r="E24" s="39" t="n"/>
      <c r="F24" s="39" t="n"/>
      <c r="G24" s="39" t="n"/>
      <c r="H24" s="39" t="n"/>
      <c r="I24" s="39" t="n"/>
      <c r="J24" s="39" t="n"/>
      <c r="K24" s="39" t="n"/>
      <c r="L24" s="249" t="n"/>
    </row>
    <row r="25" ht="14" customHeight="1" s="250" thickBot="1">
      <c r="A25" s="39" t="n"/>
      <c r="B25" s="39" t="inlineStr">
        <is>
          <t xml:space="preserve">For each language that you need, add the language name and the language code after a :: separator. </t>
        </is>
      </c>
      <c r="C25" s="39" t="n"/>
      <c r="D25" s="39" t="n"/>
      <c r="E25" s="39" t="n"/>
      <c r="F25" s="39" t="n"/>
      <c r="G25" s="39" t="n"/>
      <c r="H25" s="39" t="n"/>
      <c r="I25" s="39" t="n"/>
      <c r="J25" s="120" t="n"/>
      <c r="K25" s="39" t="n"/>
      <c r="L25" s="249" t="n"/>
    </row>
    <row r="26" ht="14" customHeight="1" s="250" thickBot="1">
      <c r="A26" s="39" t="n"/>
      <c r="B26" s="41" t="inlineStr">
        <is>
          <t>You must do this for every column with text or media. Find language codes.</t>
        </is>
      </c>
      <c r="C26" s="39" t="n"/>
      <c r="D26" s="39" t="n"/>
      <c r="E26" s="39" t="n"/>
      <c r="F26" s="39" t="n"/>
      <c r="G26" s="39" t="n"/>
      <c r="H26" s="39" t="n"/>
      <c r="I26" s="39" t="n"/>
      <c r="J26" s="120" t="n"/>
      <c r="K26" s="39" t="n"/>
      <c r="L26" s="249" t="n"/>
    </row>
    <row r="27" ht="14" customHeight="1" s="250" thickBot="1">
      <c r="A27" s="39" t="n"/>
      <c r="B27" s="42" t="inlineStr">
        <is>
          <t>The language name is what data collectors will see. We generally recommend using the language name in the language itself.</t>
        </is>
      </c>
      <c r="C27" s="39" t="n"/>
      <c r="D27" s="39" t="n"/>
      <c r="E27" s="39" t="n"/>
      <c r="F27" s="39" t="n"/>
      <c r="G27" s="39" t="n"/>
      <c r="H27" s="39" t="n"/>
      <c r="I27" s="39" t="n"/>
      <c r="J27" s="120" t="n"/>
      <c r="K27" s="39" t="n"/>
      <c r="L27" s="249" t="n"/>
    </row>
    <row r="28" ht="14" customHeight="1" s="250" thickBot="1">
      <c r="A28" s="39" t="n"/>
      <c r="B28" s="128" t="n"/>
      <c r="C28" s="48" t="n"/>
      <c r="D28" s="39" t="n"/>
      <c r="E28" s="39" t="n"/>
      <c r="F28" s="39" t="n"/>
      <c r="G28" s="39" t="n"/>
      <c r="H28" s="39" t="n"/>
      <c r="I28" s="39" t="n"/>
      <c r="J28" s="120" t="n"/>
      <c r="K28" s="39" t="n"/>
      <c r="L28" s="249" t="n"/>
    </row>
    <row r="29" ht="14" customHeight="1" s="250" thickBot="1">
      <c r="A29" s="120" t="n"/>
      <c r="B29" s="129" t="inlineStr">
        <is>
          <t>label::Español (es)</t>
        </is>
      </c>
      <c r="C29" s="48" t="n"/>
      <c r="D29" s="39" t="n"/>
      <c r="E29" s="39" t="n"/>
      <c r="F29" s="39" t="n"/>
      <c r="G29" s="39" t="n"/>
      <c r="H29" s="39" t="n"/>
      <c r="I29" s="39" t="n"/>
      <c r="J29" s="120" t="n"/>
      <c r="K29" s="39" t="n"/>
      <c r="L29" s="249" t="n"/>
    </row>
    <row r="30" ht="14" customHeight="1" s="250" thickBot="1">
      <c r="A30" s="120" t="n"/>
      <c r="B30" s="127" t="inlineStr">
        <is>
          <t>hint::Español (es)</t>
        </is>
      </c>
      <c r="C30" s="48" t="n"/>
      <c r="D30" s="39" t="n"/>
      <c r="E30" s="39" t="n"/>
      <c r="F30" s="39" t="n"/>
      <c r="G30" s="39" t="n"/>
      <c r="H30" s="39" t="n"/>
      <c r="I30" s="39" t="n"/>
      <c r="J30" s="120" t="n"/>
      <c r="K30" s="39" t="n"/>
      <c r="L30" s="249" t="n"/>
    </row>
    <row r="31" ht="14" customHeight="1" s="250" thickBot="1">
      <c r="A31" s="39" t="n"/>
      <c r="B31" s="121" t="n"/>
      <c r="C31" s="39" t="n"/>
      <c r="D31" s="39" t="n"/>
      <c r="E31" s="39" t="n"/>
      <c r="F31" s="39" t="n"/>
      <c r="G31" s="39" t="n"/>
      <c r="H31" s="39" t="n"/>
      <c r="I31" s="39" t="n"/>
      <c r="J31" s="120" t="n"/>
      <c r="K31" s="39" t="n"/>
      <c r="L31" s="249" t="n"/>
    </row>
    <row r="32" ht="14" customHeight="1" s="250" thickBot="1">
      <c r="A32" s="39" t="n"/>
      <c r="B32" s="32" t="inlineStr">
        <is>
          <t>Example with English and Spanish translations</t>
        </is>
      </c>
      <c r="C32" s="39" t="n"/>
      <c r="D32" s="39" t="n"/>
      <c r="E32" s="39" t="n"/>
      <c r="F32" s="39" t="n"/>
      <c r="G32" s="39" t="n"/>
      <c r="H32" s="39" t="n"/>
      <c r="I32" s="39" t="n"/>
      <c r="J32" s="120" t="n"/>
      <c r="K32" s="39" t="n"/>
      <c r="L32" s="249" t="n"/>
    </row>
    <row r="33" ht="14" customHeight="1" s="250" thickBot="1">
      <c r="A33" s="39" t="n"/>
      <c r="B33" s="42" t="n"/>
      <c r="C33" s="42" t="n"/>
      <c r="D33" s="42" t="n"/>
      <c r="E33" s="42" t="n"/>
      <c r="F33" s="42" t="n"/>
      <c r="G33" s="42" t="n"/>
      <c r="H33" s="42" t="n"/>
      <c r="I33" s="42" t="n"/>
      <c r="J33" s="130" t="n"/>
      <c r="K33" s="39" t="n"/>
      <c r="L33" s="249" t="n"/>
    </row>
    <row r="34" ht="14" customHeight="1" s="250" thickBot="1">
      <c r="A34" s="120" t="n"/>
      <c r="B34" s="131" t="inlineStr">
        <is>
          <t>survey</t>
        </is>
      </c>
      <c r="C34" s="132" t="n"/>
      <c r="D34" s="132" t="n"/>
      <c r="E34" s="132" t="n"/>
      <c r="F34" s="132" t="n"/>
      <c r="G34" s="132" t="n"/>
      <c r="H34" s="132" t="n"/>
      <c r="I34" s="132" t="n"/>
      <c r="J34" s="133" t="n"/>
      <c r="K34" s="125" t="n"/>
      <c r="L34" s="249" t="n"/>
    </row>
    <row r="35" ht="14" customHeight="1" s="250" thickBot="1">
      <c r="A35" s="120" t="n"/>
      <c r="B35" s="134" t="n"/>
      <c r="C35" s="10" t="inlineStr">
        <is>
          <t>type</t>
        </is>
      </c>
      <c r="D35" s="10" t="inlineStr">
        <is>
          <t>name</t>
        </is>
      </c>
      <c r="E35" s="9" t="inlineStr">
        <is>
          <t>label::English (en)</t>
        </is>
      </c>
      <c r="F35" s="10" t="inlineStr">
        <is>
          <t>label::Español (es)</t>
        </is>
      </c>
      <c r="G35" s="9" t="inlineStr">
        <is>
          <t>hint::English (en)</t>
        </is>
      </c>
      <c r="H35" s="10" t="inlineStr">
        <is>
          <t>hint::Español (es)</t>
        </is>
      </c>
      <c r="I35" s="9" t="inlineStr">
        <is>
          <t>image::English (en)</t>
        </is>
      </c>
      <c r="J35" s="135" t="inlineStr">
        <is>
          <t>image::Español (es)</t>
        </is>
      </c>
      <c r="K35" s="136" t="n"/>
      <c r="L35" s="249" t="n"/>
    </row>
    <row r="36" ht="14" customHeight="1" s="250" thickBot="1">
      <c r="A36" s="120" t="n"/>
      <c r="B36" s="134" t="n"/>
      <c r="C36" s="137" t="n"/>
      <c r="D36" s="137" t="n"/>
      <c r="E36" s="137" t="n"/>
      <c r="F36" s="137" t="n"/>
      <c r="G36" s="137" t="n"/>
      <c r="H36" s="137" t="n"/>
      <c r="I36" s="137" t="n"/>
      <c r="J36" s="138" t="n"/>
      <c r="K36" s="125" t="n"/>
      <c r="L36" s="249" t="n"/>
    </row>
    <row r="37" ht="14" customHeight="1" s="250" thickBot="1">
      <c r="A37" s="120" t="n"/>
      <c r="B37" s="139" t="inlineStr">
        <is>
          <t>choices</t>
        </is>
      </c>
      <c r="C37" s="137" t="n"/>
      <c r="D37" s="137" t="n"/>
      <c r="E37" s="137" t="n"/>
      <c r="F37" s="137" t="n"/>
      <c r="G37" s="137" t="n"/>
      <c r="H37" s="137" t="n"/>
      <c r="I37" s="137" t="n"/>
      <c r="J37" s="138" t="n"/>
      <c r="K37" s="125" t="n"/>
      <c r="L37" s="249" t="n"/>
    </row>
    <row r="38" ht="14" customHeight="1" s="250" thickBot="1">
      <c r="A38" s="120" t="n"/>
      <c r="B38" s="140" t="n"/>
      <c r="C38" s="141" t="inlineStr">
        <is>
          <t>list_name</t>
        </is>
      </c>
      <c r="D38" s="141" t="inlineStr">
        <is>
          <t>name</t>
        </is>
      </c>
      <c r="E38" s="142" t="inlineStr">
        <is>
          <t>label::English (en)</t>
        </is>
      </c>
      <c r="F38" s="141" t="inlineStr">
        <is>
          <t>label::Español (es)</t>
        </is>
      </c>
      <c r="G38" s="142" t="inlineStr">
        <is>
          <t>image::English (en)</t>
        </is>
      </c>
      <c r="H38" s="141" t="inlineStr">
        <is>
          <t>image::Español (es)</t>
        </is>
      </c>
      <c r="I38" s="143" t="n"/>
      <c r="J38" s="144" t="n"/>
      <c r="K38" s="125" t="n"/>
      <c r="L38" s="249" t="n"/>
    </row>
    <row r="39" ht="14" customHeight="1" s="250" thickBot="1">
      <c r="A39" s="39" t="n"/>
      <c r="B39" s="145" t="n"/>
      <c r="C39" s="145" t="n"/>
      <c r="D39" s="145" t="n"/>
      <c r="E39" s="145" t="n"/>
      <c r="F39" s="145" t="n"/>
      <c r="G39" s="145" t="n"/>
      <c r="H39" s="145" t="n"/>
      <c r="I39" s="145" t="n"/>
      <c r="J39" s="146" t="n"/>
      <c r="K39" s="122" t="n"/>
      <c r="L39" s="249" t="n"/>
    </row>
    <row r="40" ht="13" customHeight="1" s="250">
      <c r="A40" s="249" t="n"/>
      <c r="B40" s="249" t="n"/>
      <c r="C40" s="249" t="n"/>
      <c r="D40" s="249" t="n"/>
      <c r="E40" s="249" t="n"/>
      <c r="F40" s="249" t="n"/>
      <c r="G40" s="249" t="n"/>
      <c r="H40" s="249" t="n"/>
      <c r="I40" s="249" t="n"/>
      <c r="J40" s="249" t="n"/>
      <c r="K40" s="249" t="n"/>
      <c r="L40" s="249" t="n"/>
    </row>
    <row r="41" ht="13" customHeight="1" s="250">
      <c r="A41" s="249" t="n"/>
      <c r="B41" s="249" t="n"/>
      <c r="C41" s="249" t="n"/>
      <c r="D41" s="249" t="n"/>
      <c r="E41" s="249" t="n"/>
      <c r="F41" s="249" t="n"/>
      <c r="G41" s="249" t="n"/>
      <c r="H41" s="249" t="n"/>
      <c r="I41" s="249" t="n"/>
      <c r="J41" s="249" t="n"/>
      <c r="K41" s="249" t="n"/>
      <c r="L41" s="249" t="n"/>
    </row>
    <row r="42" ht="13" customHeight="1" s="250">
      <c r="A42" s="249" t="n"/>
      <c r="B42" s="249" t="n"/>
      <c r="C42" s="249" t="n"/>
      <c r="D42" s="249" t="n"/>
      <c r="E42" s="249" t="n"/>
      <c r="F42" s="249" t="n"/>
      <c r="G42" s="249" t="n"/>
      <c r="H42" s="249" t="n"/>
      <c r="I42" s="249" t="n"/>
      <c r="J42" s="249" t="n"/>
      <c r="K42" s="249" t="n"/>
      <c r="L42" s="249" t="n"/>
    </row>
    <row r="43" ht="13" customHeight="1" s="250">
      <c r="A43" s="249" t="n"/>
      <c r="B43" s="249" t="n"/>
      <c r="C43" s="249" t="n"/>
      <c r="D43" s="249" t="n"/>
      <c r="E43" s="249" t="n"/>
      <c r="F43" s="249" t="n"/>
      <c r="G43" s="249" t="n"/>
      <c r="H43" s="249" t="n"/>
      <c r="I43" s="249" t="n"/>
      <c r="J43" s="249" t="n"/>
      <c r="K43" s="249" t="n"/>
      <c r="L43" s="249" t="n"/>
    </row>
    <row r="44" ht="13" customHeight="1" s="250">
      <c r="A44" s="249" t="n"/>
      <c r="B44" s="249" t="n"/>
      <c r="C44" s="249" t="n"/>
      <c r="D44" s="249" t="n"/>
      <c r="E44" s="249" t="n"/>
      <c r="F44" s="249" t="n"/>
      <c r="G44" s="249" t="n"/>
      <c r="H44" s="249" t="n"/>
      <c r="I44" s="249" t="n"/>
      <c r="J44" s="249" t="n"/>
      <c r="K44" s="249" t="n"/>
      <c r="L44" s="249" t="n"/>
    </row>
    <row r="45" ht="13" customHeight="1" s="250">
      <c r="A45" s="249" t="n"/>
      <c r="B45" s="249" t="n"/>
      <c r="C45" s="249" t="n"/>
      <c r="D45" s="249" t="n"/>
      <c r="E45" s="249" t="n"/>
      <c r="F45" s="249" t="n"/>
      <c r="G45" s="249" t="n"/>
      <c r="H45" s="249" t="n"/>
      <c r="I45" s="249" t="n"/>
      <c r="J45" s="249" t="n"/>
      <c r="K45" s="249" t="n"/>
      <c r="L45" s="249" t="n"/>
    </row>
    <row r="46" ht="13" customHeight="1" s="250">
      <c r="A46" s="249" t="n"/>
      <c r="B46" s="249" t="n"/>
      <c r="C46" s="249" t="n"/>
      <c r="D46" s="249" t="n"/>
      <c r="E46" s="249" t="n"/>
      <c r="F46" s="249" t="n"/>
      <c r="G46" s="249" t="n"/>
      <c r="H46" s="249" t="n"/>
      <c r="I46" s="249" t="n"/>
      <c r="J46" s="249" t="n"/>
      <c r="K46" s="249" t="n"/>
      <c r="L46" s="249" t="n"/>
    </row>
    <row r="47" ht="13" customHeight="1" s="250">
      <c r="A47" s="249" t="n"/>
      <c r="B47" s="249" t="n"/>
      <c r="C47" s="249" t="n"/>
      <c r="D47" s="249" t="n"/>
      <c r="E47" s="249" t="n"/>
      <c r="F47" s="249" t="n"/>
      <c r="G47" s="249" t="n"/>
      <c r="H47" s="249" t="n"/>
      <c r="I47" s="249" t="n"/>
      <c r="J47" s="249" t="n"/>
      <c r="K47" s="249" t="n"/>
      <c r="L47" s="249" t="n"/>
    </row>
    <row r="48" ht="13" customHeight="1" s="250">
      <c r="A48" s="249" t="n"/>
      <c r="B48" s="249" t="n"/>
      <c r="C48" s="249" t="n"/>
      <c r="D48" s="249" t="n"/>
      <c r="E48" s="249" t="n"/>
      <c r="F48" s="249" t="n"/>
      <c r="G48" s="249" t="n"/>
      <c r="H48" s="249" t="n"/>
      <c r="I48" s="249" t="n"/>
      <c r="J48" s="249" t="n"/>
      <c r="K48" s="249" t="n"/>
      <c r="L48" s="249" t="n"/>
    </row>
    <row r="49" ht="13" customHeight="1" s="250">
      <c r="A49" s="249" t="n"/>
      <c r="B49" s="249" t="n"/>
      <c r="C49" s="249" t="n"/>
      <c r="D49" s="249" t="n"/>
      <c r="E49" s="249" t="n"/>
      <c r="F49" s="249" t="n"/>
      <c r="G49" s="249" t="n"/>
      <c r="H49" s="249" t="n"/>
      <c r="I49" s="249" t="n"/>
      <c r="J49" s="249" t="n"/>
      <c r="K49" s="249" t="n"/>
      <c r="L49" s="249" t="n"/>
    </row>
    <row r="50" ht="13" customHeight="1" s="250">
      <c r="A50" s="249" t="n"/>
      <c r="B50" s="249" t="n"/>
      <c r="C50" s="249" t="n"/>
      <c r="D50" s="249" t="n"/>
      <c r="E50" s="249" t="n"/>
      <c r="F50" s="249" t="n"/>
      <c r="G50" s="249" t="n"/>
      <c r="H50" s="249" t="n"/>
      <c r="I50" s="249" t="n"/>
      <c r="J50" s="249" t="n"/>
      <c r="K50" s="249" t="n"/>
      <c r="L50" s="249" t="n"/>
    </row>
    <row r="51" ht="13" customHeight="1" s="250">
      <c r="A51" s="249" t="n"/>
      <c r="B51" s="249" t="n"/>
      <c r="C51" s="249" t="n"/>
      <c r="D51" s="249" t="n"/>
      <c r="E51" s="249" t="n"/>
      <c r="F51" s="249" t="n"/>
      <c r="G51" s="249" t="n"/>
      <c r="H51" s="249" t="n"/>
      <c r="I51" s="249" t="n"/>
      <c r="J51" s="249" t="n"/>
      <c r="K51" s="249" t="n"/>
      <c r="L51" s="249" t="n"/>
    </row>
    <row r="52" ht="13" customHeight="1" s="250">
      <c r="A52" s="249" t="n"/>
      <c r="B52" s="249" t="n"/>
      <c r="C52" s="249" t="n"/>
      <c r="D52" s="249" t="n"/>
      <c r="E52" s="249" t="n"/>
      <c r="F52" s="249" t="n"/>
      <c r="G52" s="249" t="n"/>
      <c r="H52" s="249" t="n"/>
      <c r="I52" s="249" t="n"/>
      <c r="J52" s="249" t="n"/>
      <c r="K52" s="249" t="n"/>
      <c r="L52" s="249" t="n"/>
    </row>
    <row r="53" ht="13" customHeight="1" s="250">
      <c r="A53" s="249" t="n"/>
      <c r="B53" s="249" t="n"/>
      <c r="C53" s="249" t="n"/>
      <c r="D53" s="249" t="n"/>
      <c r="E53" s="249" t="n"/>
      <c r="F53" s="249" t="n"/>
      <c r="G53" s="249" t="n"/>
      <c r="H53" s="249" t="n"/>
      <c r="I53" s="249" t="n"/>
      <c r="J53" s="249" t="n"/>
      <c r="K53" s="249" t="n"/>
      <c r="L53" s="249" t="n"/>
    </row>
    <row r="54" ht="13" customHeight="1" s="250">
      <c r="A54" s="249" t="n"/>
      <c r="B54" s="249" t="n"/>
      <c r="C54" s="249" t="n"/>
      <c r="D54" s="249" t="n"/>
      <c r="E54" s="249" t="n"/>
      <c r="F54" s="249" t="n"/>
      <c r="G54" s="249" t="n"/>
      <c r="H54" s="249" t="n"/>
      <c r="I54" s="249" t="n"/>
      <c r="J54" s="249" t="n"/>
      <c r="K54" s="249" t="n"/>
      <c r="L54" s="249" t="n"/>
    </row>
    <row r="55" ht="13" customHeight="1" s="250">
      <c r="A55" s="249" t="n"/>
      <c r="B55" s="249" t="n"/>
      <c r="C55" s="249" t="n"/>
      <c r="D55" s="249" t="n"/>
      <c r="E55" s="249" t="n"/>
      <c r="F55" s="249" t="n"/>
      <c r="G55" s="249" t="n"/>
      <c r="H55" s="249" t="n"/>
      <c r="I55" s="249" t="n"/>
      <c r="J55" s="249" t="n"/>
      <c r="K55" s="249" t="n"/>
      <c r="L55" s="249" t="n"/>
    </row>
    <row r="56" ht="13" customHeight="1" s="250">
      <c r="A56" s="249" t="n"/>
      <c r="B56" s="249" t="n"/>
      <c r="C56" s="249" t="n"/>
      <c r="D56" s="249" t="n"/>
      <c r="E56" s="249" t="n"/>
      <c r="F56" s="249" t="n"/>
      <c r="G56" s="249" t="n"/>
      <c r="H56" s="249" t="n"/>
      <c r="I56" s="249" t="n"/>
      <c r="J56" s="249" t="n"/>
      <c r="K56" s="249" t="n"/>
      <c r="L56" s="249" t="n"/>
    </row>
    <row r="57" ht="13" customHeight="1" s="250">
      <c r="A57" s="249" t="n"/>
      <c r="B57" s="249" t="n"/>
      <c r="C57" s="249" t="n"/>
      <c r="D57" s="249" t="n"/>
      <c r="E57" s="249" t="n"/>
      <c r="F57" s="249" t="n"/>
      <c r="G57" s="249" t="n"/>
      <c r="H57" s="249" t="n"/>
      <c r="I57" s="249" t="n"/>
      <c r="J57" s="249" t="n"/>
      <c r="K57" s="249" t="n"/>
      <c r="L57" s="249" t="n"/>
    </row>
    <row r="58" ht="13" customHeight="1" s="250">
      <c r="A58" s="249" t="n"/>
      <c r="B58" s="249" t="n"/>
      <c r="C58" s="249" t="n"/>
      <c r="D58" s="249" t="n"/>
      <c r="E58" s="249" t="n"/>
      <c r="F58" s="249" t="n"/>
      <c r="G58" s="249" t="n"/>
      <c r="H58" s="249" t="n"/>
      <c r="I58" s="249" t="n"/>
      <c r="J58" s="249" t="n"/>
      <c r="K58" s="249" t="n"/>
      <c r="L58" s="249" t="n"/>
    </row>
    <row r="59" ht="13" customHeight="1" s="250">
      <c r="A59" s="249" t="n"/>
      <c r="B59" s="249" t="n"/>
      <c r="C59" s="249" t="n"/>
      <c r="D59" s="249" t="n"/>
      <c r="E59" s="249" t="n"/>
      <c r="F59" s="249" t="n"/>
      <c r="G59" s="249" t="n"/>
      <c r="H59" s="249" t="n"/>
      <c r="I59" s="249" t="n"/>
      <c r="J59" s="249" t="n"/>
      <c r="K59" s="249" t="n"/>
      <c r="L59" s="249" t="n"/>
    </row>
    <row r="60" ht="13" customHeight="1" s="250">
      <c r="A60" s="249" t="n"/>
      <c r="B60" s="249" t="n"/>
      <c r="C60" s="249" t="n"/>
      <c r="D60" s="249" t="n"/>
      <c r="E60" s="249" t="n"/>
      <c r="F60" s="249" t="n"/>
      <c r="G60" s="249" t="n"/>
      <c r="H60" s="249" t="n"/>
      <c r="I60" s="249" t="n"/>
      <c r="J60" s="249" t="n"/>
      <c r="K60" s="249" t="n"/>
      <c r="L60" s="249" t="n"/>
    </row>
    <row r="61" ht="13" customHeight="1" s="250">
      <c r="A61" s="249" t="n"/>
      <c r="B61" s="249" t="n"/>
      <c r="C61" s="249" t="n"/>
      <c r="D61" s="249" t="n"/>
      <c r="E61" s="249" t="n"/>
      <c r="F61" s="249" t="n"/>
      <c r="G61" s="249" t="n"/>
      <c r="H61" s="249" t="n"/>
      <c r="I61" s="249" t="n"/>
      <c r="J61" s="249" t="n"/>
      <c r="K61" s="249" t="n"/>
      <c r="L61" s="249" t="n"/>
    </row>
    <row r="62" ht="13" customHeight="1" s="250">
      <c r="A62" s="249" t="n"/>
      <c r="B62" s="249" t="n"/>
      <c r="C62" s="249" t="n"/>
      <c r="D62" s="249" t="n"/>
      <c r="E62" s="249" t="n"/>
      <c r="F62" s="249" t="n"/>
      <c r="G62" s="249" t="n"/>
      <c r="H62" s="249" t="n"/>
      <c r="I62" s="249" t="n"/>
      <c r="J62" s="249" t="n"/>
      <c r="K62" s="249" t="n"/>
      <c r="L62" s="249" t="n"/>
    </row>
    <row r="63" ht="13" customHeight="1" s="250">
      <c r="A63" s="249" t="n"/>
      <c r="B63" s="249" t="n"/>
      <c r="C63" s="249" t="n"/>
      <c r="D63" s="249" t="n"/>
      <c r="E63" s="249" t="n"/>
      <c r="F63" s="249" t="n"/>
      <c r="G63" s="249" t="n"/>
      <c r="H63" s="249" t="n"/>
      <c r="I63" s="249" t="n"/>
      <c r="J63" s="249" t="n"/>
      <c r="K63" s="249" t="n"/>
      <c r="L63" s="249" t="n"/>
    </row>
    <row r="64" ht="13" customHeight="1" s="250">
      <c r="A64" s="249" t="n"/>
      <c r="B64" s="249" t="n"/>
      <c r="C64" s="249" t="n"/>
      <c r="D64" s="249" t="n"/>
      <c r="E64" s="249" t="n"/>
      <c r="F64" s="249" t="n"/>
      <c r="G64" s="249" t="n"/>
      <c r="H64" s="249" t="n"/>
      <c r="I64" s="249" t="n"/>
      <c r="J64" s="249" t="n"/>
      <c r="K64" s="249" t="n"/>
      <c r="L64" s="249" t="n"/>
    </row>
    <row r="65" ht="13" customHeight="1" s="250">
      <c r="A65" s="249" t="n"/>
      <c r="B65" s="249" t="n"/>
      <c r="C65" s="249" t="n"/>
      <c r="D65" s="249" t="n"/>
      <c r="E65" s="249" t="n"/>
      <c r="F65" s="249" t="n"/>
      <c r="G65" s="249" t="n"/>
      <c r="H65" s="249" t="n"/>
      <c r="I65" s="249" t="n"/>
      <c r="J65" s="249" t="n"/>
      <c r="K65" s="249" t="n"/>
      <c r="L65" s="249" t="n"/>
    </row>
    <row r="66" ht="13" customHeight="1" s="250">
      <c r="A66" s="249" t="n"/>
      <c r="B66" s="249" t="n"/>
      <c r="C66" s="249" t="n"/>
      <c r="D66" s="249" t="n"/>
      <c r="E66" s="249" t="n"/>
      <c r="F66" s="249" t="n"/>
      <c r="G66" s="249" t="n"/>
      <c r="H66" s="249" t="n"/>
      <c r="I66" s="249" t="n"/>
      <c r="J66" s="249" t="n"/>
      <c r="K66" s="249" t="n"/>
      <c r="L66" s="249" t="n"/>
    </row>
    <row r="67" ht="13" customHeight="1" s="250">
      <c r="A67" s="249" t="n"/>
      <c r="B67" s="249" t="n"/>
      <c r="C67" s="249" t="n"/>
      <c r="D67" s="249" t="n"/>
      <c r="E67" s="249" t="n"/>
      <c r="F67" s="249" t="n"/>
      <c r="G67" s="249" t="n"/>
      <c r="H67" s="249" t="n"/>
      <c r="I67" s="249" t="n"/>
      <c r="J67" s="249" t="n"/>
      <c r="K67" s="249" t="n"/>
      <c r="L67" s="249" t="n"/>
    </row>
    <row r="68" ht="13" customHeight="1" s="250">
      <c r="A68" s="249" t="n"/>
      <c r="B68" s="249" t="n"/>
      <c r="C68" s="249" t="n"/>
      <c r="D68" s="249" t="n"/>
      <c r="E68" s="249" t="n"/>
      <c r="F68" s="249" t="n"/>
      <c r="G68" s="249" t="n"/>
      <c r="H68" s="249" t="n"/>
      <c r="I68" s="249" t="n"/>
      <c r="J68" s="249" t="n"/>
      <c r="K68" s="249" t="n"/>
      <c r="L68" s="249" t="n"/>
    </row>
    <row r="69" ht="13" customHeight="1" s="250">
      <c r="A69" s="249" t="n"/>
      <c r="B69" s="249" t="n"/>
      <c r="C69" s="249" t="n"/>
      <c r="D69" s="249" t="n"/>
      <c r="E69" s="249" t="n"/>
      <c r="F69" s="249" t="n"/>
      <c r="G69" s="249" t="n"/>
      <c r="H69" s="249" t="n"/>
      <c r="I69" s="249" t="n"/>
      <c r="J69" s="249" t="n"/>
      <c r="K69" s="249" t="n"/>
      <c r="L69" s="249" t="n"/>
    </row>
    <row r="70" ht="13" customHeight="1" s="250">
      <c r="A70" s="249" t="n"/>
      <c r="B70" s="249" t="n"/>
      <c r="C70" s="249" t="n"/>
      <c r="D70" s="249" t="n"/>
      <c r="E70" s="249" t="n"/>
      <c r="F70" s="249" t="n"/>
      <c r="G70" s="249" t="n"/>
      <c r="H70" s="249" t="n"/>
      <c r="I70" s="249" t="n"/>
      <c r="J70" s="249" t="n"/>
      <c r="K70" s="249" t="n"/>
      <c r="L70" s="249" t="n"/>
    </row>
    <row r="71" ht="13" customHeight="1" s="250">
      <c r="A71" s="249" t="n"/>
      <c r="B71" s="249" t="n"/>
      <c r="C71" s="249" t="n"/>
      <c r="D71" s="249" t="n"/>
      <c r="E71" s="249" t="n"/>
      <c r="F71" s="249" t="n"/>
      <c r="G71" s="249" t="n"/>
      <c r="H71" s="249" t="n"/>
      <c r="I71" s="249" t="n"/>
      <c r="J71" s="249" t="n"/>
      <c r="K71" s="249" t="n"/>
      <c r="L71" s="249" t="n"/>
    </row>
    <row r="72" ht="13" customHeight="1" s="250">
      <c r="A72" s="249" t="n"/>
      <c r="B72" s="249" t="n"/>
      <c r="C72" s="249" t="n"/>
      <c r="D72" s="249" t="n"/>
      <c r="E72" s="249" t="n"/>
      <c r="F72" s="249" t="n"/>
      <c r="G72" s="249" t="n"/>
      <c r="H72" s="249" t="n"/>
      <c r="I72" s="249" t="n"/>
      <c r="J72" s="249" t="n"/>
      <c r="K72" s="249" t="n"/>
      <c r="L72" s="249" t="n"/>
    </row>
    <row r="73" ht="13" customHeight="1" s="250">
      <c r="A73" s="249" t="n"/>
      <c r="B73" s="249" t="n"/>
      <c r="C73" s="249" t="n"/>
      <c r="D73" s="249" t="n"/>
      <c r="E73" s="249" t="n"/>
      <c r="F73" s="249" t="n"/>
      <c r="G73" s="249" t="n"/>
      <c r="H73" s="249" t="n"/>
      <c r="I73" s="249" t="n"/>
      <c r="J73" s="249" t="n"/>
      <c r="K73" s="249" t="n"/>
      <c r="L73" s="249" t="n"/>
    </row>
    <row r="74" ht="13" customHeight="1" s="250">
      <c r="A74" s="249" t="n"/>
      <c r="B74" s="249" t="n"/>
      <c r="C74" s="249" t="n"/>
      <c r="D74" s="249" t="n"/>
      <c r="E74" s="249" t="n"/>
      <c r="F74" s="249" t="n"/>
      <c r="G74" s="249" t="n"/>
      <c r="H74" s="249" t="n"/>
      <c r="I74" s="249" t="n"/>
      <c r="J74" s="249" t="n"/>
      <c r="K74" s="249" t="n"/>
      <c r="L74" s="249" t="n"/>
    </row>
    <row r="75" ht="13" customHeight="1" s="250">
      <c r="A75" s="249" t="n"/>
      <c r="B75" s="249" t="n"/>
      <c r="C75" s="249" t="n"/>
      <c r="D75" s="249" t="n"/>
      <c r="E75" s="249" t="n"/>
      <c r="F75" s="249" t="n"/>
      <c r="G75" s="249" t="n"/>
      <c r="H75" s="249" t="n"/>
      <c r="I75" s="249" t="n"/>
      <c r="J75" s="249" t="n"/>
      <c r="K75" s="249" t="n"/>
      <c r="L75" s="249" t="n"/>
    </row>
    <row r="76" ht="13" customHeight="1" s="250">
      <c r="A76" s="249" t="n"/>
      <c r="B76" s="249" t="n"/>
      <c r="C76" s="249" t="n"/>
      <c r="D76" s="249" t="n"/>
      <c r="E76" s="249" t="n"/>
      <c r="F76" s="249" t="n"/>
      <c r="G76" s="249" t="n"/>
      <c r="H76" s="249" t="n"/>
      <c r="I76" s="249" t="n"/>
      <c r="J76" s="249" t="n"/>
      <c r="K76" s="249" t="n"/>
      <c r="L76" s="249" t="n"/>
    </row>
    <row r="77" ht="13" customHeight="1" s="250">
      <c r="A77" s="249" t="n"/>
      <c r="B77" s="249" t="n"/>
      <c r="C77" s="249" t="n"/>
      <c r="D77" s="249" t="n"/>
      <c r="E77" s="249" t="n"/>
      <c r="F77" s="249" t="n"/>
      <c r="G77" s="249" t="n"/>
      <c r="H77" s="249" t="n"/>
      <c r="I77" s="249" t="n"/>
      <c r="J77" s="249" t="n"/>
      <c r="K77" s="249" t="n"/>
      <c r="L77" s="249" t="n"/>
    </row>
    <row r="78" ht="13" customHeight="1" s="250">
      <c r="A78" s="249" t="n"/>
      <c r="B78" s="249" t="n"/>
      <c r="C78" s="249" t="n"/>
      <c r="D78" s="249" t="n"/>
      <c r="E78" s="249" t="n"/>
      <c r="F78" s="249" t="n"/>
      <c r="G78" s="249" t="n"/>
      <c r="H78" s="249" t="n"/>
      <c r="I78" s="249" t="n"/>
      <c r="J78" s="249" t="n"/>
      <c r="K78" s="249" t="n"/>
      <c r="L78" s="249" t="n"/>
    </row>
    <row r="79" ht="13" customHeight="1" s="250">
      <c r="A79" s="249" t="n"/>
      <c r="B79" s="249" t="n"/>
      <c r="C79" s="249" t="n"/>
      <c r="D79" s="249" t="n"/>
      <c r="E79" s="249" t="n"/>
      <c r="F79" s="249" t="n"/>
      <c r="G79" s="249" t="n"/>
      <c r="H79" s="249" t="n"/>
      <c r="I79" s="249" t="n"/>
      <c r="J79" s="249" t="n"/>
      <c r="K79" s="249" t="n"/>
      <c r="L79" s="249" t="n"/>
    </row>
    <row r="80" ht="13" customHeight="1" s="250">
      <c r="A80" s="249" t="n"/>
      <c r="B80" s="249" t="n"/>
      <c r="C80" s="249" t="n"/>
      <c r="D80" s="249" t="n"/>
      <c r="E80" s="249" t="n"/>
      <c r="F80" s="249" t="n"/>
      <c r="G80" s="249" t="n"/>
      <c r="H80" s="249" t="n"/>
      <c r="I80" s="249" t="n"/>
      <c r="J80" s="249" t="n"/>
      <c r="K80" s="249" t="n"/>
      <c r="L80" s="249" t="n"/>
    </row>
    <row r="81" ht="13" customHeight="1" s="250">
      <c r="A81" s="249" t="n"/>
      <c r="B81" s="249" t="n"/>
      <c r="C81" s="249" t="n"/>
      <c r="D81" s="249" t="n"/>
      <c r="E81" s="249" t="n"/>
      <c r="F81" s="249" t="n"/>
      <c r="G81" s="249" t="n"/>
      <c r="H81" s="249" t="n"/>
      <c r="I81" s="249" t="n"/>
      <c r="J81" s="249" t="n"/>
      <c r="K81" s="249" t="n"/>
      <c r="L81" s="249" t="n"/>
    </row>
    <row r="82" ht="13" customHeight="1" s="250">
      <c r="A82" s="249" t="n"/>
      <c r="B82" s="249" t="n"/>
      <c r="C82" s="249" t="n"/>
      <c r="D82" s="249" t="n"/>
      <c r="E82" s="249" t="n"/>
      <c r="F82" s="249" t="n"/>
      <c r="G82" s="249" t="n"/>
      <c r="H82" s="249" t="n"/>
      <c r="I82" s="249" t="n"/>
      <c r="J82" s="249" t="n"/>
      <c r="K82" s="249" t="n"/>
      <c r="L82" s="249" t="n"/>
    </row>
    <row r="83" ht="13" customHeight="1" s="250">
      <c r="A83" s="249" t="n"/>
      <c r="B83" s="249" t="n"/>
      <c r="C83" s="249" t="n"/>
      <c r="D83" s="249" t="n"/>
      <c r="E83" s="249" t="n"/>
      <c r="F83" s="249" t="n"/>
      <c r="G83" s="249" t="n"/>
      <c r="H83" s="249" t="n"/>
      <c r="I83" s="249" t="n"/>
      <c r="J83" s="249" t="n"/>
      <c r="K83" s="249" t="n"/>
      <c r="L83" s="249" t="n"/>
    </row>
    <row r="84" ht="13" customHeight="1" s="250">
      <c r="A84" s="249" t="n"/>
      <c r="B84" s="249" t="n"/>
      <c r="C84" s="249" t="n"/>
      <c r="D84" s="249" t="n"/>
      <c r="E84" s="249" t="n"/>
      <c r="F84" s="249" t="n"/>
      <c r="G84" s="249" t="n"/>
      <c r="H84" s="249" t="n"/>
      <c r="I84" s="249" t="n"/>
      <c r="J84" s="249" t="n"/>
      <c r="K84" s="249" t="n"/>
      <c r="L84" s="249" t="n"/>
    </row>
    <row r="85" ht="13" customHeight="1" s="250">
      <c r="A85" s="249" t="n"/>
      <c r="B85" s="249" t="n"/>
      <c r="C85" s="249" t="n"/>
      <c r="D85" s="249" t="n"/>
      <c r="E85" s="249" t="n"/>
      <c r="F85" s="249" t="n"/>
      <c r="G85" s="249" t="n"/>
      <c r="H85" s="249" t="n"/>
      <c r="I85" s="249" t="n"/>
      <c r="J85" s="249" t="n"/>
      <c r="K85" s="249" t="n"/>
      <c r="L85" s="249" t="n"/>
    </row>
    <row r="86" ht="13" customHeight="1" s="250">
      <c r="A86" s="249" t="n"/>
      <c r="B86" s="249" t="n"/>
      <c r="C86" s="249" t="n"/>
      <c r="D86" s="249" t="n"/>
      <c r="E86" s="249" t="n"/>
      <c r="F86" s="249" t="n"/>
      <c r="G86" s="249" t="n"/>
      <c r="H86" s="249" t="n"/>
      <c r="I86" s="249" t="n"/>
      <c r="J86" s="249" t="n"/>
      <c r="K86" s="249" t="n"/>
      <c r="L86" s="249" t="n"/>
    </row>
    <row r="87" ht="13" customHeight="1" s="250">
      <c r="A87" s="249" t="n"/>
      <c r="B87" s="249" t="n"/>
      <c r="C87" s="249" t="n"/>
      <c r="D87" s="249" t="n"/>
      <c r="E87" s="249" t="n"/>
      <c r="F87" s="249" t="n"/>
      <c r="G87" s="249" t="n"/>
      <c r="H87" s="249" t="n"/>
      <c r="I87" s="249" t="n"/>
      <c r="J87" s="249" t="n"/>
      <c r="K87" s="249" t="n"/>
      <c r="L87" s="249" t="n"/>
    </row>
    <row r="88" ht="13" customHeight="1" s="250">
      <c r="A88" s="249" t="n"/>
      <c r="B88" s="249" t="n"/>
      <c r="C88" s="249" t="n"/>
      <c r="D88" s="249" t="n"/>
      <c r="E88" s="249" t="n"/>
      <c r="F88" s="249" t="n"/>
      <c r="G88" s="249" t="n"/>
      <c r="H88" s="249" t="n"/>
      <c r="I88" s="249" t="n"/>
      <c r="J88" s="249" t="n"/>
      <c r="K88" s="249" t="n"/>
      <c r="L88" s="249" t="n"/>
    </row>
    <row r="89" ht="13" customHeight="1" s="250">
      <c r="A89" s="249" t="n"/>
      <c r="B89" s="249" t="n"/>
      <c r="C89" s="249" t="n"/>
      <c r="D89" s="249" t="n"/>
      <c r="E89" s="249" t="n"/>
      <c r="F89" s="249" t="n"/>
      <c r="G89" s="249" t="n"/>
      <c r="H89" s="249" t="n"/>
      <c r="I89" s="249" t="n"/>
      <c r="J89" s="249" t="n"/>
      <c r="K89" s="249" t="n"/>
      <c r="L89" s="249" t="n"/>
    </row>
    <row r="90" ht="13" customHeight="1" s="250">
      <c r="A90" s="249" t="n"/>
      <c r="B90" s="249" t="n"/>
      <c r="C90" s="249" t="n"/>
      <c r="D90" s="249" t="n"/>
      <c r="E90" s="249" t="n"/>
      <c r="F90" s="249" t="n"/>
      <c r="G90" s="249" t="n"/>
      <c r="H90" s="249" t="n"/>
      <c r="I90" s="249" t="n"/>
      <c r="J90" s="249" t="n"/>
      <c r="K90" s="249" t="n"/>
      <c r="L90" s="249" t="n"/>
    </row>
    <row r="91" ht="13" customHeight="1" s="250">
      <c r="A91" s="249" t="n"/>
      <c r="B91" s="249" t="n"/>
      <c r="C91" s="249" t="n"/>
      <c r="D91" s="249" t="n"/>
      <c r="E91" s="249" t="n"/>
      <c r="F91" s="249" t="n"/>
      <c r="G91" s="249" t="n"/>
      <c r="H91" s="249" t="n"/>
      <c r="I91" s="249" t="n"/>
      <c r="J91" s="249" t="n"/>
      <c r="K91" s="249" t="n"/>
      <c r="L91" s="249" t="n"/>
    </row>
    <row r="92" ht="13" customHeight="1" s="250">
      <c r="A92" s="249" t="n"/>
      <c r="B92" s="249" t="n"/>
      <c r="C92" s="249" t="n"/>
      <c r="D92" s="249" t="n"/>
      <c r="E92" s="249" t="n"/>
      <c r="F92" s="249" t="n"/>
      <c r="G92" s="249" t="n"/>
      <c r="H92" s="249" t="n"/>
      <c r="I92" s="249" t="n"/>
      <c r="J92" s="249" t="n"/>
      <c r="K92" s="249" t="n"/>
      <c r="L92" s="249" t="n"/>
    </row>
    <row r="93" ht="13" customHeight="1" s="250">
      <c r="A93" s="249" t="n"/>
      <c r="B93" s="249" t="n"/>
      <c r="C93" s="249" t="n"/>
      <c r="D93" s="249" t="n"/>
      <c r="E93" s="249" t="n"/>
      <c r="F93" s="249" t="n"/>
      <c r="G93" s="249" t="n"/>
      <c r="H93" s="249" t="n"/>
      <c r="I93" s="249" t="n"/>
      <c r="J93" s="249" t="n"/>
      <c r="K93" s="249" t="n"/>
      <c r="L93" s="249" t="n"/>
    </row>
    <row r="94" ht="13" customHeight="1" s="250">
      <c r="A94" s="249" t="n"/>
      <c r="B94" s="249" t="n"/>
      <c r="C94" s="249" t="n"/>
      <c r="D94" s="249" t="n"/>
      <c r="E94" s="249" t="n"/>
      <c r="F94" s="249" t="n"/>
      <c r="G94" s="249" t="n"/>
      <c r="H94" s="249" t="n"/>
      <c r="I94" s="249" t="n"/>
      <c r="J94" s="249" t="n"/>
      <c r="K94" s="249" t="n"/>
      <c r="L94" s="249" t="n"/>
    </row>
    <row r="95" ht="13" customHeight="1" s="250">
      <c r="A95" s="249" t="n"/>
      <c r="B95" s="249" t="n"/>
      <c r="C95" s="249" t="n"/>
      <c r="D95" s="249" t="n"/>
      <c r="E95" s="249" t="n"/>
      <c r="F95" s="249" t="n"/>
      <c r="G95" s="249" t="n"/>
      <c r="H95" s="249" t="n"/>
      <c r="I95" s="249" t="n"/>
      <c r="J95" s="249" t="n"/>
      <c r="K95" s="249" t="n"/>
      <c r="L95" s="249" t="n"/>
    </row>
    <row r="96" ht="13" customHeight="1" s="250">
      <c r="A96" s="249" t="n"/>
      <c r="B96" s="249" t="n"/>
      <c r="C96" s="249" t="n"/>
      <c r="D96" s="249" t="n"/>
      <c r="E96" s="249" t="n"/>
      <c r="F96" s="249" t="n"/>
      <c r="G96" s="249" t="n"/>
      <c r="H96" s="249" t="n"/>
      <c r="I96" s="249" t="n"/>
      <c r="J96" s="249" t="n"/>
      <c r="K96" s="249" t="n"/>
      <c r="L96" s="249" t="n"/>
    </row>
    <row r="97" ht="13" customHeight="1" s="250">
      <c r="A97" s="249" t="n"/>
      <c r="B97" s="249" t="n"/>
      <c r="C97" s="249" t="n"/>
      <c r="D97" s="249" t="n"/>
      <c r="E97" s="249" t="n"/>
      <c r="F97" s="249" t="n"/>
      <c r="G97" s="249" t="n"/>
      <c r="H97" s="249" t="n"/>
      <c r="I97" s="249" t="n"/>
      <c r="J97" s="249" t="n"/>
      <c r="K97" s="249" t="n"/>
      <c r="L97" s="249" t="n"/>
    </row>
    <row r="98" ht="13" customHeight="1" s="250">
      <c r="A98" s="249" t="n"/>
      <c r="B98" s="249" t="n"/>
      <c r="C98" s="249" t="n"/>
      <c r="D98" s="249" t="n"/>
      <c r="E98" s="249" t="n"/>
      <c r="F98" s="249" t="n"/>
      <c r="G98" s="249" t="n"/>
      <c r="H98" s="249" t="n"/>
      <c r="I98" s="249" t="n"/>
      <c r="J98" s="249" t="n"/>
      <c r="K98" s="249" t="n"/>
      <c r="L98" s="249" t="n"/>
    </row>
    <row r="99" ht="13" customHeight="1" s="250">
      <c r="A99" s="249" t="n"/>
      <c r="B99" s="249" t="n"/>
      <c r="C99" s="249" t="n"/>
      <c r="D99" s="249" t="n"/>
      <c r="E99" s="249" t="n"/>
      <c r="F99" s="249" t="n"/>
      <c r="G99" s="249" t="n"/>
      <c r="H99" s="249" t="n"/>
      <c r="I99" s="249" t="n"/>
      <c r="J99" s="249" t="n"/>
      <c r="K99" s="249" t="n"/>
      <c r="L99" s="249" t="n"/>
    </row>
    <row r="100" ht="13" customHeight="1" s="250">
      <c r="A100" s="249" t="n"/>
      <c r="B100" s="249" t="n"/>
      <c r="C100" s="249" t="n"/>
      <c r="D100" s="249" t="n"/>
      <c r="E100" s="249" t="n"/>
      <c r="F100" s="249" t="n"/>
      <c r="G100" s="249" t="n"/>
      <c r="H100" s="249" t="n"/>
      <c r="I100" s="249" t="n"/>
      <c r="J100" s="249" t="n"/>
      <c r="K100" s="249" t="n"/>
      <c r="L100" s="249" t="n"/>
    </row>
    <row r="101" ht="13" customHeight="1" s="250">
      <c r="A101" s="249" t="n"/>
      <c r="B101" s="249" t="n"/>
      <c r="C101" s="249" t="n"/>
      <c r="D101" s="249" t="n"/>
      <c r="E101" s="249" t="n"/>
      <c r="F101" s="249" t="n"/>
      <c r="G101" s="249" t="n"/>
      <c r="H101" s="249" t="n"/>
      <c r="I101" s="249" t="n"/>
      <c r="J101" s="249" t="n"/>
      <c r="K101" s="249" t="n"/>
      <c r="L101" s="249" t="n"/>
    </row>
    <row r="102" ht="13" customHeight="1" s="250">
      <c r="A102" s="249" t="n"/>
      <c r="B102" s="249" t="n"/>
      <c r="C102" s="249" t="n"/>
      <c r="D102" s="249" t="n"/>
      <c r="E102" s="249" t="n"/>
      <c r="F102" s="249" t="n"/>
      <c r="G102" s="249" t="n"/>
      <c r="H102" s="249" t="n"/>
      <c r="I102" s="249" t="n"/>
      <c r="J102" s="249" t="n"/>
      <c r="K102" s="249" t="n"/>
      <c r="L102" s="249" t="n"/>
    </row>
    <row r="103" ht="13" customHeight="1" s="250">
      <c r="A103" s="249" t="n"/>
      <c r="B103" s="249" t="n"/>
      <c r="C103" s="249" t="n"/>
      <c r="D103" s="249" t="n"/>
      <c r="E103" s="249" t="n"/>
      <c r="F103" s="249" t="n"/>
      <c r="G103" s="249" t="n"/>
      <c r="H103" s="249" t="n"/>
      <c r="I103" s="249" t="n"/>
      <c r="J103" s="249" t="n"/>
      <c r="K103" s="249" t="n"/>
      <c r="L103" s="249" t="n"/>
    </row>
    <row r="104" ht="13" customHeight="1" s="250">
      <c r="A104" s="249" t="n"/>
      <c r="B104" s="249" t="n"/>
      <c r="C104" s="249" t="n"/>
      <c r="D104" s="249" t="n"/>
      <c r="E104" s="249" t="n"/>
      <c r="F104" s="249" t="n"/>
      <c r="G104" s="249" t="n"/>
      <c r="H104" s="249" t="n"/>
      <c r="I104" s="249" t="n"/>
      <c r="J104" s="249" t="n"/>
      <c r="K104" s="249" t="n"/>
      <c r="L104" s="249" t="n"/>
    </row>
    <row r="105" ht="13" customHeight="1" s="250">
      <c r="A105" s="249" t="n"/>
      <c r="B105" s="249" t="n"/>
      <c r="C105" s="249" t="n"/>
      <c r="D105" s="249" t="n"/>
      <c r="E105" s="249" t="n"/>
      <c r="F105" s="249" t="n"/>
      <c r="G105" s="249" t="n"/>
      <c r="H105" s="249" t="n"/>
      <c r="I105" s="249" t="n"/>
      <c r="J105" s="249" t="n"/>
      <c r="K105" s="249" t="n"/>
      <c r="L105" s="249" t="n"/>
    </row>
    <row r="106" ht="13" customHeight="1" s="250">
      <c r="A106" s="249" t="n"/>
      <c r="B106" s="249" t="n"/>
      <c r="C106" s="249" t="n"/>
      <c r="D106" s="249" t="n"/>
      <c r="E106" s="249" t="n"/>
      <c r="F106" s="249" t="n"/>
      <c r="G106" s="249" t="n"/>
      <c r="H106" s="249" t="n"/>
      <c r="I106" s="249" t="n"/>
      <c r="J106" s="249" t="n"/>
      <c r="K106" s="249" t="n"/>
      <c r="L106" s="249" t="n"/>
    </row>
    <row r="107" ht="13" customHeight="1" s="250">
      <c r="A107" s="249" t="n"/>
      <c r="B107" s="249" t="n"/>
      <c r="C107" s="249" t="n"/>
      <c r="D107" s="249" t="n"/>
      <c r="E107" s="249" t="n"/>
      <c r="F107" s="249" t="n"/>
      <c r="G107" s="249" t="n"/>
      <c r="H107" s="249" t="n"/>
      <c r="I107" s="249" t="n"/>
      <c r="J107" s="249" t="n"/>
      <c r="K107" s="249" t="n"/>
      <c r="L107" s="249" t="n"/>
    </row>
    <row r="108" ht="13" customHeight="1" s="250">
      <c r="A108" s="249" t="n"/>
      <c r="B108" s="249" t="n"/>
      <c r="C108" s="249" t="n"/>
      <c r="D108" s="249" t="n"/>
      <c r="E108" s="249" t="n"/>
      <c r="F108" s="249" t="n"/>
      <c r="G108" s="249" t="n"/>
      <c r="H108" s="249" t="n"/>
      <c r="I108" s="249" t="n"/>
      <c r="J108" s="249" t="n"/>
      <c r="K108" s="249" t="n"/>
      <c r="L108" s="249" t="n"/>
    </row>
    <row r="109" ht="13" customHeight="1" s="250">
      <c r="A109" s="249" t="n"/>
      <c r="B109" s="249" t="n"/>
      <c r="C109" s="249" t="n"/>
      <c r="D109" s="249" t="n"/>
      <c r="E109" s="249" t="n"/>
      <c r="F109" s="249" t="n"/>
      <c r="G109" s="249" t="n"/>
      <c r="H109" s="249" t="n"/>
      <c r="I109" s="249" t="n"/>
      <c r="J109" s="249" t="n"/>
      <c r="K109" s="249" t="n"/>
      <c r="L109" s="249" t="n"/>
    </row>
    <row r="110" ht="13" customHeight="1" s="250">
      <c r="A110" s="249" t="n"/>
      <c r="B110" s="249" t="n"/>
      <c r="C110" s="249" t="n"/>
      <c r="D110" s="249" t="n"/>
      <c r="E110" s="249" t="n"/>
      <c r="F110" s="249" t="n"/>
      <c r="G110" s="249" t="n"/>
      <c r="H110" s="249" t="n"/>
      <c r="I110" s="249" t="n"/>
      <c r="J110" s="249" t="n"/>
      <c r="K110" s="249" t="n"/>
      <c r="L110" s="249" t="n"/>
    </row>
    <row r="111" ht="13" customHeight="1" s="250">
      <c r="A111" s="249" t="n"/>
      <c r="B111" s="249" t="n"/>
      <c r="C111" s="249" t="n"/>
      <c r="D111" s="249" t="n"/>
      <c r="E111" s="249" t="n"/>
      <c r="F111" s="249" t="n"/>
      <c r="G111" s="249" t="n"/>
      <c r="H111" s="249" t="n"/>
      <c r="I111" s="249" t="n"/>
      <c r="J111" s="249" t="n"/>
      <c r="K111" s="249" t="n"/>
      <c r="L111" s="249" t="n"/>
    </row>
    <row r="112" ht="13" customHeight="1" s="250">
      <c r="A112" s="249" t="n"/>
      <c r="B112" s="249" t="n"/>
      <c r="C112" s="249" t="n"/>
      <c r="D112" s="249" t="n"/>
      <c r="E112" s="249" t="n"/>
      <c r="F112" s="249" t="n"/>
      <c r="G112" s="249" t="n"/>
      <c r="H112" s="249" t="n"/>
      <c r="I112" s="249" t="n"/>
      <c r="J112" s="249" t="n"/>
      <c r="K112" s="249" t="n"/>
      <c r="L112" s="249" t="n"/>
    </row>
    <row r="113" ht="13" customHeight="1" s="250">
      <c r="A113" s="249" t="n"/>
      <c r="B113" s="249" t="n"/>
      <c r="C113" s="249" t="n"/>
      <c r="D113" s="249" t="n"/>
      <c r="E113" s="249" t="n"/>
      <c r="F113" s="249" t="n"/>
      <c r="G113" s="249" t="n"/>
      <c r="H113" s="249" t="n"/>
      <c r="I113" s="249" t="n"/>
      <c r="J113" s="249" t="n"/>
      <c r="K113" s="249" t="n"/>
      <c r="L113" s="249" t="n"/>
    </row>
    <row r="114" ht="13" customHeight="1" s="250">
      <c r="A114" s="249" t="n"/>
      <c r="B114" s="249" t="n"/>
      <c r="C114" s="249" t="n"/>
      <c r="D114" s="249" t="n"/>
      <c r="E114" s="249" t="n"/>
      <c r="F114" s="249" t="n"/>
      <c r="G114" s="249" t="n"/>
      <c r="H114" s="249" t="n"/>
      <c r="I114" s="249" t="n"/>
      <c r="J114" s="249" t="n"/>
      <c r="K114" s="249" t="n"/>
      <c r="L114" s="249" t="n"/>
    </row>
    <row r="115" ht="13" customHeight="1" s="250">
      <c r="A115" s="249" t="n"/>
      <c r="B115" s="249" t="n"/>
      <c r="C115" s="249" t="n"/>
      <c r="D115" s="249" t="n"/>
      <c r="E115" s="249" t="n"/>
      <c r="F115" s="249" t="n"/>
      <c r="G115" s="249" t="n"/>
      <c r="H115" s="249" t="n"/>
      <c r="I115" s="249" t="n"/>
      <c r="J115" s="249" t="n"/>
      <c r="K115" s="249" t="n"/>
      <c r="L115" s="249" t="n"/>
    </row>
    <row r="116" ht="13" customHeight="1" s="250">
      <c r="A116" s="249" t="n"/>
      <c r="B116" s="249" t="n"/>
      <c r="C116" s="249" t="n"/>
      <c r="D116" s="249" t="n"/>
      <c r="E116" s="249" t="n"/>
      <c r="F116" s="249" t="n"/>
      <c r="G116" s="249" t="n"/>
      <c r="H116" s="249" t="n"/>
      <c r="I116" s="249" t="n"/>
      <c r="J116" s="249" t="n"/>
      <c r="K116" s="249" t="n"/>
      <c r="L116" s="249" t="n"/>
    </row>
    <row r="117" ht="13" customHeight="1" s="250">
      <c r="A117" s="249" t="n"/>
      <c r="B117" s="249" t="n"/>
      <c r="C117" s="249" t="n"/>
      <c r="D117" s="249" t="n"/>
      <c r="E117" s="249" t="n"/>
      <c r="F117" s="249" t="n"/>
      <c r="G117" s="249" t="n"/>
      <c r="H117" s="249" t="n"/>
      <c r="I117" s="249" t="n"/>
      <c r="J117" s="249" t="n"/>
      <c r="K117" s="249" t="n"/>
      <c r="L117" s="249" t="n"/>
    </row>
    <row r="118" ht="13" customHeight="1" s="250">
      <c r="A118" s="249" t="n"/>
      <c r="B118" s="249" t="n"/>
      <c r="C118" s="249" t="n"/>
      <c r="D118" s="249" t="n"/>
      <c r="E118" s="249" t="n"/>
      <c r="F118" s="249" t="n"/>
      <c r="G118" s="249" t="n"/>
      <c r="H118" s="249" t="n"/>
      <c r="I118" s="249" t="n"/>
      <c r="J118" s="249" t="n"/>
      <c r="K118" s="249" t="n"/>
      <c r="L118" s="249" t="n"/>
    </row>
    <row r="119" ht="13" customHeight="1" s="250">
      <c r="A119" s="249" t="n"/>
      <c r="B119" s="249" t="n"/>
      <c r="C119" s="249" t="n"/>
      <c r="D119" s="249" t="n"/>
      <c r="E119" s="249" t="n"/>
      <c r="F119" s="249" t="n"/>
      <c r="G119" s="249" t="n"/>
      <c r="H119" s="249" t="n"/>
      <c r="I119" s="249" t="n"/>
      <c r="J119" s="249" t="n"/>
      <c r="K119" s="249" t="n"/>
      <c r="L119" s="249" t="n"/>
    </row>
    <row r="120" ht="13" customHeight="1" s="250">
      <c r="A120" s="249" t="n"/>
      <c r="B120" s="249" t="n"/>
      <c r="C120" s="249" t="n"/>
      <c r="D120" s="249" t="n"/>
      <c r="E120" s="249" t="n"/>
      <c r="F120" s="249" t="n"/>
      <c r="G120" s="249" t="n"/>
      <c r="H120" s="249" t="n"/>
      <c r="I120" s="249" t="n"/>
      <c r="J120" s="249" t="n"/>
      <c r="K120" s="249" t="n"/>
      <c r="L120" s="249" t="n"/>
    </row>
    <row r="121" ht="13" customHeight="1" s="250">
      <c r="A121" s="249" t="n"/>
      <c r="B121" s="249" t="n"/>
      <c r="C121" s="249" t="n"/>
      <c r="D121" s="249" t="n"/>
      <c r="E121" s="249" t="n"/>
      <c r="F121" s="249" t="n"/>
      <c r="G121" s="249" t="n"/>
      <c r="H121" s="249" t="n"/>
      <c r="I121" s="249" t="n"/>
      <c r="J121" s="249" t="n"/>
      <c r="K121" s="249" t="n"/>
      <c r="L121" s="249" t="n"/>
    </row>
    <row r="122" ht="13" customHeight="1" s="250">
      <c r="A122" s="249" t="n"/>
      <c r="B122" s="249" t="n"/>
      <c r="C122" s="249" t="n"/>
      <c r="D122" s="249" t="n"/>
      <c r="E122" s="249" t="n"/>
      <c r="F122" s="249" t="n"/>
      <c r="G122" s="249" t="n"/>
      <c r="H122" s="249" t="n"/>
      <c r="I122" s="249" t="n"/>
      <c r="J122" s="249" t="n"/>
      <c r="K122" s="249" t="n"/>
      <c r="L122" s="249" t="n"/>
    </row>
    <row r="123" ht="13" customHeight="1" s="250">
      <c r="A123" s="249" t="n"/>
      <c r="B123" s="249" t="n"/>
      <c r="C123" s="249" t="n"/>
      <c r="D123" s="249" t="n"/>
      <c r="E123" s="249" t="n"/>
      <c r="F123" s="249" t="n"/>
      <c r="G123" s="249" t="n"/>
      <c r="H123" s="249" t="n"/>
      <c r="I123" s="249" t="n"/>
      <c r="J123" s="249" t="n"/>
      <c r="K123" s="249" t="n"/>
      <c r="L123" s="249" t="n"/>
    </row>
    <row r="124" ht="13" customHeight="1" s="250">
      <c r="A124" s="249" t="n"/>
      <c r="B124" s="249" t="n"/>
      <c r="C124" s="249" t="n"/>
      <c r="D124" s="249" t="n"/>
      <c r="E124" s="249" t="n"/>
      <c r="F124" s="249" t="n"/>
      <c r="G124" s="249" t="n"/>
      <c r="H124" s="249" t="n"/>
      <c r="I124" s="249" t="n"/>
      <c r="J124" s="249" t="n"/>
      <c r="K124" s="249" t="n"/>
      <c r="L124" s="249" t="n"/>
    </row>
    <row r="125" ht="13" customHeight="1" s="250">
      <c r="A125" s="249" t="n"/>
      <c r="B125" s="249" t="n"/>
      <c r="C125" s="249" t="n"/>
      <c r="D125" s="249" t="n"/>
      <c r="E125" s="249" t="n"/>
      <c r="F125" s="249" t="n"/>
      <c r="G125" s="249" t="n"/>
      <c r="H125" s="249" t="n"/>
      <c r="I125" s="249" t="n"/>
      <c r="J125" s="249" t="n"/>
      <c r="K125" s="249" t="n"/>
      <c r="L125" s="249" t="n"/>
    </row>
    <row r="126" ht="13" customHeight="1" s="250">
      <c r="A126" s="249" t="n"/>
      <c r="B126" s="249" t="n"/>
      <c r="C126" s="249" t="n"/>
      <c r="D126" s="249" t="n"/>
      <c r="E126" s="249" t="n"/>
      <c r="F126" s="249" t="n"/>
      <c r="G126" s="249" t="n"/>
      <c r="H126" s="249" t="n"/>
      <c r="I126" s="249" t="n"/>
      <c r="J126" s="249" t="n"/>
      <c r="K126" s="249" t="n"/>
      <c r="L126" s="249" t="n"/>
    </row>
    <row r="127" ht="13" customHeight="1" s="250">
      <c r="A127" s="249" t="n"/>
      <c r="B127" s="249" t="n"/>
      <c r="C127" s="249" t="n"/>
      <c r="D127" s="249" t="n"/>
      <c r="E127" s="249" t="n"/>
      <c r="F127" s="249" t="n"/>
      <c r="G127" s="249" t="n"/>
      <c r="H127" s="249" t="n"/>
      <c r="I127" s="249" t="n"/>
      <c r="J127" s="249" t="n"/>
      <c r="K127" s="249" t="n"/>
      <c r="L127" s="249" t="n"/>
    </row>
    <row r="128" ht="13" customHeight="1" s="250">
      <c r="A128" s="249" t="n"/>
      <c r="B128" s="249" t="n"/>
      <c r="C128" s="249" t="n"/>
      <c r="D128" s="249" t="n"/>
      <c r="E128" s="249" t="n"/>
      <c r="F128" s="249" t="n"/>
      <c r="G128" s="249" t="n"/>
      <c r="H128" s="249" t="n"/>
      <c r="I128" s="249" t="n"/>
      <c r="J128" s="249" t="n"/>
      <c r="K128" s="249" t="n"/>
      <c r="L128" s="249" t="n"/>
    </row>
    <row r="129" ht="13" customHeight="1" s="250">
      <c r="A129" s="249" t="n"/>
      <c r="B129" s="249" t="n"/>
      <c r="C129" s="249" t="n"/>
      <c r="D129" s="249" t="n"/>
      <c r="E129" s="249" t="n"/>
      <c r="F129" s="249" t="n"/>
      <c r="G129" s="249" t="n"/>
      <c r="H129" s="249" t="n"/>
      <c r="I129" s="249" t="n"/>
      <c r="J129" s="249" t="n"/>
      <c r="K129" s="249" t="n"/>
      <c r="L129" s="249" t="n"/>
    </row>
    <row r="130" ht="13" customHeight="1" s="250">
      <c r="A130" s="249" t="n"/>
      <c r="B130" s="249" t="n"/>
      <c r="C130" s="249" t="n"/>
      <c r="D130" s="249" t="n"/>
      <c r="E130" s="249" t="n"/>
      <c r="F130" s="249" t="n"/>
      <c r="G130" s="249" t="n"/>
      <c r="H130" s="249" t="n"/>
      <c r="I130" s="249" t="n"/>
      <c r="J130" s="249" t="n"/>
      <c r="K130" s="249" t="n"/>
      <c r="L130" s="249" t="n"/>
    </row>
    <row r="131" ht="13" customHeight="1" s="250">
      <c r="A131" s="249" t="n"/>
      <c r="B131" s="249" t="n"/>
      <c r="C131" s="249" t="n"/>
      <c r="D131" s="249" t="n"/>
      <c r="E131" s="249" t="n"/>
      <c r="F131" s="249" t="n"/>
      <c r="G131" s="249" t="n"/>
      <c r="H131" s="249" t="n"/>
      <c r="I131" s="249" t="n"/>
      <c r="J131" s="249" t="n"/>
      <c r="K131" s="249" t="n"/>
      <c r="L131" s="249" t="n"/>
    </row>
    <row r="132" ht="13" customHeight="1" s="250">
      <c r="A132" s="249" t="n"/>
      <c r="B132" s="249" t="n"/>
      <c r="C132" s="249" t="n"/>
      <c r="D132" s="249" t="n"/>
      <c r="E132" s="249" t="n"/>
      <c r="F132" s="249" t="n"/>
      <c r="G132" s="249" t="n"/>
      <c r="H132" s="249" t="n"/>
      <c r="I132" s="249" t="n"/>
      <c r="J132" s="249" t="n"/>
      <c r="K132" s="249" t="n"/>
      <c r="L132" s="249" t="n"/>
    </row>
    <row r="133" ht="13" customHeight="1" s="250">
      <c r="A133" s="249" t="n"/>
      <c r="B133" s="249" t="n"/>
      <c r="C133" s="249" t="n"/>
      <c r="D133" s="249" t="n"/>
      <c r="E133" s="249" t="n"/>
      <c r="F133" s="249" t="n"/>
      <c r="G133" s="249" t="n"/>
      <c r="H133" s="249" t="n"/>
      <c r="I133" s="249" t="n"/>
      <c r="J133" s="249" t="n"/>
      <c r="K133" s="249" t="n"/>
      <c r="L133" s="249" t="n"/>
    </row>
    <row r="134" ht="13" customHeight="1" s="250">
      <c r="A134" s="249" t="n"/>
      <c r="B134" s="249" t="n"/>
      <c r="C134" s="249" t="n"/>
      <c r="D134" s="249" t="n"/>
      <c r="E134" s="249" t="n"/>
      <c r="F134" s="249" t="n"/>
      <c r="G134" s="249" t="n"/>
      <c r="H134" s="249" t="n"/>
      <c r="I134" s="249" t="n"/>
      <c r="J134" s="249" t="n"/>
      <c r="K134" s="249" t="n"/>
      <c r="L134" s="249" t="n"/>
    </row>
    <row r="135" ht="13" customHeight="1" s="250">
      <c r="A135" s="249" t="n"/>
      <c r="B135" s="249" t="n"/>
      <c r="C135" s="249" t="n"/>
      <c r="D135" s="249" t="n"/>
      <c r="E135" s="249" t="n"/>
      <c r="F135" s="249" t="n"/>
      <c r="G135" s="249" t="n"/>
      <c r="H135" s="249" t="n"/>
      <c r="I135" s="249" t="n"/>
      <c r="J135" s="249" t="n"/>
      <c r="K135" s="249" t="n"/>
      <c r="L135" s="249" t="n"/>
    </row>
    <row r="136" ht="13" customHeight="1" s="250">
      <c r="A136" s="249" t="n"/>
      <c r="B136" s="249" t="n"/>
      <c r="C136" s="249" t="n"/>
      <c r="D136" s="249" t="n"/>
      <c r="E136" s="249" t="n"/>
      <c r="F136" s="249" t="n"/>
      <c r="G136" s="249" t="n"/>
      <c r="H136" s="249" t="n"/>
      <c r="I136" s="249" t="n"/>
      <c r="J136" s="249" t="n"/>
      <c r="K136" s="249" t="n"/>
      <c r="L136" s="249" t="n"/>
    </row>
    <row r="137" ht="13" customHeight="1" s="250">
      <c r="A137" s="249" t="n"/>
      <c r="B137" s="249" t="n"/>
      <c r="C137" s="249" t="n"/>
      <c r="D137" s="249" t="n"/>
      <c r="E137" s="249" t="n"/>
      <c r="F137" s="249" t="n"/>
      <c r="G137" s="249" t="n"/>
      <c r="H137" s="249" t="n"/>
      <c r="I137" s="249" t="n"/>
      <c r="J137" s="249" t="n"/>
      <c r="K137" s="249" t="n"/>
      <c r="L137" s="249" t="n"/>
    </row>
    <row r="138" ht="13" customHeight="1" s="250">
      <c r="A138" s="249" t="n"/>
      <c r="B138" s="249" t="n"/>
      <c r="C138" s="249" t="n"/>
      <c r="D138" s="249" t="n"/>
      <c r="E138" s="249" t="n"/>
      <c r="F138" s="249" t="n"/>
      <c r="G138" s="249" t="n"/>
      <c r="H138" s="249" t="n"/>
      <c r="I138" s="249" t="n"/>
      <c r="J138" s="249" t="n"/>
      <c r="K138" s="249" t="n"/>
      <c r="L138" s="249" t="n"/>
    </row>
    <row r="139" ht="13" customHeight="1" s="250">
      <c r="A139" s="249" t="n"/>
      <c r="B139" s="249" t="n"/>
      <c r="C139" s="249" t="n"/>
      <c r="D139" s="249" t="n"/>
      <c r="E139" s="249" t="n"/>
      <c r="F139" s="249" t="n"/>
      <c r="G139" s="249" t="n"/>
      <c r="H139" s="249" t="n"/>
      <c r="I139" s="249" t="n"/>
      <c r="J139" s="249" t="n"/>
      <c r="K139" s="249" t="n"/>
      <c r="L139" s="249" t="n"/>
    </row>
    <row r="140" ht="13" customHeight="1" s="250">
      <c r="A140" s="249" t="n"/>
      <c r="B140" s="249" t="n"/>
      <c r="C140" s="249" t="n"/>
      <c r="D140" s="249" t="n"/>
      <c r="E140" s="249" t="n"/>
      <c r="F140" s="249" t="n"/>
      <c r="G140" s="249" t="n"/>
      <c r="H140" s="249" t="n"/>
      <c r="I140" s="249" t="n"/>
      <c r="J140" s="249" t="n"/>
      <c r="K140" s="249" t="n"/>
      <c r="L140" s="249" t="n"/>
    </row>
    <row r="141" ht="13" customHeight="1" s="250">
      <c r="A141" s="249" t="n"/>
      <c r="B141" s="249" t="n"/>
      <c r="C141" s="249" t="n"/>
      <c r="D141" s="249" t="n"/>
      <c r="E141" s="249" t="n"/>
      <c r="F141" s="249" t="n"/>
      <c r="G141" s="249" t="n"/>
      <c r="H141" s="249" t="n"/>
      <c r="I141" s="249" t="n"/>
      <c r="J141" s="249" t="n"/>
      <c r="K141" s="249" t="n"/>
      <c r="L141" s="249" t="n"/>
    </row>
    <row r="142" ht="13" customHeight="1" s="250">
      <c r="A142" s="249" t="n"/>
      <c r="B142" s="249" t="n"/>
      <c r="C142" s="249" t="n"/>
      <c r="D142" s="249" t="n"/>
      <c r="E142" s="249" t="n"/>
      <c r="F142" s="249" t="n"/>
      <c r="G142" s="249" t="n"/>
      <c r="H142" s="249" t="n"/>
      <c r="I142" s="249" t="n"/>
      <c r="J142" s="249" t="n"/>
      <c r="K142" s="249" t="n"/>
      <c r="L142" s="249" t="n"/>
    </row>
    <row r="143" ht="13" customHeight="1" s="250">
      <c r="A143" s="249" t="n"/>
      <c r="B143" s="249" t="n"/>
      <c r="C143" s="249" t="n"/>
      <c r="D143" s="249" t="n"/>
      <c r="E143" s="249" t="n"/>
      <c r="F143" s="249" t="n"/>
      <c r="G143" s="249" t="n"/>
      <c r="H143" s="249" t="n"/>
      <c r="I143" s="249" t="n"/>
      <c r="J143" s="249" t="n"/>
      <c r="K143" s="249" t="n"/>
      <c r="L143" s="249" t="n"/>
    </row>
    <row r="144" ht="13" customHeight="1" s="250">
      <c r="A144" s="249" t="n"/>
      <c r="B144" s="249" t="n"/>
      <c r="C144" s="249" t="n"/>
      <c r="D144" s="249" t="n"/>
      <c r="E144" s="249" t="n"/>
      <c r="F144" s="249" t="n"/>
      <c r="G144" s="249" t="n"/>
      <c r="H144" s="249" t="n"/>
      <c r="I144" s="249" t="n"/>
      <c r="J144" s="249" t="n"/>
      <c r="K144" s="249" t="n"/>
      <c r="L144" s="249" t="n"/>
    </row>
    <row r="145" ht="13" customHeight="1" s="250">
      <c r="A145" s="249" t="n"/>
      <c r="B145" s="249" t="n"/>
      <c r="C145" s="249" t="n"/>
      <c r="D145" s="249" t="n"/>
      <c r="E145" s="249" t="n"/>
      <c r="F145" s="249" t="n"/>
      <c r="G145" s="249" t="n"/>
      <c r="H145" s="249" t="n"/>
      <c r="I145" s="249" t="n"/>
      <c r="J145" s="249" t="n"/>
      <c r="K145" s="249" t="n"/>
      <c r="L145" s="249" t="n"/>
    </row>
    <row r="146" ht="13" customHeight="1" s="250">
      <c r="A146" s="249" t="n"/>
      <c r="B146" s="249" t="n"/>
      <c r="C146" s="249" t="n"/>
      <c r="D146" s="249" t="n"/>
      <c r="E146" s="249" t="n"/>
      <c r="F146" s="249" t="n"/>
      <c r="G146" s="249" t="n"/>
      <c r="H146" s="249" t="n"/>
      <c r="I146" s="249" t="n"/>
      <c r="J146" s="249" t="n"/>
      <c r="K146" s="249" t="n"/>
      <c r="L146" s="249" t="n"/>
    </row>
    <row r="147" ht="13" customHeight="1" s="250">
      <c r="A147" s="249" t="n"/>
      <c r="B147" s="249" t="n"/>
      <c r="C147" s="249" t="n"/>
      <c r="D147" s="249" t="n"/>
      <c r="E147" s="249" t="n"/>
      <c r="F147" s="249" t="n"/>
      <c r="G147" s="249" t="n"/>
      <c r="H147" s="249" t="n"/>
      <c r="I147" s="249" t="n"/>
      <c r="J147" s="249" t="n"/>
      <c r="K147" s="249" t="n"/>
      <c r="L147" s="249" t="n"/>
    </row>
    <row r="148" ht="13" customHeight="1" s="250">
      <c r="A148" s="249" t="n"/>
      <c r="B148" s="249" t="n"/>
      <c r="C148" s="249" t="n"/>
      <c r="D148" s="249" t="n"/>
      <c r="E148" s="249" t="n"/>
      <c r="F148" s="249" t="n"/>
      <c r="G148" s="249" t="n"/>
      <c r="H148" s="249" t="n"/>
      <c r="I148" s="249" t="n"/>
      <c r="J148" s="249" t="n"/>
      <c r="K148" s="249" t="n"/>
      <c r="L148" s="249" t="n"/>
    </row>
    <row r="149" ht="13" customHeight="1" s="250">
      <c r="A149" s="249" t="n"/>
      <c r="B149" s="249" t="n"/>
      <c r="C149" s="249" t="n"/>
      <c r="D149" s="249" t="n"/>
      <c r="E149" s="249" t="n"/>
      <c r="F149" s="249" t="n"/>
      <c r="G149" s="249" t="n"/>
      <c r="H149" s="249" t="n"/>
      <c r="I149" s="249" t="n"/>
      <c r="J149" s="249" t="n"/>
      <c r="K149" s="249" t="n"/>
      <c r="L149" s="249" t="n"/>
    </row>
    <row r="150" ht="13" customHeight="1" s="250">
      <c r="A150" s="249" t="n"/>
      <c r="B150" s="249" t="n"/>
      <c r="C150" s="249" t="n"/>
      <c r="D150" s="249" t="n"/>
      <c r="E150" s="249" t="n"/>
      <c r="F150" s="249" t="n"/>
      <c r="G150" s="249" t="n"/>
      <c r="H150" s="249" t="n"/>
      <c r="I150" s="249" t="n"/>
      <c r="J150" s="249" t="n"/>
      <c r="K150" s="249" t="n"/>
      <c r="L150" s="249" t="n"/>
    </row>
    <row r="151" ht="13" customHeight="1" s="250">
      <c r="A151" s="249" t="n"/>
      <c r="B151" s="249" t="n"/>
      <c r="C151" s="249" t="n"/>
      <c r="D151" s="249" t="n"/>
      <c r="E151" s="249" t="n"/>
      <c r="F151" s="249" t="n"/>
      <c r="G151" s="249" t="n"/>
      <c r="H151" s="249" t="n"/>
      <c r="I151" s="249" t="n"/>
      <c r="J151" s="249" t="n"/>
      <c r="K151" s="249" t="n"/>
      <c r="L151" s="249" t="n"/>
    </row>
    <row r="152" ht="13" customHeight="1" s="250">
      <c r="A152" s="249" t="n"/>
      <c r="B152" s="249" t="n"/>
      <c r="C152" s="249" t="n"/>
      <c r="D152" s="249" t="n"/>
      <c r="E152" s="249" t="n"/>
      <c r="F152" s="249" t="n"/>
      <c r="G152" s="249" t="n"/>
      <c r="H152" s="249" t="n"/>
      <c r="I152" s="249" t="n"/>
      <c r="J152" s="249" t="n"/>
      <c r="K152" s="249" t="n"/>
      <c r="L152" s="249" t="n"/>
    </row>
    <row r="153" ht="13" customHeight="1" s="250">
      <c r="A153" s="249" t="n"/>
      <c r="B153" s="249" t="n"/>
      <c r="C153" s="249" t="n"/>
      <c r="D153" s="249" t="n"/>
      <c r="E153" s="249" t="n"/>
      <c r="F153" s="249" t="n"/>
      <c r="G153" s="249" t="n"/>
      <c r="H153" s="249" t="n"/>
      <c r="I153" s="249" t="n"/>
      <c r="J153" s="249" t="n"/>
      <c r="K153" s="249" t="n"/>
      <c r="L153" s="249" t="n"/>
    </row>
    <row r="154" ht="13" customHeight="1" s="250">
      <c r="A154" s="249" t="n"/>
      <c r="B154" s="249" t="n"/>
      <c r="C154" s="249" t="n"/>
      <c r="D154" s="249" t="n"/>
      <c r="E154" s="249" t="n"/>
      <c r="F154" s="249" t="n"/>
      <c r="G154" s="249" t="n"/>
      <c r="H154" s="249" t="n"/>
      <c r="I154" s="249" t="n"/>
      <c r="J154" s="249" t="n"/>
      <c r="K154" s="249" t="n"/>
      <c r="L154" s="249" t="n"/>
    </row>
    <row r="155" ht="13" customHeight="1" s="250">
      <c r="A155" s="249" t="n"/>
      <c r="B155" s="249" t="n"/>
      <c r="C155" s="249" t="n"/>
      <c r="D155" s="249" t="n"/>
      <c r="E155" s="249" t="n"/>
      <c r="F155" s="249" t="n"/>
      <c r="G155" s="249" t="n"/>
      <c r="H155" s="249" t="n"/>
      <c r="I155" s="249" t="n"/>
      <c r="J155" s="249" t="n"/>
      <c r="K155" s="249" t="n"/>
      <c r="L155" s="249" t="n"/>
    </row>
    <row r="156" ht="13" customHeight="1" s="250">
      <c r="A156" s="249" t="n"/>
      <c r="B156" s="249" t="n"/>
      <c r="C156" s="249" t="n"/>
      <c r="D156" s="249" t="n"/>
      <c r="E156" s="249" t="n"/>
      <c r="F156" s="249" t="n"/>
      <c r="G156" s="249" t="n"/>
      <c r="H156" s="249" t="n"/>
      <c r="I156" s="249" t="n"/>
      <c r="J156" s="249" t="n"/>
      <c r="K156" s="249" t="n"/>
      <c r="L156" s="249" t="n"/>
    </row>
    <row r="157" ht="13" customHeight="1" s="250">
      <c r="A157" s="249" t="n"/>
      <c r="B157" s="249" t="n"/>
      <c r="C157" s="249" t="n"/>
      <c r="D157" s="249" t="n"/>
      <c r="E157" s="249" t="n"/>
      <c r="F157" s="249" t="n"/>
      <c r="G157" s="249" t="n"/>
      <c r="H157" s="249" t="n"/>
      <c r="I157" s="249" t="n"/>
      <c r="J157" s="249" t="n"/>
      <c r="K157" s="249" t="n"/>
      <c r="L157" s="249" t="n"/>
    </row>
    <row r="158" ht="13" customHeight="1" s="250">
      <c r="A158" s="249" t="n"/>
      <c r="B158" s="249" t="n"/>
      <c r="C158" s="249" t="n"/>
      <c r="D158" s="249" t="n"/>
      <c r="E158" s="249" t="n"/>
      <c r="F158" s="249" t="n"/>
      <c r="G158" s="249" t="n"/>
      <c r="H158" s="249" t="n"/>
      <c r="I158" s="249" t="n"/>
      <c r="J158" s="249" t="n"/>
      <c r="K158" s="249" t="n"/>
      <c r="L158" s="249" t="n"/>
    </row>
    <row r="159" ht="13" customHeight="1" s="250">
      <c r="A159" s="249" t="n"/>
      <c r="B159" s="249" t="n"/>
      <c r="C159" s="249" t="n"/>
      <c r="D159" s="249" t="n"/>
      <c r="E159" s="249" t="n"/>
      <c r="F159" s="249" t="n"/>
      <c r="G159" s="249" t="n"/>
      <c r="H159" s="249" t="n"/>
      <c r="I159" s="249" t="n"/>
      <c r="J159" s="249" t="n"/>
      <c r="K159" s="249" t="n"/>
      <c r="L159" s="249" t="n"/>
    </row>
    <row r="160" ht="13" customHeight="1" s="250">
      <c r="A160" s="249" t="n"/>
      <c r="B160" s="249" t="n"/>
      <c r="C160" s="249" t="n"/>
      <c r="D160" s="249" t="n"/>
      <c r="E160" s="249" t="n"/>
      <c r="F160" s="249" t="n"/>
      <c r="G160" s="249" t="n"/>
      <c r="H160" s="249" t="n"/>
      <c r="I160" s="249" t="n"/>
      <c r="J160" s="249" t="n"/>
      <c r="K160" s="249" t="n"/>
      <c r="L160" s="249" t="n"/>
    </row>
    <row r="161" ht="13" customHeight="1" s="250">
      <c r="A161" s="249" t="n"/>
      <c r="B161" s="249" t="n"/>
      <c r="C161" s="249" t="n"/>
      <c r="D161" s="249" t="n"/>
      <c r="E161" s="249" t="n"/>
      <c r="F161" s="249" t="n"/>
      <c r="G161" s="249" t="n"/>
      <c r="H161" s="249" t="n"/>
      <c r="I161" s="249" t="n"/>
      <c r="J161" s="249" t="n"/>
      <c r="K161" s="249" t="n"/>
      <c r="L161" s="249" t="n"/>
    </row>
    <row r="162" ht="13" customHeight="1" s="250">
      <c r="A162" s="249" t="n"/>
      <c r="B162" s="249" t="n"/>
      <c r="C162" s="249" t="n"/>
      <c r="D162" s="249" t="n"/>
      <c r="E162" s="249" t="n"/>
      <c r="F162" s="249" t="n"/>
      <c r="G162" s="249" t="n"/>
      <c r="H162" s="249" t="n"/>
      <c r="I162" s="249" t="n"/>
      <c r="J162" s="249" t="n"/>
      <c r="K162" s="249" t="n"/>
      <c r="L162" s="249" t="n"/>
    </row>
    <row r="163" ht="13" customHeight="1" s="250">
      <c r="A163" s="249" t="n"/>
      <c r="B163" s="249" t="n"/>
      <c r="C163" s="249" t="n"/>
      <c r="D163" s="249" t="n"/>
      <c r="E163" s="249" t="n"/>
      <c r="F163" s="249" t="n"/>
      <c r="G163" s="249" t="n"/>
      <c r="H163" s="249" t="n"/>
      <c r="I163" s="249" t="n"/>
      <c r="J163" s="249" t="n"/>
      <c r="K163" s="249" t="n"/>
      <c r="L163" s="249" t="n"/>
    </row>
    <row r="164" ht="13" customHeight="1" s="250">
      <c r="A164" s="249" t="n"/>
      <c r="B164" s="249" t="n"/>
      <c r="C164" s="249" t="n"/>
      <c r="D164" s="249" t="n"/>
      <c r="E164" s="249" t="n"/>
      <c r="F164" s="249" t="n"/>
      <c r="G164" s="249" t="n"/>
      <c r="H164" s="249" t="n"/>
      <c r="I164" s="249" t="n"/>
      <c r="J164" s="249" t="n"/>
      <c r="K164" s="249" t="n"/>
      <c r="L164" s="249" t="n"/>
    </row>
    <row r="165" ht="13" customHeight="1" s="250">
      <c r="A165" s="249" t="n"/>
      <c r="B165" s="249" t="n"/>
      <c r="C165" s="249" t="n"/>
      <c r="D165" s="249" t="n"/>
      <c r="E165" s="249" t="n"/>
      <c r="F165" s="249" t="n"/>
      <c r="G165" s="249" t="n"/>
      <c r="H165" s="249" t="n"/>
      <c r="I165" s="249" t="n"/>
      <c r="J165" s="249" t="n"/>
      <c r="K165" s="249" t="n"/>
      <c r="L165" s="249" t="n"/>
    </row>
    <row r="166" ht="13" customHeight="1" s="250">
      <c r="A166" s="249" t="n"/>
      <c r="B166" s="249" t="n"/>
      <c r="C166" s="249" t="n"/>
      <c r="D166" s="249" t="n"/>
      <c r="E166" s="249" t="n"/>
      <c r="F166" s="249" t="n"/>
      <c r="G166" s="249" t="n"/>
      <c r="H166" s="249" t="n"/>
      <c r="I166" s="249" t="n"/>
      <c r="J166" s="249" t="n"/>
      <c r="K166" s="249" t="n"/>
      <c r="L166" s="249" t="n"/>
    </row>
    <row r="167" ht="13" customHeight="1" s="250">
      <c r="A167" s="249" t="n"/>
      <c r="B167" s="249" t="n"/>
      <c r="C167" s="249" t="n"/>
      <c r="D167" s="249" t="n"/>
      <c r="E167" s="249" t="n"/>
      <c r="F167" s="249" t="n"/>
      <c r="G167" s="249" t="n"/>
      <c r="H167" s="249" t="n"/>
      <c r="I167" s="249" t="n"/>
      <c r="J167" s="249" t="n"/>
      <c r="K167" s="249" t="n"/>
      <c r="L167" s="249" t="n"/>
    </row>
    <row r="168" ht="13" customHeight="1" s="250">
      <c r="A168" s="249" t="n"/>
      <c r="B168" s="249" t="n"/>
      <c r="C168" s="249" t="n"/>
      <c r="D168" s="249" t="n"/>
      <c r="E168" s="249" t="n"/>
      <c r="F168" s="249" t="n"/>
      <c r="G168" s="249" t="n"/>
      <c r="H168" s="249" t="n"/>
      <c r="I168" s="249" t="n"/>
      <c r="J168" s="249" t="n"/>
      <c r="K168" s="249" t="n"/>
      <c r="L168" s="249" t="n"/>
    </row>
    <row r="169" ht="13" customHeight="1" s="250">
      <c r="A169" s="249" t="n"/>
      <c r="B169" s="249" t="n"/>
      <c r="C169" s="249" t="n"/>
      <c r="D169" s="249" t="n"/>
      <c r="E169" s="249" t="n"/>
      <c r="F169" s="249" t="n"/>
      <c r="G169" s="249" t="n"/>
      <c r="H169" s="249" t="n"/>
      <c r="I169" s="249" t="n"/>
      <c r="J169" s="249" t="n"/>
      <c r="K169" s="249" t="n"/>
      <c r="L169" s="249" t="n"/>
    </row>
    <row r="170" ht="13" customHeight="1" s="250">
      <c r="A170" s="249" t="n"/>
      <c r="B170" s="249" t="n"/>
      <c r="C170" s="249" t="n"/>
      <c r="D170" s="249" t="n"/>
      <c r="E170" s="249" t="n"/>
      <c r="F170" s="249" t="n"/>
      <c r="G170" s="249" t="n"/>
      <c r="H170" s="249" t="n"/>
      <c r="I170" s="249" t="n"/>
      <c r="J170" s="249" t="n"/>
      <c r="K170" s="249" t="n"/>
      <c r="L170" s="249" t="n"/>
    </row>
    <row r="171" ht="13" customHeight="1" s="250">
      <c r="A171" s="249" t="n"/>
      <c r="B171" s="249" t="n"/>
      <c r="C171" s="249" t="n"/>
      <c r="D171" s="249" t="n"/>
      <c r="E171" s="249" t="n"/>
      <c r="F171" s="249" t="n"/>
      <c r="G171" s="249" t="n"/>
      <c r="H171" s="249" t="n"/>
      <c r="I171" s="249" t="n"/>
      <c r="J171" s="249" t="n"/>
      <c r="K171" s="249" t="n"/>
      <c r="L171" s="249" t="n"/>
    </row>
    <row r="172" ht="13" customHeight="1" s="250">
      <c r="A172" s="249" t="n"/>
      <c r="B172" s="249" t="n"/>
      <c r="C172" s="249" t="n"/>
      <c r="D172" s="249" t="n"/>
      <c r="E172" s="249" t="n"/>
      <c r="F172" s="249" t="n"/>
      <c r="G172" s="249" t="n"/>
      <c r="H172" s="249" t="n"/>
      <c r="I172" s="249" t="n"/>
      <c r="J172" s="249" t="n"/>
      <c r="K172" s="249" t="n"/>
      <c r="L172" s="249" t="n"/>
    </row>
    <row r="173" ht="13" customHeight="1" s="250">
      <c r="A173" s="249" t="n"/>
      <c r="B173" s="249" t="n"/>
      <c r="C173" s="249" t="n"/>
      <c r="D173" s="249" t="n"/>
      <c r="E173" s="249" t="n"/>
      <c r="F173" s="249" t="n"/>
      <c r="G173" s="249" t="n"/>
      <c r="H173" s="249" t="n"/>
      <c r="I173" s="249" t="n"/>
      <c r="J173" s="249" t="n"/>
      <c r="K173" s="249" t="n"/>
      <c r="L173" s="249" t="n"/>
    </row>
    <row r="174" ht="13" customHeight="1" s="250">
      <c r="A174" s="249" t="n"/>
      <c r="B174" s="249" t="n"/>
      <c r="C174" s="249" t="n"/>
      <c r="D174" s="249" t="n"/>
      <c r="E174" s="249" t="n"/>
      <c r="F174" s="249" t="n"/>
      <c r="G174" s="249" t="n"/>
      <c r="H174" s="249" t="n"/>
      <c r="I174" s="249" t="n"/>
      <c r="J174" s="249" t="n"/>
      <c r="K174" s="249" t="n"/>
      <c r="L174" s="249" t="n"/>
    </row>
    <row r="175" ht="13" customHeight="1" s="250">
      <c r="A175" s="249" t="n"/>
      <c r="B175" s="249" t="n"/>
      <c r="C175" s="249" t="n"/>
      <c r="D175" s="249" t="n"/>
      <c r="E175" s="249" t="n"/>
      <c r="F175" s="249" t="n"/>
      <c r="G175" s="249" t="n"/>
      <c r="H175" s="249" t="n"/>
      <c r="I175" s="249" t="n"/>
      <c r="J175" s="249" t="n"/>
      <c r="K175" s="249" t="n"/>
      <c r="L175" s="249" t="n"/>
    </row>
    <row r="176" ht="13" customHeight="1" s="250">
      <c r="A176" s="249" t="n"/>
      <c r="B176" s="249" t="n"/>
      <c r="C176" s="249" t="n"/>
      <c r="D176" s="249" t="n"/>
      <c r="E176" s="249" t="n"/>
      <c r="F176" s="249" t="n"/>
      <c r="G176" s="249" t="n"/>
      <c r="H176" s="249" t="n"/>
      <c r="I176" s="249" t="n"/>
      <c r="J176" s="249" t="n"/>
      <c r="K176" s="249" t="n"/>
      <c r="L176" s="249" t="n"/>
    </row>
    <row r="177" ht="13" customHeight="1" s="250">
      <c r="A177" s="249" t="n"/>
      <c r="B177" s="249" t="n"/>
      <c r="C177" s="249" t="n"/>
      <c r="D177" s="249" t="n"/>
      <c r="E177" s="249" t="n"/>
      <c r="F177" s="249" t="n"/>
      <c r="G177" s="249" t="n"/>
      <c r="H177" s="249" t="n"/>
      <c r="I177" s="249" t="n"/>
      <c r="J177" s="249" t="n"/>
      <c r="K177" s="249" t="n"/>
      <c r="L177" s="249" t="n"/>
    </row>
    <row r="178" ht="13" customHeight="1" s="250">
      <c r="A178" s="249" t="n"/>
      <c r="B178" s="249" t="n"/>
      <c r="C178" s="249" t="n"/>
      <c r="D178" s="249" t="n"/>
      <c r="E178" s="249" t="n"/>
      <c r="F178" s="249" t="n"/>
      <c r="G178" s="249" t="n"/>
      <c r="H178" s="249" t="n"/>
      <c r="I178" s="249" t="n"/>
      <c r="J178" s="249" t="n"/>
      <c r="K178" s="249" t="n"/>
      <c r="L178" s="249" t="n"/>
    </row>
    <row r="179" ht="13" customHeight="1" s="250">
      <c r="A179" s="249" t="n"/>
      <c r="B179" s="249" t="n"/>
      <c r="C179" s="249" t="n"/>
      <c r="D179" s="249" t="n"/>
      <c r="E179" s="249" t="n"/>
      <c r="F179" s="249" t="n"/>
      <c r="G179" s="249" t="n"/>
      <c r="H179" s="249" t="n"/>
      <c r="I179" s="249" t="n"/>
      <c r="J179" s="249" t="n"/>
      <c r="K179" s="249" t="n"/>
      <c r="L179" s="249" t="n"/>
    </row>
    <row r="180" ht="13" customHeight="1" s="250">
      <c r="A180" s="249" t="n"/>
      <c r="B180" s="249" t="n"/>
      <c r="C180" s="249" t="n"/>
      <c r="D180" s="249" t="n"/>
      <c r="E180" s="249" t="n"/>
      <c r="F180" s="249" t="n"/>
      <c r="G180" s="249" t="n"/>
      <c r="H180" s="249" t="n"/>
      <c r="I180" s="249" t="n"/>
      <c r="J180" s="249" t="n"/>
      <c r="K180" s="249" t="n"/>
      <c r="L180" s="249" t="n"/>
    </row>
    <row r="181" ht="13" customHeight="1" s="250">
      <c r="A181" s="249" t="n"/>
      <c r="B181" s="249" t="n"/>
      <c r="C181" s="249" t="n"/>
      <c r="D181" s="249" t="n"/>
      <c r="E181" s="249" t="n"/>
      <c r="F181" s="249" t="n"/>
      <c r="G181" s="249" t="n"/>
      <c r="H181" s="249" t="n"/>
      <c r="I181" s="249" t="n"/>
      <c r="J181" s="249" t="n"/>
      <c r="K181" s="249" t="n"/>
      <c r="L181" s="249" t="n"/>
    </row>
    <row r="182" ht="13" customHeight="1" s="250">
      <c r="A182" s="249" t="n"/>
      <c r="B182" s="249" t="n"/>
      <c r="C182" s="249" t="n"/>
      <c r="D182" s="249" t="n"/>
      <c r="E182" s="249" t="n"/>
      <c r="F182" s="249" t="n"/>
      <c r="G182" s="249" t="n"/>
      <c r="H182" s="249" t="n"/>
      <c r="I182" s="249" t="n"/>
      <c r="J182" s="249" t="n"/>
      <c r="K182" s="249" t="n"/>
      <c r="L182" s="249" t="n"/>
    </row>
    <row r="183" ht="13" customHeight="1" s="250">
      <c r="A183" s="249" t="n"/>
      <c r="B183" s="249" t="n"/>
      <c r="C183" s="249" t="n"/>
      <c r="D183" s="249" t="n"/>
      <c r="E183" s="249" t="n"/>
      <c r="F183" s="249" t="n"/>
      <c r="G183" s="249" t="n"/>
      <c r="H183" s="249" t="n"/>
      <c r="I183" s="249" t="n"/>
      <c r="J183" s="249" t="n"/>
      <c r="K183" s="249" t="n"/>
      <c r="L183" s="249" t="n"/>
    </row>
    <row r="184" ht="13" customHeight="1" s="250">
      <c r="A184" s="249" t="n"/>
      <c r="B184" s="249" t="n"/>
      <c r="C184" s="249" t="n"/>
      <c r="D184" s="249" t="n"/>
      <c r="E184" s="249" t="n"/>
      <c r="F184" s="249" t="n"/>
      <c r="G184" s="249" t="n"/>
      <c r="H184" s="249" t="n"/>
      <c r="I184" s="249" t="n"/>
      <c r="J184" s="249" t="n"/>
      <c r="K184" s="249" t="n"/>
      <c r="L184" s="249" t="n"/>
    </row>
    <row r="185" ht="13" customHeight="1" s="250">
      <c r="A185" s="249" t="n"/>
      <c r="B185" s="249" t="n"/>
      <c r="C185" s="249" t="n"/>
      <c r="D185" s="249" t="n"/>
      <c r="E185" s="249" t="n"/>
      <c r="F185" s="249" t="n"/>
      <c r="G185" s="249" t="n"/>
      <c r="H185" s="249" t="n"/>
      <c r="I185" s="249" t="n"/>
      <c r="J185" s="249" t="n"/>
      <c r="K185" s="249" t="n"/>
      <c r="L185" s="249" t="n"/>
    </row>
    <row r="186" ht="13" customHeight="1" s="250">
      <c r="A186" s="249" t="n"/>
      <c r="B186" s="249" t="n"/>
      <c r="C186" s="249" t="n"/>
      <c r="D186" s="249" t="n"/>
      <c r="E186" s="249" t="n"/>
      <c r="F186" s="249" t="n"/>
      <c r="G186" s="249" t="n"/>
      <c r="H186" s="249" t="n"/>
      <c r="I186" s="249" t="n"/>
      <c r="J186" s="249" t="n"/>
      <c r="K186" s="249" t="n"/>
      <c r="L186" s="249" t="n"/>
    </row>
    <row r="187" ht="13" customHeight="1" s="250">
      <c r="A187" s="249" t="n"/>
      <c r="B187" s="249" t="n"/>
      <c r="C187" s="249" t="n"/>
      <c r="D187" s="249" t="n"/>
      <c r="E187" s="249" t="n"/>
      <c r="F187" s="249" t="n"/>
      <c r="G187" s="249" t="n"/>
      <c r="H187" s="249" t="n"/>
      <c r="I187" s="249" t="n"/>
      <c r="J187" s="249" t="n"/>
      <c r="K187" s="249" t="n"/>
      <c r="L187" s="249" t="n"/>
    </row>
    <row r="188" ht="13" customHeight="1" s="250">
      <c r="A188" s="249" t="n"/>
      <c r="B188" s="249" t="n"/>
      <c r="C188" s="249" t="n"/>
      <c r="D188" s="249" t="n"/>
      <c r="E188" s="249" t="n"/>
      <c r="F188" s="249" t="n"/>
      <c r="G188" s="249" t="n"/>
      <c r="H188" s="249" t="n"/>
      <c r="I188" s="249" t="n"/>
      <c r="J188" s="249" t="n"/>
      <c r="K188" s="249" t="n"/>
      <c r="L188" s="249" t="n"/>
    </row>
    <row r="189" ht="13" customHeight="1" s="250">
      <c r="A189" s="249" t="n"/>
      <c r="B189" s="249" t="n"/>
      <c r="C189" s="249" t="n"/>
      <c r="D189" s="249" t="n"/>
      <c r="E189" s="249" t="n"/>
      <c r="F189" s="249" t="n"/>
      <c r="G189" s="249" t="n"/>
      <c r="H189" s="249" t="n"/>
      <c r="I189" s="249" t="n"/>
      <c r="J189" s="249" t="n"/>
      <c r="K189" s="249" t="n"/>
      <c r="L189" s="249" t="n"/>
    </row>
    <row r="190" ht="13" customHeight="1" s="250">
      <c r="A190" s="249" t="n"/>
      <c r="B190" s="249" t="n"/>
      <c r="C190" s="249" t="n"/>
      <c r="D190" s="249" t="n"/>
      <c r="E190" s="249" t="n"/>
      <c r="F190" s="249" t="n"/>
      <c r="G190" s="249" t="n"/>
      <c r="H190" s="249" t="n"/>
      <c r="I190" s="249" t="n"/>
      <c r="J190" s="249" t="n"/>
      <c r="K190" s="249" t="n"/>
      <c r="L190" s="249" t="n"/>
    </row>
    <row r="191" ht="13" customHeight="1" s="250">
      <c r="A191" s="249" t="n"/>
      <c r="B191" s="249" t="n"/>
      <c r="C191" s="249" t="n"/>
      <c r="D191" s="249" t="n"/>
      <c r="E191" s="249" t="n"/>
      <c r="F191" s="249" t="n"/>
      <c r="G191" s="249" t="n"/>
      <c r="H191" s="249" t="n"/>
      <c r="I191" s="249" t="n"/>
      <c r="J191" s="249" t="n"/>
      <c r="K191" s="249" t="n"/>
      <c r="L191" s="249" t="n"/>
    </row>
    <row r="192" ht="13" customHeight="1" s="250">
      <c r="A192" s="249" t="n"/>
      <c r="B192" s="249" t="n"/>
      <c r="C192" s="249" t="n"/>
      <c r="D192" s="249" t="n"/>
      <c r="E192" s="249" t="n"/>
      <c r="F192" s="249" t="n"/>
      <c r="G192" s="249" t="n"/>
      <c r="H192" s="249" t="n"/>
      <c r="I192" s="249" t="n"/>
      <c r="J192" s="249" t="n"/>
      <c r="K192" s="249" t="n"/>
      <c r="L192" s="249" t="n"/>
    </row>
    <row r="193" ht="13" customHeight="1" s="250">
      <c r="A193" s="249" t="n"/>
      <c r="B193" s="249" t="n"/>
      <c r="C193" s="249" t="n"/>
      <c r="D193" s="249" t="n"/>
      <c r="E193" s="249" t="n"/>
      <c r="F193" s="249" t="n"/>
      <c r="G193" s="249" t="n"/>
      <c r="H193" s="249" t="n"/>
      <c r="I193" s="249" t="n"/>
      <c r="J193" s="249" t="n"/>
      <c r="K193" s="249" t="n"/>
      <c r="L193" s="249" t="n"/>
    </row>
    <row r="194" ht="13" customHeight="1" s="250">
      <c r="A194" s="249" t="n"/>
      <c r="B194" s="249" t="n"/>
      <c r="C194" s="249" t="n"/>
      <c r="D194" s="249" t="n"/>
      <c r="E194" s="249" t="n"/>
      <c r="F194" s="249" t="n"/>
      <c r="G194" s="249" t="n"/>
      <c r="H194" s="249" t="n"/>
      <c r="I194" s="249" t="n"/>
      <c r="J194" s="249" t="n"/>
      <c r="K194" s="249" t="n"/>
      <c r="L194" s="249" t="n"/>
    </row>
    <row r="195" ht="13" customHeight="1" s="250">
      <c r="A195" s="249" t="n"/>
      <c r="B195" s="249" t="n"/>
      <c r="C195" s="249" t="n"/>
      <c r="D195" s="249" t="n"/>
      <c r="E195" s="249" t="n"/>
      <c r="F195" s="249" t="n"/>
      <c r="G195" s="249" t="n"/>
      <c r="H195" s="249" t="n"/>
      <c r="I195" s="249" t="n"/>
      <c r="J195" s="249" t="n"/>
      <c r="K195" s="249" t="n"/>
      <c r="L195" s="249" t="n"/>
    </row>
    <row r="196" ht="13" customHeight="1" s="250">
      <c r="A196" s="249" t="n"/>
      <c r="B196" s="249" t="n"/>
      <c r="C196" s="249" t="n"/>
      <c r="D196" s="249" t="n"/>
      <c r="E196" s="249" t="n"/>
      <c r="F196" s="249" t="n"/>
      <c r="G196" s="249" t="n"/>
      <c r="H196" s="249" t="n"/>
      <c r="I196" s="249" t="n"/>
      <c r="J196" s="249" t="n"/>
      <c r="K196" s="249" t="n"/>
      <c r="L196" s="249" t="n"/>
    </row>
    <row r="197" ht="13" customHeight="1" s="250">
      <c r="A197" s="249" t="n"/>
      <c r="B197" s="249" t="n"/>
      <c r="C197" s="249" t="n"/>
      <c r="D197" s="249" t="n"/>
      <c r="E197" s="249" t="n"/>
      <c r="F197" s="249" t="n"/>
      <c r="G197" s="249" t="n"/>
      <c r="H197" s="249" t="n"/>
      <c r="I197" s="249" t="n"/>
      <c r="J197" s="249" t="n"/>
      <c r="K197" s="249" t="n"/>
      <c r="L197" s="249" t="n"/>
    </row>
    <row r="198" ht="13" customHeight="1" s="250">
      <c r="A198" s="249" t="n"/>
      <c r="B198" s="249" t="n"/>
      <c r="C198" s="249" t="n"/>
      <c r="D198" s="249" t="n"/>
      <c r="E198" s="249" t="n"/>
      <c r="F198" s="249" t="n"/>
      <c r="G198" s="249" t="n"/>
      <c r="H198" s="249" t="n"/>
      <c r="I198" s="249" t="n"/>
      <c r="J198" s="249" t="n"/>
      <c r="K198" s="249" t="n"/>
      <c r="L198" s="249" t="n"/>
    </row>
    <row r="199" ht="13" customHeight="1" s="250">
      <c r="A199" s="249" t="n"/>
      <c r="B199" s="249" t="n"/>
      <c r="C199" s="249" t="n"/>
      <c r="D199" s="249" t="n"/>
      <c r="E199" s="249" t="n"/>
      <c r="F199" s="249" t="n"/>
      <c r="G199" s="249" t="n"/>
      <c r="H199" s="249" t="n"/>
      <c r="I199" s="249" t="n"/>
      <c r="J199" s="249" t="n"/>
      <c r="K199" s="249" t="n"/>
      <c r="L199" s="249" t="n"/>
    </row>
    <row r="200" ht="13" customHeight="1" s="250">
      <c r="A200" s="249" t="n"/>
      <c r="B200" s="249" t="n"/>
      <c r="C200" s="249" t="n"/>
      <c r="D200" s="249" t="n"/>
      <c r="E200" s="249" t="n"/>
      <c r="F200" s="249" t="n"/>
      <c r="G200" s="249" t="n"/>
      <c r="H200" s="249" t="n"/>
      <c r="I200" s="249" t="n"/>
      <c r="J200" s="249" t="n"/>
      <c r="K200" s="249" t="n"/>
      <c r="L200" s="249" t="n"/>
    </row>
    <row r="201" ht="13" customHeight="1" s="250">
      <c r="A201" s="249" t="n"/>
      <c r="B201" s="249" t="n"/>
      <c r="C201" s="249" t="n"/>
      <c r="D201" s="249" t="n"/>
      <c r="E201" s="249" t="n"/>
      <c r="F201" s="249" t="n"/>
      <c r="G201" s="249" t="n"/>
      <c r="H201" s="249" t="n"/>
      <c r="I201" s="249" t="n"/>
      <c r="J201" s="249" t="n"/>
      <c r="K201" s="249" t="n"/>
      <c r="L201" s="249" t="n"/>
    </row>
    <row r="202" ht="13" customHeight="1" s="250">
      <c r="A202" s="249" t="n"/>
      <c r="B202" s="249" t="n"/>
      <c r="C202" s="249" t="n"/>
      <c r="D202" s="249" t="n"/>
      <c r="E202" s="249" t="n"/>
      <c r="F202" s="249" t="n"/>
      <c r="G202" s="249" t="n"/>
      <c r="H202" s="249" t="n"/>
      <c r="I202" s="249" t="n"/>
      <c r="J202" s="249" t="n"/>
      <c r="K202" s="249" t="n"/>
      <c r="L202" s="249" t="n"/>
    </row>
    <row r="203" ht="13" customHeight="1" s="250">
      <c r="A203" s="249" t="n"/>
      <c r="B203" s="249" t="n"/>
      <c r="C203" s="249" t="n"/>
      <c r="D203" s="249" t="n"/>
      <c r="E203" s="249" t="n"/>
      <c r="F203" s="249" t="n"/>
      <c r="G203" s="249" t="n"/>
      <c r="H203" s="249" t="n"/>
      <c r="I203" s="249" t="n"/>
      <c r="J203" s="249" t="n"/>
      <c r="K203" s="249" t="n"/>
      <c r="L203" s="249" t="n"/>
    </row>
    <row r="204" ht="13" customHeight="1" s="250">
      <c r="A204" s="249" t="n"/>
      <c r="B204" s="249" t="n"/>
      <c r="C204" s="249" t="n"/>
      <c r="D204" s="249" t="n"/>
      <c r="E204" s="249" t="n"/>
      <c r="F204" s="249" t="n"/>
      <c r="G204" s="249" t="n"/>
      <c r="H204" s="249" t="n"/>
      <c r="I204" s="249" t="n"/>
      <c r="J204" s="249" t="n"/>
      <c r="K204" s="249" t="n"/>
      <c r="L204" s="249" t="n"/>
    </row>
    <row r="205" ht="13" customHeight="1" s="250">
      <c r="A205" s="249" t="n"/>
      <c r="B205" s="249" t="n"/>
      <c r="C205" s="249" t="n"/>
      <c r="D205" s="249" t="n"/>
      <c r="E205" s="249" t="n"/>
      <c r="F205" s="249" t="n"/>
      <c r="G205" s="249" t="n"/>
      <c r="H205" s="249" t="n"/>
      <c r="I205" s="249" t="n"/>
      <c r="J205" s="249" t="n"/>
      <c r="K205" s="249" t="n"/>
      <c r="L205" s="249" t="n"/>
    </row>
    <row r="206" ht="13" customHeight="1" s="250">
      <c r="A206" s="249" t="n"/>
      <c r="B206" s="249" t="n"/>
      <c r="C206" s="249" t="n"/>
      <c r="D206" s="249" t="n"/>
      <c r="E206" s="249" t="n"/>
      <c r="F206" s="249" t="n"/>
      <c r="G206" s="249" t="n"/>
      <c r="H206" s="249" t="n"/>
      <c r="I206" s="249" t="n"/>
      <c r="J206" s="249" t="n"/>
      <c r="K206" s="249" t="n"/>
      <c r="L206" s="249" t="n"/>
    </row>
    <row r="207" ht="13" customHeight="1" s="250">
      <c r="A207" s="249" t="n"/>
      <c r="B207" s="249" t="n"/>
      <c r="C207" s="249" t="n"/>
      <c r="D207" s="249" t="n"/>
      <c r="E207" s="249" t="n"/>
      <c r="F207" s="249" t="n"/>
      <c r="G207" s="249" t="n"/>
      <c r="H207" s="249" t="n"/>
      <c r="I207" s="249" t="n"/>
      <c r="J207" s="249" t="n"/>
      <c r="K207" s="249" t="n"/>
      <c r="L207" s="249" t="n"/>
    </row>
    <row r="208" ht="13" customHeight="1" s="250">
      <c r="A208" s="249" t="n"/>
      <c r="B208" s="249" t="n"/>
      <c r="C208" s="249" t="n"/>
      <c r="D208" s="249" t="n"/>
      <c r="E208" s="249" t="n"/>
      <c r="F208" s="249" t="n"/>
      <c r="G208" s="249" t="n"/>
      <c r="H208" s="249" t="n"/>
      <c r="I208" s="249" t="n"/>
      <c r="J208" s="249" t="n"/>
      <c r="K208" s="249" t="n"/>
      <c r="L208" s="249" t="n"/>
    </row>
    <row r="209" ht="13" customHeight="1" s="250">
      <c r="A209" s="249" t="n"/>
      <c r="B209" s="249" t="n"/>
      <c r="C209" s="249" t="n"/>
      <c r="D209" s="249" t="n"/>
      <c r="E209" s="249" t="n"/>
      <c r="F209" s="249" t="n"/>
      <c r="G209" s="249" t="n"/>
      <c r="H209" s="249" t="n"/>
      <c r="I209" s="249" t="n"/>
      <c r="J209" s="249" t="n"/>
      <c r="K209" s="249" t="n"/>
      <c r="L209" s="249" t="n"/>
    </row>
    <row r="210" ht="13" customHeight="1" s="250">
      <c r="A210" s="249" t="n"/>
      <c r="B210" s="249" t="n"/>
      <c r="C210" s="249" t="n"/>
      <c r="D210" s="249" t="n"/>
      <c r="E210" s="249" t="n"/>
      <c r="F210" s="249" t="n"/>
      <c r="G210" s="249" t="n"/>
      <c r="H210" s="249" t="n"/>
      <c r="I210" s="249" t="n"/>
      <c r="J210" s="249" t="n"/>
      <c r="K210" s="249" t="n"/>
      <c r="L210" s="249" t="n"/>
    </row>
    <row r="211" ht="13" customHeight="1" s="250">
      <c r="A211" s="249" t="n"/>
      <c r="B211" s="249" t="n"/>
      <c r="C211" s="249" t="n"/>
      <c r="D211" s="249" t="n"/>
      <c r="E211" s="249" t="n"/>
      <c r="F211" s="249" t="n"/>
      <c r="G211" s="249" t="n"/>
      <c r="H211" s="249" t="n"/>
      <c r="I211" s="249" t="n"/>
      <c r="J211" s="249" t="n"/>
      <c r="K211" s="249" t="n"/>
      <c r="L211" s="249" t="n"/>
    </row>
    <row r="212" ht="13" customHeight="1" s="250">
      <c r="A212" s="249" t="n"/>
      <c r="B212" s="249" t="n"/>
      <c r="C212" s="249" t="n"/>
      <c r="D212" s="249" t="n"/>
      <c r="E212" s="249" t="n"/>
      <c r="F212" s="249" t="n"/>
      <c r="G212" s="249" t="n"/>
      <c r="H212" s="249" t="n"/>
      <c r="I212" s="249" t="n"/>
      <c r="J212" s="249" t="n"/>
      <c r="K212" s="249" t="n"/>
      <c r="L212" s="249" t="n"/>
    </row>
    <row r="213" ht="13" customHeight="1" s="250">
      <c r="A213" s="249" t="n"/>
      <c r="B213" s="249" t="n"/>
      <c r="C213" s="249" t="n"/>
      <c r="D213" s="249" t="n"/>
      <c r="E213" s="249" t="n"/>
      <c r="F213" s="249" t="n"/>
      <c r="G213" s="249" t="n"/>
      <c r="H213" s="249" t="n"/>
      <c r="I213" s="249" t="n"/>
      <c r="J213" s="249" t="n"/>
      <c r="K213" s="249" t="n"/>
      <c r="L213" s="249" t="n"/>
    </row>
    <row r="214" ht="13" customHeight="1" s="250">
      <c r="A214" s="249" t="n"/>
      <c r="B214" s="249" t="n"/>
      <c r="C214" s="249" t="n"/>
      <c r="D214" s="249" t="n"/>
      <c r="E214" s="249" t="n"/>
      <c r="F214" s="249" t="n"/>
      <c r="G214" s="249" t="n"/>
      <c r="H214" s="249" t="n"/>
      <c r="I214" s="249" t="n"/>
      <c r="J214" s="249" t="n"/>
      <c r="K214" s="249" t="n"/>
      <c r="L214" s="249" t="n"/>
    </row>
    <row r="215" ht="13" customHeight="1" s="250">
      <c r="A215" s="249" t="n"/>
      <c r="B215" s="249" t="n"/>
      <c r="C215" s="249" t="n"/>
      <c r="D215" s="249" t="n"/>
      <c r="E215" s="249" t="n"/>
      <c r="F215" s="249" t="n"/>
      <c r="G215" s="249" t="n"/>
      <c r="H215" s="249" t="n"/>
      <c r="I215" s="249" t="n"/>
      <c r="J215" s="249" t="n"/>
      <c r="K215" s="249" t="n"/>
      <c r="L215" s="249" t="n"/>
    </row>
    <row r="216" ht="13" customHeight="1" s="250">
      <c r="A216" s="249" t="n"/>
      <c r="B216" s="249" t="n"/>
      <c r="C216" s="249" t="n"/>
      <c r="D216" s="249" t="n"/>
      <c r="E216" s="249" t="n"/>
      <c r="F216" s="249" t="n"/>
      <c r="G216" s="249" t="n"/>
      <c r="H216" s="249" t="n"/>
      <c r="I216" s="249" t="n"/>
      <c r="J216" s="249" t="n"/>
      <c r="K216" s="249" t="n"/>
      <c r="L216" s="249" t="n"/>
    </row>
    <row r="217" ht="13" customHeight="1" s="250">
      <c r="A217" s="249" t="n"/>
      <c r="B217" s="249" t="n"/>
      <c r="C217" s="249" t="n"/>
      <c r="D217" s="249" t="n"/>
      <c r="E217" s="249" t="n"/>
      <c r="F217" s="249" t="n"/>
      <c r="G217" s="249" t="n"/>
      <c r="H217" s="249" t="n"/>
      <c r="I217" s="249" t="n"/>
      <c r="J217" s="249" t="n"/>
      <c r="K217" s="249" t="n"/>
      <c r="L217" s="249" t="n"/>
    </row>
    <row r="218" ht="13" customHeight="1" s="250">
      <c r="A218" s="249" t="n"/>
      <c r="B218" s="249" t="n"/>
      <c r="C218" s="249" t="n"/>
      <c r="D218" s="249" t="n"/>
      <c r="E218" s="249" t="n"/>
      <c r="F218" s="249" t="n"/>
      <c r="G218" s="249" t="n"/>
      <c r="H218" s="249" t="n"/>
      <c r="I218" s="249" t="n"/>
      <c r="J218" s="249" t="n"/>
      <c r="K218" s="249" t="n"/>
      <c r="L218" s="249" t="n"/>
    </row>
    <row r="219" ht="13" customHeight="1" s="250">
      <c r="A219" s="249" t="n"/>
      <c r="B219" s="249" t="n"/>
      <c r="C219" s="249" t="n"/>
      <c r="D219" s="249" t="n"/>
      <c r="E219" s="249" t="n"/>
      <c r="F219" s="249" t="n"/>
      <c r="G219" s="249" t="n"/>
      <c r="H219" s="249" t="n"/>
      <c r="I219" s="249" t="n"/>
      <c r="J219" s="249" t="n"/>
      <c r="K219" s="249" t="n"/>
      <c r="L219" s="249" t="n"/>
    </row>
    <row r="220" ht="13" customHeight="1" s="250">
      <c r="A220" s="249" t="n"/>
      <c r="B220" s="249" t="n"/>
      <c r="C220" s="249" t="n"/>
      <c r="D220" s="249" t="n"/>
      <c r="E220" s="249" t="n"/>
      <c r="F220" s="249" t="n"/>
      <c r="G220" s="249" t="n"/>
      <c r="H220" s="249" t="n"/>
      <c r="I220" s="249" t="n"/>
      <c r="J220" s="249" t="n"/>
      <c r="K220" s="249" t="n"/>
      <c r="L220" s="249" t="n"/>
    </row>
    <row r="221" ht="13" customHeight="1" s="250">
      <c r="A221" s="249" t="n"/>
      <c r="B221" s="249" t="n"/>
      <c r="C221" s="249" t="n"/>
      <c r="D221" s="249" t="n"/>
      <c r="E221" s="249" t="n"/>
      <c r="F221" s="249" t="n"/>
      <c r="G221" s="249" t="n"/>
      <c r="H221" s="249" t="n"/>
      <c r="I221" s="249" t="n"/>
      <c r="J221" s="249" t="n"/>
      <c r="K221" s="249" t="n"/>
      <c r="L221" s="249" t="n"/>
    </row>
    <row r="222" ht="13" customHeight="1" s="250">
      <c r="A222" s="249" t="n"/>
      <c r="B222" s="249" t="n"/>
      <c r="C222" s="249" t="n"/>
      <c r="D222" s="249" t="n"/>
      <c r="E222" s="249" t="n"/>
      <c r="F222" s="249" t="n"/>
      <c r="G222" s="249" t="n"/>
      <c r="H222" s="249" t="n"/>
      <c r="I222" s="249" t="n"/>
      <c r="J222" s="249" t="n"/>
      <c r="K222" s="249" t="n"/>
      <c r="L222" s="249" t="n"/>
    </row>
    <row r="223" ht="13" customHeight="1" s="250">
      <c r="A223" s="249" t="n"/>
      <c r="B223" s="249" t="n"/>
      <c r="C223" s="249" t="n"/>
      <c r="D223" s="249" t="n"/>
      <c r="E223" s="249" t="n"/>
      <c r="F223" s="249" t="n"/>
      <c r="G223" s="249" t="n"/>
      <c r="H223" s="249" t="n"/>
      <c r="I223" s="249" t="n"/>
      <c r="J223" s="249" t="n"/>
      <c r="K223" s="249" t="n"/>
      <c r="L223" s="249" t="n"/>
    </row>
    <row r="224" ht="13" customHeight="1" s="250">
      <c r="A224" s="249" t="n"/>
      <c r="B224" s="249" t="n"/>
      <c r="C224" s="249" t="n"/>
      <c r="D224" s="249" t="n"/>
      <c r="E224" s="249" t="n"/>
      <c r="F224" s="249" t="n"/>
      <c r="G224" s="249" t="n"/>
      <c r="H224" s="249" t="n"/>
      <c r="I224" s="249" t="n"/>
      <c r="J224" s="249" t="n"/>
      <c r="K224" s="249" t="n"/>
      <c r="L224" s="249" t="n"/>
    </row>
    <row r="225" ht="13" customHeight="1" s="250">
      <c r="A225" s="249" t="n"/>
      <c r="B225" s="249" t="n"/>
      <c r="C225" s="249" t="n"/>
      <c r="D225" s="249" t="n"/>
      <c r="E225" s="249" t="n"/>
      <c r="F225" s="249" t="n"/>
      <c r="G225" s="249" t="n"/>
      <c r="H225" s="249" t="n"/>
      <c r="I225" s="249" t="n"/>
      <c r="J225" s="249" t="n"/>
      <c r="K225" s="249" t="n"/>
      <c r="L225" s="249" t="n"/>
    </row>
    <row r="226" ht="13" customHeight="1" s="250">
      <c r="A226" s="249" t="n"/>
      <c r="B226" s="249" t="n"/>
      <c r="C226" s="249" t="n"/>
      <c r="D226" s="249" t="n"/>
      <c r="E226" s="249" t="n"/>
      <c r="F226" s="249" t="n"/>
      <c r="G226" s="249" t="n"/>
      <c r="H226" s="249" t="n"/>
      <c r="I226" s="249" t="n"/>
      <c r="J226" s="249" t="n"/>
      <c r="K226" s="249" t="n"/>
      <c r="L226" s="249" t="n"/>
    </row>
    <row r="227" ht="13" customHeight="1" s="250">
      <c r="A227" s="249" t="n"/>
      <c r="B227" s="249" t="n"/>
      <c r="C227" s="249" t="n"/>
      <c r="D227" s="249" t="n"/>
      <c r="E227" s="249" t="n"/>
      <c r="F227" s="249" t="n"/>
      <c r="G227" s="249" t="n"/>
      <c r="H227" s="249" t="n"/>
      <c r="I227" s="249" t="n"/>
      <c r="J227" s="249" t="n"/>
      <c r="K227" s="249" t="n"/>
      <c r="L227" s="249" t="n"/>
    </row>
    <row r="228" ht="13" customHeight="1" s="250">
      <c r="A228" s="249" t="n"/>
      <c r="B228" s="249" t="n"/>
      <c r="C228" s="249" t="n"/>
      <c r="D228" s="249" t="n"/>
      <c r="E228" s="249" t="n"/>
      <c r="F228" s="249" t="n"/>
      <c r="G228" s="249" t="n"/>
      <c r="H228" s="249" t="n"/>
      <c r="I228" s="249" t="n"/>
      <c r="J228" s="249" t="n"/>
      <c r="K228" s="249" t="n"/>
      <c r="L228" s="249" t="n"/>
    </row>
    <row r="229" ht="13" customHeight="1" s="250">
      <c r="A229" s="249" t="n"/>
      <c r="B229" s="249" t="n"/>
      <c r="C229" s="249" t="n"/>
      <c r="D229" s="249" t="n"/>
      <c r="E229" s="249" t="n"/>
      <c r="F229" s="249" t="n"/>
      <c r="G229" s="249" t="n"/>
      <c r="H229" s="249" t="n"/>
      <c r="I229" s="249" t="n"/>
      <c r="J229" s="249" t="n"/>
      <c r="K229" s="249" t="n"/>
      <c r="L229" s="249" t="n"/>
    </row>
    <row r="230" ht="13" customHeight="1" s="250">
      <c r="A230" s="249" t="n"/>
      <c r="B230" s="249" t="n"/>
      <c r="C230" s="249" t="n"/>
      <c r="D230" s="249" t="n"/>
      <c r="E230" s="249" t="n"/>
      <c r="F230" s="249" t="n"/>
      <c r="G230" s="249" t="n"/>
      <c r="H230" s="249" t="n"/>
      <c r="I230" s="249" t="n"/>
      <c r="J230" s="249" t="n"/>
      <c r="K230" s="249" t="n"/>
      <c r="L230" s="249" t="n"/>
    </row>
    <row r="231" ht="13" customHeight="1" s="250">
      <c r="A231" s="249" t="n"/>
      <c r="B231" s="249" t="n"/>
      <c r="C231" s="249" t="n"/>
      <c r="D231" s="249" t="n"/>
      <c r="E231" s="249" t="n"/>
      <c r="F231" s="249" t="n"/>
      <c r="G231" s="249" t="n"/>
      <c r="H231" s="249" t="n"/>
      <c r="I231" s="249" t="n"/>
      <c r="J231" s="249" t="n"/>
      <c r="K231" s="249" t="n"/>
      <c r="L231" s="249" t="n"/>
    </row>
    <row r="232" ht="13" customHeight="1" s="250">
      <c r="A232" s="249" t="n"/>
      <c r="B232" s="249" t="n"/>
      <c r="C232" s="249" t="n"/>
      <c r="D232" s="249" t="n"/>
      <c r="E232" s="249" t="n"/>
      <c r="F232" s="249" t="n"/>
      <c r="G232" s="249" t="n"/>
      <c r="H232" s="249" t="n"/>
      <c r="I232" s="249" t="n"/>
      <c r="J232" s="249" t="n"/>
      <c r="K232" s="249" t="n"/>
      <c r="L232" s="249" t="n"/>
    </row>
    <row r="233" ht="13" customHeight="1" s="250">
      <c r="A233" s="249" t="n"/>
      <c r="B233" s="249" t="n"/>
      <c r="C233" s="249" t="n"/>
      <c r="D233" s="249" t="n"/>
      <c r="E233" s="249" t="n"/>
      <c r="F233" s="249" t="n"/>
      <c r="G233" s="249" t="n"/>
      <c r="H233" s="249" t="n"/>
      <c r="I233" s="249" t="n"/>
      <c r="J233" s="249" t="n"/>
      <c r="K233" s="249" t="n"/>
      <c r="L233" s="249" t="n"/>
    </row>
    <row r="234" ht="13" customHeight="1" s="250">
      <c r="A234" s="249" t="n"/>
      <c r="B234" s="249" t="n"/>
      <c r="C234" s="249" t="n"/>
      <c r="D234" s="249" t="n"/>
      <c r="E234" s="249" t="n"/>
      <c r="F234" s="249" t="n"/>
      <c r="G234" s="249" t="n"/>
      <c r="H234" s="249" t="n"/>
      <c r="I234" s="249" t="n"/>
      <c r="J234" s="249" t="n"/>
      <c r="K234" s="249" t="n"/>
      <c r="L234" s="249" t="n"/>
    </row>
    <row r="235" ht="13" customHeight="1" s="250">
      <c r="A235" s="249" t="n"/>
      <c r="B235" s="249" t="n"/>
      <c r="C235" s="249" t="n"/>
      <c r="D235" s="249" t="n"/>
      <c r="E235" s="249" t="n"/>
      <c r="F235" s="249" t="n"/>
      <c r="G235" s="249" t="n"/>
      <c r="H235" s="249" t="n"/>
      <c r="I235" s="249" t="n"/>
      <c r="J235" s="249" t="n"/>
      <c r="K235" s="249" t="n"/>
      <c r="L235" s="249" t="n"/>
    </row>
    <row r="236" ht="13" customHeight="1" s="250">
      <c r="A236" s="249" t="n"/>
      <c r="B236" s="249" t="n"/>
      <c r="C236" s="249" t="n"/>
      <c r="D236" s="249" t="n"/>
      <c r="E236" s="249" t="n"/>
      <c r="F236" s="249" t="n"/>
      <c r="G236" s="249" t="n"/>
      <c r="H236" s="249" t="n"/>
      <c r="I236" s="249" t="n"/>
      <c r="J236" s="249" t="n"/>
      <c r="K236" s="249" t="n"/>
      <c r="L236" s="249" t="n"/>
    </row>
    <row r="237" ht="13" customHeight="1" s="250">
      <c r="A237" s="249" t="n"/>
      <c r="B237" s="249" t="n"/>
      <c r="C237" s="249" t="n"/>
      <c r="D237" s="249" t="n"/>
      <c r="E237" s="249" t="n"/>
      <c r="F237" s="249" t="n"/>
      <c r="G237" s="249" t="n"/>
      <c r="H237" s="249" t="n"/>
      <c r="I237" s="249" t="n"/>
      <c r="J237" s="249" t="n"/>
      <c r="K237" s="249" t="n"/>
      <c r="L237" s="249" t="n"/>
    </row>
    <row r="238" ht="13" customHeight="1" s="250">
      <c r="A238" s="249" t="n"/>
      <c r="B238" s="249" t="n"/>
      <c r="C238" s="249" t="n"/>
      <c r="D238" s="249" t="n"/>
      <c r="E238" s="249" t="n"/>
      <c r="F238" s="249" t="n"/>
      <c r="G238" s="249" t="n"/>
      <c r="H238" s="249" t="n"/>
      <c r="I238" s="249" t="n"/>
      <c r="J238" s="249" t="n"/>
      <c r="K238" s="249" t="n"/>
      <c r="L238" s="249" t="n"/>
    </row>
    <row r="239" ht="13" customHeight="1" s="250">
      <c r="A239" s="249" t="n"/>
      <c r="B239" s="249" t="n"/>
      <c r="C239" s="249" t="n"/>
      <c r="D239" s="249" t="n"/>
      <c r="E239" s="249" t="n"/>
      <c r="F239" s="249" t="n"/>
      <c r="G239" s="249" t="n"/>
      <c r="H239" s="249" t="n"/>
      <c r="I239" s="249" t="n"/>
      <c r="J239" s="249" t="n"/>
      <c r="K239" s="249" t="n"/>
      <c r="L239" s="249" t="n"/>
    </row>
    <row r="240" ht="13" customHeight="1" s="250">
      <c r="A240" s="249" t="n"/>
      <c r="B240" s="249" t="n"/>
      <c r="C240" s="249" t="n"/>
      <c r="D240" s="249" t="n"/>
      <c r="E240" s="249" t="n"/>
      <c r="F240" s="249" t="n"/>
      <c r="G240" s="249" t="n"/>
      <c r="H240" s="249" t="n"/>
      <c r="I240" s="249" t="n"/>
      <c r="J240" s="249" t="n"/>
      <c r="K240" s="249" t="n"/>
      <c r="L240" s="249" t="n"/>
    </row>
    <row r="241" ht="13" customHeight="1" s="250">
      <c r="A241" s="249" t="n"/>
      <c r="B241" s="249" t="n"/>
      <c r="C241" s="249" t="n"/>
      <c r="D241" s="249" t="n"/>
      <c r="E241" s="249" t="n"/>
      <c r="F241" s="249" t="n"/>
      <c r="G241" s="249" t="n"/>
      <c r="H241" s="249" t="n"/>
      <c r="I241" s="249" t="n"/>
      <c r="J241" s="249" t="n"/>
      <c r="K241" s="249" t="n"/>
      <c r="L241" s="249" t="n"/>
    </row>
    <row r="242" ht="13" customHeight="1" s="250">
      <c r="A242" s="249" t="n"/>
      <c r="B242" s="249" t="n"/>
      <c r="C242" s="249" t="n"/>
      <c r="D242" s="249" t="n"/>
      <c r="E242" s="249" t="n"/>
      <c r="F242" s="249" t="n"/>
      <c r="G242" s="249" t="n"/>
      <c r="H242" s="249" t="n"/>
      <c r="I242" s="249" t="n"/>
      <c r="J242" s="249" t="n"/>
      <c r="K242" s="249" t="n"/>
      <c r="L242" s="249" t="n"/>
    </row>
    <row r="243" ht="13" customHeight="1" s="250">
      <c r="A243" s="249" t="n"/>
      <c r="B243" s="249" t="n"/>
      <c r="C243" s="249" t="n"/>
      <c r="D243" s="249" t="n"/>
      <c r="E243" s="249" t="n"/>
      <c r="F243" s="249" t="n"/>
      <c r="G243" s="249" t="n"/>
      <c r="H243" s="249" t="n"/>
      <c r="I243" s="249" t="n"/>
      <c r="J243" s="249" t="n"/>
      <c r="K243" s="249" t="n"/>
      <c r="L243" s="249" t="n"/>
    </row>
    <row r="244" ht="13" customHeight="1" s="250">
      <c r="A244" s="249" t="n"/>
      <c r="B244" s="249" t="n"/>
      <c r="C244" s="249" t="n"/>
      <c r="D244" s="249" t="n"/>
      <c r="E244" s="249" t="n"/>
      <c r="F244" s="249" t="n"/>
      <c r="G244" s="249" t="n"/>
      <c r="H244" s="249" t="n"/>
      <c r="I244" s="249" t="n"/>
      <c r="J244" s="249" t="n"/>
      <c r="K244" s="249" t="n"/>
      <c r="L244" s="249" t="n"/>
    </row>
    <row r="245" ht="13" customHeight="1" s="250">
      <c r="A245" s="249" t="n"/>
      <c r="B245" s="249" t="n"/>
      <c r="C245" s="249" t="n"/>
      <c r="D245" s="249" t="n"/>
      <c r="E245" s="249" t="n"/>
      <c r="F245" s="249" t="n"/>
      <c r="G245" s="249" t="n"/>
      <c r="H245" s="249" t="n"/>
      <c r="I245" s="249" t="n"/>
      <c r="J245" s="249" t="n"/>
      <c r="K245" s="249" t="n"/>
      <c r="L245" s="249" t="n"/>
    </row>
    <row r="246" ht="13" customHeight="1" s="250">
      <c r="A246" s="249" t="n"/>
      <c r="B246" s="249" t="n"/>
      <c r="C246" s="249" t="n"/>
      <c r="D246" s="249" t="n"/>
      <c r="E246" s="249" t="n"/>
      <c r="F246" s="249" t="n"/>
      <c r="G246" s="249" t="n"/>
      <c r="H246" s="249" t="n"/>
      <c r="I246" s="249" t="n"/>
      <c r="J246" s="249" t="n"/>
      <c r="K246" s="249" t="n"/>
      <c r="L246" s="249" t="n"/>
    </row>
    <row r="247" ht="13" customHeight="1" s="250">
      <c r="A247" s="249" t="n"/>
      <c r="B247" s="249" t="n"/>
      <c r="C247" s="249" t="n"/>
      <c r="D247" s="249" t="n"/>
      <c r="E247" s="249" t="n"/>
      <c r="F247" s="249" t="n"/>
      <c r="G247" s="249" t="n"/>
      <c r="H247" s="249" t="n"/>
      <c r="I247" s="249" t="n"/>
      <c r="J247" s="249" t="n"/>
      <c r="K247" s="249" t="n"/>
      <c r="L247" s="249" t="n"/>
    </row>
    <row r="248" ht="13" customHeight="1" s="250">
      <c r="A248" s="249" t="n"/>
      <c r="B248" s="249" t="n"/>
      <c r="C248" s="249" t="n"/>
      <c r="D248" s="249" t="n"/>
      <c r="E248" s="249" t="n"/>
      <c r="F248" s="249" t="n"/>
      <c r="G248" s="249" t="n"/>
      <c r="H248" s="249" t="n"/>
      <c r="I248" s="249" t="n"/>
      <c r="J248" s="249" t="n"/>
      <c r="K248" s="249" t="n"/>
      <c r="L248" s="249" t="n"/>
    </row>
    <row r="249" ht="13" customHeight="1" s="250">
      <c r="A249" s="249" t="n"/>
      <c r="B249" s="249" t="n"/>
      <c r="C249" s="249" t="n"/>
      <c r="D249" s="249" t="n"/>
      <c r="E249" s="249" t="n"/>
      <c r="F249" s="249" t="n"/>
      <c r="G249" s="249" t="n"/>
      <c r="H249" s="249" t="n"/>
      <c r="I249" s="249" t="n"/>
      <c r="J249" s="249" t="n"/>
      <c r="K249" s="249" t="n"/>
      <c r="L249" s="249" t="n"/>
    </row>
    <row r="250" ht="13" customHeight="1" s="250">
      <c r="A250" s="249" t="n"/>
      <c r="B250" s="249" t="n"/>
      <c r="C250" s="249" t="n"/>
      <c r="D250" s="249" t="n"/>
      <c r="E250" s="249" t="n"/>
      <c r="F250" s="249" t="n"/>
      <c r="G250" s="249" t="n"/>
      <c r="H250" s="249" t="n"/>
      <c r="I250" s="249" t="n"/>
      <c r="J250" s="249" t="n"/>
      <c r="K250" s="249" t="n"/>
      <c r="L250" s="249" t="n"/>
    </row>
    <row r="251" ht="13" customHeight="1" s="250">
      <c r="A251" s="249" t="n"/>
      <c r="B251" s="249" t="n"/>
      <c r="C251" s="249" t="n"/>
      <c r="D251" s="249" t="n"/>
      <c r="E251" s="249" t="n"/>
      <c r="F251" s="249" t="n"/>
      <c r="G251" s="249" t="n"/>
      <c r="H251" s="249" t="n"/>
      <c r="I251" s="249" t="n"/>
      <c r="J251" s="249" t="n"/>
      <c r="K251" s="249" t="n"/>
      <c r="L251" s="249" t="n"/>
    </row>
    <row r="252" ht="13" customHeight="1" s="250">
      <c r="A252" s="249" t="n"/>
      <c r="B252" s="249" t="n"/>
      <c r="C252" s="249" t="n"/>
      <c r="D252" s="249" t="n"/>
      <c r="E252" s="249" t="n"/>
      <c r="F252" s="249" t="n"/>
      <c r="G252" s="249" t="n"/>
      <c r="H252" s="249" t="n"/>
      <c r="I252" s="249" t="n"/>
      <c r="J252" s="249" t="n"/>
      <c r="K252" s="249" t="n"/>
      <c r="L252" s="249" t="n"/>
    </row>
    <row r="253" ht="13" customHeight="1" s="250">
      <c r="A253" s="249" t="n"/>
      <c r="B253" s="249" t="n"/>
      <c r="C253" s="249" t="n"/>
      <c r="D253" s="249" t="n"/>
      <c r="E253" s="249" t="n"/>
      <c r="F253" s="249" t="n"/>
      <c r="G253" s="249" t="n"/>
      <c r="H253" s="249" t="n"/>
      <c r="I253" s="249" t="n"/>
      <c r="J253" s="249" t="n"/>
      <c r="K253" s="249" t="n"/>
      <c r="L253" s="249" t="n"/>
    </row>
    <row r="254" ht="13" customHeight="1" s="250">
      <c r="A254" s="249" t="n"/>
      <c r="B254" s="249" t="n"/>
      <c r="C254" s="249" t="n"/>
      <c r="D254" s="249" t="n"/>
      <c r="E254" s="249" t="n"/>
      <c r="F254" s="249" t="n"/>
      <c r="G254" s="249" t="n"/>
      <c r="H254" s="249" t="n"/>
      <c r="I254" s="249" t="n"/>
      <c r="J254" s="249" t="n"/>
      <c r="K254" s="249" t="n"/>
      <c r="L254" s="249" t="n"/>
    </row>
    <row r="255" ht="13" customHeight="1" s="250">
      <c r="A255" s="249" t="n"/>
      <c r="B255" s="249" t="n"/>
      <c r="C255" s="249" t="n"/>
      <c r="D255" s="249" t="n"/>
      <c r="E255" s="249" t="n"/>
      <c r="F255" s="249" t="n"/>
      <c r="G255" s="249" t="n"/>
      <c r="H255" s="249" t="n"/>
      <c r="I255" s="249" t="n"/>
      <c r="J255" s="249" t="n"/>
      <c r="K255" s="249" t="n"/>
      <c r="L255" s="249" t="n"/>
    </row>
    <row r="256" ht="13" customHeight="1" s="250">
      <c r="A256" s="249" t="n"/>
      <c r="B256" s="249" t="n"/>
      <c r="C256" s="249" t="n"/>
      <c r="D256" s="249" t="n"/>
      <c r="E256" s="249" t="n"/>
      <c r="F256" s="249" t="n"/>
      <c r="G256" s="249" t="n"/>
      <c r="H256" s="249" t="n"/>
      <c r="I256" s="249" t="n"/>
      <c r="J256" s="249" t="n"/>
      <c r="K256" s="249" t="n"/>
      <c r="L256" s="249" t="n"/>
    </row>
    <row r="257" ht="13" customHeight="1" s="250">
      <c r="A257" s="249" t="n"/>
      <c r="B257" s="249" t="n"/>
      <c r="C257" s="249" t="n"/>
      <c r="D257" s="249" t="n"/>
      <c r="E257" s="249" t="n"/>
      <c r="F257" s="249" t="n"/>
      <c r="G257" s="249" t="n"/>
      <c r="H257" s="249" t="n"/>
      <c r="I257" s="249" t="n"/>
      <c r="J257" s="249" t="n"/>
      <c r="K257" s="249" t="n"/>
      <c r="L257" s="249" t="n"/>
    </row>
    <row r="258" ht="13" customHeight="1" s="250">
      <c r="A258" s="249" t="n"/>
      <c r="B258" s="249" t="n"/>
      <c r="C258" s="249" t="n"/>
      <c r="D258" s="249" t="n"/>
      <c r="E258" s="249" t="n"/>
      <c r="F258" s="249" t="n"/>
      <c r="G258" s="249" t="n"/>
      <c r="H258" s="249" t="n"/>
      <c r="I258" s="249" t="n"/>
      <c r="J258" s="249" t="n"/>
      <c r="K258" s="249" t="n"/>
      <c r="L258" s="249" t="n"/>
    </row>
    <row r="259" ht="13" customHeight="1" s="250">
      <c r="A259" s="249" t="n"/>
      <c r="B259" s="249" t="n"/>
      <c r="C259" s="249" t="n"/>
      <c r="D259" s="249" t="n"/>
      <c r="E259" s="249" t="n"/>
      <c r="F259" s="249" t="n"/>
      <c r="G259" s="249" t="n"/>
      <c r="H259" s="249" t="n"/>
      <c r="I259" s="249" t="n"/>
      <c r="J259" s="249" t="n"/>
      <c r="K259" s="249" t="n"/>
      <c r="L259" s="249" t="n"/>
    </row>
    <row r="260" ht="13" customHeight="1" s="250">
      <c r="A260" s="249" t="n"/>
      <c r="B260" s="249" t="n"/>
      <c r="C260" s="249" t="n"/>
      <c r="D260" s="249" t="n"/>
      <c r="E260" s="249" t="n"/>
      <c r="F260" s="249" t="n"/>
      <c r="G260" s="249" t="n"/>
      <c r="H260" s="249" t="n"/>
      <c r="I260" s="249" t="n"/>
      <c r="J260" s="249" t="n"/>
      <c r="K260" s="249" t="n"/>
      <c r="L260" s="249" t="n"/>
    </row>
    <row r="261" ht="13" customHeight="1" s="250">
      <c r="A261" s="249" t="n"/>
      <c r="B261" s="249" t="n"/>
      <c r="C261" s="249" t="n"/>
      <c r="D261" s="249" t="n"/>
      <c r="E261" s="249" t="n"/>
      <c r="F261" s="249" t="n"/>
      <c r="G261" s="249" t="n"/>
      <c r="H261" s="249" t="n"/>
      <c r="I261" s="249" t="n"/>
      <c r="J261" s="249" t="n"/>
      <c r="K261" s="249" t="n"/>
      <c r="L261" s="249" t="n"/>
    </row>
    <row r="262" ht="13" customHeight="1" s="250">
      <c r="A262" s="249" t="n"/>
      <c r="B262" s="249" t="n"/>
      <c r="C262" s="249" t="n"/>
      <c r="D262" s="249" t="n"/>
      <c r="E262" s="249" t="n"/>
      <c r="F262" s="249" t="n"/>
      <c r="G262" s="249" t="n"/>
      <c r="H262" s="249" t="n"/>
      <c r="I262" s="249" t="n"/>
      <c r="J262" s="249" t="n"/>
      <c r="K262" s="249" t="n"/>
      <c r="L262" s="249" t="n"/>
    </row>
    <row r="263" ht="13" customHeight="1" s="250">
      <c r="A263" s="249" t="n"/>
      <c r="B263" s="249" t="n"/>
      <c r="C263" s="249" t="n"/>
      <c r="D263" s="249" t="n"/>
      <c r="E263" s="249" t="n"/>
      <c r="F263" s="249" t="n"/>
      <c r="G263" s="249" t="n"/>
      <c r="H263" s="249" t="n"/>
      <c r="I263" s="249" t="n"/>
      <c r="J263" s="249" t="n"/>
      <c r="K263" s="249" t="n"/>
      <c r="L263" s="249" t="n"/>
    </row>
    <row r="264" ht="13" customHeight="1" s="250">
      <c r="A264" s="249" t="n"/>
      <c r="B264" s="249" t="n"/>
      <c r="C264" s="249" t="n"/>
      <c r="D264" s="249" t="n"/>
      <c r="E264" s="249" t="n"/>
      <c r="F264" s="249" t="n"/>
      <c r="G264" s="249" t="n"/>
      <c r="H264" s="249" t="n"/>
      <c r="I264" s="249" t="n"/>
      <c r="J264" s="249" t="n"/>
      <c r="K264" s="249" t="n"/>
      <c r="L264" s="249" t="n"/>
    </row>
    <row r="265" ht="13" customHeight="1" s="250">
      <c r="A265" s="249" t="n"/>
      <c r="B265" s="249" t="n"/>
      <c r="C265" s="249" t="n"/>
      <c r="D265" s="249" t="n"/>
      <c r="E265" s="249" t="n"/>
      <c r="F265" s="249" t="n"/>
      <c r="G265" s="249" t="n"/>
      <c r="H265" s="249" t="n"/>
      <c r="I265" s="249" t="n"/>
      <c r="J265" s="249" t="n"/>
      <c r="K265" s="249" t="n"/>
      <c r="L265" s="249" t="n"/>
    </row>
    <row r="266" ht="13" customHeight="1" s="250">
      <c r="A266" s="249" t="n"/>
      <c r="B266" s="249" t="n"/>
      <c r="C266" s="249" t="n"/>
      <c r="D266" s="249" t="n"/>
      <c r="E266" s="249" t="n"/>
      <c r="F266" s="249" t="n"/>
      <c r="G266" s="249" t="n"/>
      <c r="H266" s="249" t="n"/>
      <c r="I266" s="249" t="n"/>
      <c r="J266" s="249" t="n"/>
      <c r="K266" s="249" t="n"/>
      <c r="L266" s="249" t="n"/>
    </row>
    <row r="267" ht="13" customHeight="1" s="250">
      <c r="A267" s="249" t="n"/>
      <c r="B267" s="249" t="n"/>
      <c r="C267" s="249" t="n"/>
      <c r="D267" s="249" t="n"/>
      <c r="E267" s="249" t="n"/>
      <c r="F267" s="249" t="n"/>
      <c r="G267" s="249" t="n"/>
      <c r="H267" s="249" t="n"/>
      <c r="I267" s="249" t="n"/>
      <c r="J267" s="249" t="n"/>
      <c r="K267" s="249" t="n"/>
      <c r="L267" s="249" t="n"/>
    </row>
    <row r="268" ht="13" customHeight="1" s="250">
      <c r="A268" s="249" t="n"/>
      <c r="B268" s="249" t="n"/>
      <c r="C268" s="249" t="n"/>
      <c r="D268" s="249" t="n"/>
      <c r="E268" s="249" t="n"/>
      <c r="F268" s="249" t="n"/>
      <c r="G268" s="249" t="n"/>
      <c r="H268" s="249" t="n"/>
      <c r="I268" s="249" t="n"/>
      <c r="J268" s="249" t="n"/>
      <c r="K268" s="249" t="n"/>
      <c r="L268" s="249" t="n"/>
    </row>
    <row r="269" ht="13" customHeight="1" s="250">
      <c r="A269" s="249" t="n"/>
      <c r="B269" s="249" t="n"/>
      <c r="C269" s="249" t="n"/>
      <c r="D269" s="249" t="n"/>
      <c r="E269" s="249" t="n"/>
      <c r="F269" s="249" t="n"/>
      <c r="G269" s="249" t="n"/>
      <c r="H269" s="249" t="n"/>
      <c r="I269" s="249" t="n"/>
      <c r="J269" s="249" t="n"/>
      <c r="K269" s="249" t="n"/>
      <c r="L269" s="249" t="n"/>
    </row>
    <row r="270" ht="13" customHeight="1" s="250">
      <c r="A270" s="249" t="n"/>
      <c r="B270" s="249" t="n"/>
      <c r="C270" s="249" t="n"/>
      <c r="D270" s="249" t="n"/>
      <c r="E270" s="249" t="n"/>
      <c r="F270" s="249" t="n"/>
      <c r="G270" s="249" t="n"/>
      <c r="H270" s="249" t="n"/>
      <c r="I270" s="249" t="n"/>
      <c r="J270" s="249" t="n"/>
      <c r="K270" s="249" t="n"/>
      <c r="L270" s="249" t="n"/>
    </row>
    <row r="271" ht="13" customHeight="1" s="250">
      <c r="A271" s="249" t="n"/>
      <c r="B271" s="249" t="n"/>
      <c r="C271" s="249" t="n"/>
      <c r="D271" s="249" t="n"/>
      <c r="E271" s="249" t="n"/>
      <c r="F271" s="249" t="n"/>
      <c r="G271" s="249" t="n"/>
      <c r="H271" s="249" t="n"/>
      <c r="I271" s="249" t="n"/>
      <c r="J271" s="249" t="n"/>
      <c r="K271" s="249" t="n"/>
      <c r="L271" s="249" t="n"/>
    </row>
    <row r="272" ht="13" customHeight="1" s="250">
      <c r="A272" s="249" t="n"/>
      <c r="B272" s="249" t="n"/>
      <c r="C272" s="249" t="n"/>
      <c r="D272" s="249" t="n"/>
      <c r="E272" s="249" t="n"/>
      <c r="F272" s="249" t="n"/>
      <c r="G272" s="249" t="n"/>
      <c r="H272" s="249" t="n"/>
      <c r="I272" s="249" t="n"/>
      <c r="J272" s="249" t="n"/>
      <c r="K272" s="249" t="n"/>
      <c r="L272" s="249" t="n"/>
    </row>
    <row r="273" ht="13" customHeight="1" s="250">
      <c r="A273" s="249" t="n"/>
      <c r="B273" s="249" t="n"/>
      <c r="C273" s="249" t="n"/>
      <c r="D273" s="249" t="n"/>
      <c r="E273" s="249" t="n"/>
      <c r="F273" s="249" t="n"/>
      <c r="G273" s="249" t="n"/>
      <c r="H273" s="249" t="n"/>
      <c r="I273" s="249" t="n"/>
      <c r="J273" s="249" t="n"/>
      <c r="K273" s="249" t="n"/>
      <c r="L273" s="249" t="n"/>
    </row>
    <row r="274" ht="13" customHeight="1" s="250">
      <c r="A274" s="249" t="n"/>
      <c r="B274" s="249" t="n"/>
      <c r="C274" s="249" t="n"/>
      <c r="D274" s="249" t="n"/>
      <c r="E274" s="249" t="n"/>
      <c r="F274" s="249" t="n"/>
      <c r="G274" s="249" t="n"/>
      <c r="H274" s="249" t="n"/>
      <c r="I274" s="249" t="n"/>
      <c r="J274" s="249" t="n"/>
      <c r="K274" s="249" t="n"/>
      <c r="L274" s="249" t="n"/>
    </row>
    <row r="275" ht="13" customHeight="1" s="250">
      <c r="A275" s="249" t="n"/>
      <c r="B275" s="249" t="n"/>
      <c r="C275" s="249" t="n"/>
      <c r="D275" s="249" t="n"/>
      <c r="E275" s="249" t="n"/>
      <c r="F275" s="249" t="n"/>
      <c r="G275" s="249" t="n"/>
      <c r="H275" s="249" t="n"/>
      <c r="I275" s="249" t="n"/>
      <c r="J275" s="249" t="n"/>
      <c r="K275" s="249" t="n"/>
      <c r="L275" s="249" t="n"/>
    </row>
    <row r="276" ht="13" customHeight="1" s="250">
      <c r="A276" s="249" t="n"/>
      <c r="B276" s="249" t="n"/>
      <c r="C276" s="249" t="n"/>
      <c r="D276" s="249" t="n"/>
      <c r="E276" s="249" t="n"/>
      <c r="F276" s="249" t="n"/>
      <c r="G276" s="249" t="n"/>
      <c r="H276" s="249" t="n"/>
      <c r="I276" s="249" t="n"/>
      <c r="J276" s="249" t="n"/>
      <c r="K276" s="249" t="n"/>
      <c r="L276" s="249" t="n"/>
    </row>
    <row r="277" ht="13" customHeight="1" s="250">
      <c r="A277" s="249" t="n"/>
      <c r="B277" s="249" t="n"/>
      <c r="C277" s="249" t="n"/>
      <c r="D277" s="249" t="n"/>
      <c r="E277" s="249" t="n"/>
      <c r="F277" s="249" t="n"/>
      <c r="G277" s="249" t="n"/>
      <c r="H277" s="249" t="n"/>
      <c r="I277" s="249" t="n"/>
      <c r="J277" s="249" t="n"/>
      <c r="K277" s="249" t="n"/>
      <c r="L277" s="249" t="n"/>
    </row>
    <row r="278" ht="13" customHeight="1" s="250">
      <c r="A278" s="249" t="n"/>
      <c r="B278" s="249" t="n"/>
      <c r="C278" s="249" t="n"/>
      <c r="D278" s="249" t="n"/>
      <c r="E278" s="249" t="n"/>
      <c r="F278" s="249" t="n"/>
      <c r="G278" s="249" t="n"/>
      <c r="H278" s="249" t="n"/>
      <c r="I278" s="249" t="n"/>
      <c r="J278" s="249" t="n"/>
      <c r="K278" s="249" t="n"/>
      <c r="L278" s="249" t="n"/>
    </row>
    <row r="279" ht="13" customHeight="1" s="250">
      <c r="A279" s="249" t="n"/>
      <c r="B279" s="249" t="n"/>
      <c r="C279" s="249" t="n"/>
      <c r="D279" s="249" t="n"/>
      <c r="E279" s="249" t="n"/>
      <c r="F279" s="249" t="n"/>
      <c r="G279" s="249" t="n"/>
      <c r="H279" s="249" t="n"/>
      <c r="I279" s="249" t="n"/>
      <c r="J279" s="249" t="n"/>
      <c r="K279" s="249" t="n"/>
      <c r="L279" s="249" t="n"/>
    </row>
    <row r="280" ht="13" customHeight="1" s="250">
      <c r="A280" s="249" t="n"/>
      <c r="B280" s="249" t="n"/>
      <c r="C280" s="249" t="n"/>
      <c r="D280" s="249" t="n"/>
      <c r="E280" s="249" t="n"/>
      <c r="F280" s="249" t="n"/>
      <c r="G280" s="249" t="n"/>
      <c r="H280" s="249" t="n"/>
      <c r="I280" s="249" t="n"/>
      <c r="J280" s="249" t="n"/>
      <c r="K280" s="249" t="n"/>
      <c r="L280" s="249" t="n"/>
    </row>
    <row r="281" ht="13" customHeight="1" s="250">
      <c r="A281" s="249" t="n"/>
      <c r="B281" s="249" t="n"/>
      <c r="C281" s="249" t="n"/>
      <c r="D281" s="249" t="n"/>
      <c r="E281" s="249" t="n"/>
      <c r="F281" s="249" t="n"/>
      <c r="G281" s="249" t="n"/>
      <c r="H281" s="249" t="n"/>
      <c r="I281" s="249" t="n"/>
      <c r="J281" s="249" t="n"/>
      <c r="K281" s="249" t="n"/>
      <c r="L281" s="249" t="n"/>
    </row>
    <row r="282" ht="13" customHeight="1" s="250">
      <c r="A282" s="249" t="n"/>
      <c r="B282" s="249" t="n"/>
      <c r="C282" s="249" t="n"/>
      <c r="D282" s="249" t="n"/>
      <c r="E282" s="249" t="n"/>
      <c r="F282" s="249" t="n"/>
      <c r="G282" s="249" t="n"/>
      <c r="H282" s="249" t="n"/>
      <c r="I282" s="249" t="n"/>
      <c r="J282" s="249" t="n"/>
      <c r="K282" s="249" t="n"/>
      <c r="L282" s="249" t="n"/>
    </row>
    <row r="283" ht="13" customHeight="1" s="250">
      <c r="A283" s="249" t="n"/>
      <c r="B283" s="249" t="n"/>
      <c r="C283" s="249" t="n"/>
      <c r="D283" s="249" t="n"/>
      <c r="E283" s="249" t="n"/>
      <c r="F283" s="249" t="n"/>
      <c r="G283" s="249" t="n"/>
      <c r="H283" s="249" t="n"/>
      <c r="I283" s="249" t="n"/>
      <c r="J283" s="249" t="n"/>
      <c r="K283" s="249" t="n"/>
      <c r="L283" s="249" t="n"/>
    </row>
    <row r="284" ht="13" customHeight="1" s="250">
      <c r="A284" s="249" t="n"/>
      <c r="B284" s="249" t="n"/>
      <c r="C284" s="249" t="n"/>
      <c r="D284" s="249" t="n"/>
      <c r="E284" s="249" t="n"/>
      <c r="F284" s="249" t="n"/>
      <c r="G284" s="249" t="n"/>
      <c r="H284" s="249" t="n"/>
      <c r="I284" s="249" t="n"/>
      <c r="J284" s="249" t="n"/>
      <c r="K284" s="249" t="n"/>
      <c r="L284" s="249" t="n"/>
    </row>
    <row r="285" ht="13" customHeight="1" s="250">
      <c r="A285" s="249" t="n"/>
      <c r="B285" s="249" t="n"/>
      <c r="C285" s="249" t="n"/>
      <c r="D285" s="249" t="n"/>
      <c r="E285" s="249" t="n"/>
      <c r="F285" s="249" t="n"/>
      <c r="G285" s="249" t="n"/>
      <c r="H285" s="249" t="n"/>
      <c r="I285" s="249" t="n"/>
      <c r="J285" s="249" t="n"/>
      <c r="K285" s="249" t="n"/>
      <c r="L285" s="249" t="n"/>
    </row>
    <row r="286" ht="13" customHeight="1" s="250">
      <c r="A286" s="249" t="n"/>
      <c r="B286" s="249" t="n"/>
      <c r="C286" s="249" t="n"/>
      <c r="D286" s="249" t="n"/>
      <c r="E286" s="249" t="n"/>
      <c r="F286" s="249" t="n"/>
      <c r="G286" s="249" t="n"/>
      <c r="H286" s="249" t="n"/>
      <c r="I286" s="249" t="n"/>
      <c r="J286" s="249" t="n"/>
      <c r="K286" s="249" t="n"/>
      <c r="L286" s="249" t="n"/>
    </row>
    <row r="287" ht="13" customHeight="1" s="250">
      <c r="A287" s="249" t="n"/>
      <c r="B287" s="249" t="n"/>
      <c r="C287" s="249" t="n"/>
      <c r="D287" s="249" t="n"/>
      <c r="E287" s="249" t="n"/>
      <c r="F287" s="249" t="n"/>
      <c r="G287" s="249" t="n"/>
      <c r="H287" s="249" t="n"/>
      <c r="I287" s="249" t="n"/>
      <c r="J287" s="249" t="n"/>
      <c r="K287" s="249" t="n"/>
      <c r="L287" s="249" t="n"/>
    </row>
    <row r="288" ht="13" customHeight="1" s="250">
      <c r="A288" s="249" t="n"/>
      <c r="B288" s="249" t="n"/>
      <c r="C288" s="249" t="n"/>
      <c r="D288" s="249" t="n"/>
      <c r="E288" s="249" t="n"/>
      <c r="F288" s="249" t="n"/>
      <c r="G288" s="249" t="n"/>
      <c r="H288" s="249" t="n"/>
      <c r="I288" s="249" t="n"/>
      <c r="J288" s="249" t="n"/>
      <c r="K288" s="249" t="n"/>
      <c r="L288" s="249" t="n"/>
    </row>
    <row r="289" ht="13" customHeight="1" s="250">
      <c r="A289" s="249" t="n"/>
      <c r="B289" s="249" t="n"/>
      <c r="C289" s="249" t="n"/>
      <c r="D289" s="249" t="n"/>
      <c r="E289" s="249" t="n"/>
      <c r="F289" s="249" t="n"/>
      <c r="G289" s="249" t="n"/>
      <c r="H289" s="249" t="n"/>
      <c r="I289" s="249" t="n"/>
      <c r="J289" s="249" t="n"/>
      <c r="K289" s="249" t="n"/>
      <c r="L289" s="249" t="n"/>
    </row>
    <row r="290" ht="13" customHeight="1" s="250">
      <c r="A290" s="249" t="n"/>
      <c r="B290" s="249" t="n"/>
      <c r="C290" s="249" t="n"/>
      <c r="D290" s="249" t="n"/>
      <c r="E290" s="249" t="n"/>
      <c r="F290" s="249" t="n"/>
      <c r="G290" s="249" t="n"/>
      <c r="H290" s="249" t="n"/>
      <c r="I290" s="249" t="n"/>
      <c r="J290" s="249" t="n"/>
      <c r="K290" s="249" t="n"/>
      <c r="L290" s="249" t="n"/>
    </row>
    <row r="291" ht="13" customHeight="1" s="250">
      <c r="A291" s="249" t="n"/>
      <c r="B291" s="249" t="n"/>
      <c r="C291" s="249" t="n"/>
      <c r="D291" s="249" t="n"/>
      <c r="E291" s="249" t="n"/>
      <c r="F291" s="249" t="n"/>
      <c r="G291" s="249" t="n"/>
      <c r="H291" s="249" t="n"/>
      <c r="I291" s="249" t="n"/>
      <c r="J291" s="249" t="n"/>
      <c r="K291" s="249" t="n"/>
      <c r="L291" s="249" t="n"/>
    </row>
    <row r="292" ht="13" customHeight="1" s="250">
      <c r="A292" s="249" t="n"/>
      <c r="B292" s="249" t="n"/>
      <c r="C292" s="249" t="n"/>
      <c r="D292" s="249" t="n"/>
      <c r="E292" s="249" t="n"/>
      <c r="F292" s="249" t="n"/>
      <c r="G292" s="249" t="n"/>
      <c r="H292" s="249" t="n"/>
      <c r="I292" s="249" t="n"/>
      <c r="J292" s="249" t="n"/>
      <c r="K292" s="249" t="n"/>
      <c r="L292" s="249" t="n"/>
    </row>
    <row r="293" ht="13" customHeight="1" s="250">
      <c r="A293" s="249" t="n"/>
      <c r="B293" s="249" t="n"/>
      <c r="C293" s="249" t="n"/>
      <c r="D293" s="249" t="n"/>
      <c r="E293" s="249" t="n"/>
      <c r="F293" s="249" t="n"/>
      <c r="G293" s="249" t="n"/>
      <c r="H293" s="249" t="n"/>
      <c r="I293" s="249" t="n"/>
      <c r="J293" s="249" t="n"/>
      <c r="K293" s="249" t="n"/>
      <c r="L293" s="249" t="n"/>
    </row>
    <row r="294" ht="13" customHeight="1" s="250">
      <c r="A294" s="249" t="n"/>
      <c r="B294" s="249" t="n"/>
      <c r="C294" s="249" t="n"/>
      <c r="D294" s="249" t="n"/>
      <c r="E294" s="249" t="n"/>
      <c r="F294" s="249" t="n"/>
      <c r="G294" s="249" t="n"/>
      <c r="H294" s="249" t="n"/>
      <c r="I294" s="249" t="n"/>
      <c r="J294" s="249" t="n"/>
      <c r="K294" s="249" t="n"/>
      <c r="L294" s="249" t="n"/>
    </row>
    <row r="295" ht="13" customHeight="1" s="250">
      <c r="A295" s="249" t="n"/>
      <c r="B295" s="249" t="n"/>
      <c r="C295" s="249" t="n"/>
      <c r="D295" s="249" t="n"/>
      <c r="E295" s="249" t="n"/>
      <c r="F295" s="249" t="n"/>
      <c r="G295" s="249" t="n"/>
      <c r="H295" s="249" t="n"/>
      <c r="I295" s="249" t="n"/>
      <c r="J295" s="249" t="n"/>
      <c r="K295" s="249" t="n"/>
      <c r="L295" s="249" t="n"/>
    </row>
    <row r="296" ht="13" customHeight="1" s="250">
      <c r="A296" s="249" t="n"/>
      <c r="B296" s="249" t="n"/>
      <c r="C296" s="249" t="n"/>
      <c r="D296" s="249" t="n"/>
      <c r="E296" s="249" t="n"/>
      <c r="F296" s="249" t="n"/>
      <c r="G296" s="249" t="n"/>
      <c r="H296" s="249" t="n"/>
      <c r="I296" s="249" t="n"/>
      <c r="J296" s="249" t="n"/>
      <c r="K296" s="249" t="n"/>
      <c r="L296" s="249" t="n"/>
    </row>
    <row r="297" ht="13" customHeight="1" s="250">
      <c r="A297" s="249" t="n"/>
      <c r="B297" s="249" t="n"/>
      <c r="C297" s="249" t="n"/>
      <c r="D297" s="249" t="n"/>
      <c r="E297" s="249" t="n"/>
      <c r="F297" s="249" t="n"/>
      <c r="G297" s="249" t="n"/>
      <c r="H297" s="249" t="n"/>
      <c r="I297" s="249" t="n"/>
      <c r="J297" s="249" t="n"/>
      <c r="K297" s="249" t="n"/>
      <c r="L297" s="249" t="n"/>
    </row>
    <row r="298" ht="13" customHeight="1" s="250">
      <c r="A298" s="249" t="n"/>
      <c r="B298" s="249" t="n"/>
      <c r="C298" s="249" t="n"/>
      <c r="D298" s="249" t="n"/>
      <c r="E298" s="249" t="n"/>
      <c r="F298" s="249" t="n"/>
      <c r="G298" s="249" t="n"/>
      <c r="H298" s="249" t="n"/>
      <c r="I298" s="249" t="n"/>
      <c r="J298" s="249" t="n"/>
      <c r="K298" s="249" t="n"/>
      <c r="L298" s="249" t="n"/>
    </row>
    <row r="299" ht="13" customHeight="1" s="250">
      <c r="A299" s="249" t="n"/>
      <c r="B299" s="249" t="n"/>
      <c r="C299" s="249" t="n"/>
      <c r="D299" s="249" t="n"/>
      <c r="E299" s="249" t="n"/>
      <c r="F299" s="249" t="n"/>
      <c r="G299" s="249" t="n"/>
      <c r="H299" s="249" t="n"/>
      <c r="I299" s="249" t="n"/>
      <c r="J299" s="249" t="n"/>
      <c r="K299" s="249" t="n"/>
      <c r="L299" s="249" t="n"/>
    </row>
    <row r="300" ht="13" customHeight="1" s="250">
      <c r="A300" s="249" t="n"/>
      <c r="B300" s="249" t="n"/>
      <c r="C300" s="249" t="n"/>
      <c r="D300" s="249" t="n"/>
      <c r="E300" s="249" t="n"/>
      <c r="F300" s="249" t="n"/>
      <c r="G300" s="249" t="n"/>
      <c r="H300" s="249" t="n"/>
      <c r="I300" s="249" t="n"/>
      <c r="J300" s="249" t="n"/>
      <c r="K300" s="249" t="n"/>
      <c r="L300" s="249" t="n"/>
    </row>
    <row r="301" ht="13" customHeight="1" s="250">
      <c r="A301" s="249" t="n"/>
      <c r="B301" s="249" t="n"/>
      <c r="C301" s="249" t="n"/>
      <c r="D301" s="249" t="n"/>
      <c r="E301" s="249" t="n"/>
      <c r="F301" s="249" t="n"/>
      <c r="G301" s="249" t="n"/>
      <c r="H301" s="249" t="n"/>
      <c r="I301" s="249" t="n"/>
      <c r="J301" s="249" t="n"/>
      <c r="K301" s="249" t="n"/>
      <c r="L301" s="249" t="n"/>
    </row>
    <row r="302" ht="13" customHeight="1" s="250">
      <c r="A302" s="249" t="n"/>
      <c r="B302" s="249" t="n"/>
      <c r="C302" s="249" t="n"/>
      <c r="D302" s="249" t="n"/>
      <c r="E302" s="249" t="n"/>
      <c r="F302" s="249" t="n"/>
      <c r="G302" s="249" t="n"/>
      <c r="H302" s="249" t="n"/>
      <c r="I302" s="249" t="n"/>
      <c r="J302" s="249" t="n"/>
      <c r="K302" s="249" t="n"/>
      <c r="L302" s="249" t="n"/>
    </row>
    <row r="303" ht="13" customHeight="1" s="250">
      <c r="A303" s="249" t="n"/>
      <c r="B303" s="249" t="n"/>
      <c r="C303" s="249" t="n"/>
      <c r="D303" s="249" t="n"/>
      <c r="E303" s="249" t="n"/>
      <c r="F303" s="249" t="n"/>
      <c r="G303" s="249" t="n"/>
      <c r="H303" s="249" t="n"/>
      <c r="I303" s="249" t="n"/>
      <c r="J303" s="249" t="n"/>
      <c r="K303" s="249" t="n"/>
      <c r="L303" s="249" t="n"/>
    </row>
    <row r="304" ht="13" customHeight="1" s="250">
      <c r="A304" s="249" t="n"/>
      <c r="B304" s="249" t="n"/>
      <c r="C304" s="249" t="n"/>
      <c r="D304" s="249" t="n"/>
      <c r="E304" s="249" t="n"/>
      <c r="F304" s="249" t="n"/>
      <c r="G304" s="249" t="n"/>
      <c r="H304" s="249" t="n"/>
      <c r="I304" s="249" t="n"/>
      <c r="J304" s="249" t="n"/>
      <c r="K304" s="249" t="n"/>
      <c r="L304" s="249" t="n"/>
    </row>
    <row r="305" ht="13" customHeight="1" s="250">
      <c r="A305" s="249" t="n"/>
      <c r="B305" s="249" t="n"/>
      <c r="C305" s="249" t="n"/>
      <c r="D305" s="249" t="n"/>
      <c r="E305" s="249" t="n"/>
      <c r="F305" s="249" t="n"/>
      <c r="G305" s="249" t="n"/>
      <c r="H305" s="249" t="n"/>
      <c r="I305" s="249" t="n"/>
      <c r="J305" s="249" t="n"/>
      <c r="K305" s="249" t="n"/>
      <c r="L305" s="249" t="n"/>
    </row>
    <row r="306" ht="13" customHeight="1" s="250">
      <c r="A306" s="249" t="n"/>
      <c r="B306" s="249" t="n"/>
      <c r="C306" s="249" t="n"/>
      <c r="D306" s="249" t="n"/>
      <c r="E306" s="249" t="n"/>
      <c r="F306" s="249" t="n"/>
      <c r="G306" s="249" t="n"/>
      <c r="H306" s="249" t="n"/>
      <c r="I306" s="249" t="n"/>
      <c r="J306" s="249" t="n"/>
      <c r="K306" s="249" t="n"/>
      <c r="L306" s="249" t="n"/>
    </row>
    <row r="307" ht="13" customHeight="1" s="250">
      <c r="A307" s="249" t="n"/>
      <c r="B307" s="249" t="n"/>
      <c r="C307" s="249" t="n"/>
      <c r="D307" s="249" t="n"/>
      <c r="E307" s="249" t="n"/>
      <c r="F307" s="249" t="n"/>
      <c r="G307" s="249" t="n"/>
      <c r="H307" s="249" t="n"/>
      <c r="I307" s="249" t="n"/>
      <c r="J307" s="249" t="n"/>
      <c r="K307" s="249" t="n"/>
      <c r="L307" s="249" t="n"/>
    </row>
    <row r="308" ht="13" customHeight="1" s="250">
      <c r="A308" s="249" t="n"/>
      <c r="B308" s="249" t="n"/>
      <c r="C308" s="249" t="n"/>
      <c r="D308" s="249" t="n"/>
      <c r="E308" s="249" t="n"/>
      <c r="F308" s="249" t="n"/>
      <c r="G308" s="249" t="n"/>
      <c r="H308" s="249" t="n"/>
      <c r="I308" s="249" t="n"/>
      <c r="J308" s="249" t="n"/>
      <c r="K308" s="249" t="n"/>
      <c r="L308" s="249" t="n"/>
    </row>
    <row r="309" ht="13" customHeight="1" s="250">
      <c r="A309" s="249" t="n"/>
      <c r="B309" s="249" t="n"/>
      <c r="C309" s="249" t="n"/>
      <c r="D309" s="249" t="n"/>
      <c r="E309" s="249" t="n"/>
      <c r="F309" s="249" t="n"/>
      <c r="G309" s="249" t="n"/>
      <c r="H309" s="249" t="n"/>
      <c r="I309" s="249" t="n"/>
      <c r="J309" s="249" t="n"/>
      <c r="K309" s="249" t="n"/>
      <c r="L309" s="249" t="n"/>
    </row>
    <row r="310" ht="13" customHeight="1" s="250">
      <c r="A310" s="249" t="n"/>
      <c r="B310" s="249" t="n"/>
      <c r="C310" s="249" t="n"/>
      <c r="D310" s="249" t="n"/>
      <c r="E310" s="249" t="n"/>
      <c r="F310" s="249" t="n"/>
      <c r="G310" s="249" t="n"/>
      <c r="H310" s="249" t="n"/>
      <c r="I310" s="249" t="n"/>
      <c r="J310" s="249" t="n"/>
      <c r="K310" s="249" t="n"/>
      <c r="L310" s="249" t="n"/>
    </row>
    <row r="311" ht="13" customHeight="1" s="250">
      <c r="A311" s="249" t="n"/>
      <c r="B311" s="249" t="n"/>
      <c r="C311" s="249" t="n"/>
      <c r="D311" s="249" t="n"/>
      <c r="E311" s="249" t="n"/>
      <c r="F311" s="249" t="n"/>
      <c r="G311" s="249" t="n"/>
      <c r="H311" s="249" t="n"/>
      <c r="I311" s="249" t="n"/>
      <c r="J311" s="249" t="n"/>
      <c r="K311" s="249" t="n"/>
      <c r="L311" s="249" t="n"/>
    </row>
    <row r="312" ht="13" customHeight="1" s="250">
      <c r="A312" s="249" t="n"/>
      <c r="B312" s="249" t="n"/>
      <c r="C312" s="249" t="n"/>
      <c r="D312" s="249" t="n"/>
      <c r="E312" s="249" t="n"/>
      <c r="F312" s="249" t="n"/>
      <c r="G312" s="249" t="n"/>
      <c r="H312" s="249" t="n"/>
      <c r="I312" s="249" t="n"/>
      <c r="J312" s="249" t="n"/>
      <c r="K312" s="249" t="n"/>
      <c r="L312" s="249" t="n"/>
    </row>
    <row r="313" ht="13" customHeight="1" s="250">
      <c r="A313" s="249" t="n"/>
      <c r="B313" s="249" t="n"/>
      <c r="C313" s="249" t="n"/>
      <c r="D313" s="249" t="n"/>
      <c r="E313" s="249" t="n"/>
      <c r="F313" s="249" t="n"/>
      <c r="G313" s="249" t="n"/>
      <c r="H313" s="249" t="n"/>
      <c r="I313" s="249" t="n"/>
      <c r="J313" s="249" t="n"/>
      <c r="K313" s="249" t="n"/>
      <c r="L313" s="249" t="n"/>
    </row>
    <row r="314" ht="13" customHeight="1" s="250">
      <c r="A314" s="249" t="n"/>
      <c r="B314" s="249" t="n"/>
      <c r="C314" s="249" t="n"/>
      <c r="D314" s="249" t="n"/>
      <c r="E314" s="249" t="n"/>
      <c r="F314" s="249" t="n"/>
      <c r="G314" s="249" t="n"/>
      <c r="H314" s="249" t="n"/>
      <c r="I314" s="249" t="n"/>
      <c r="J314" s="249" t="n"/>
      <c r="K314" s="249" t="n"/>
      <c r="L314" s="249" t="n"/>
    </row>
    <row r="315" ht="13" customHeight="1" s="250">
      <c r="A315" s="249" t="n"/>
      <c r="B315" s="249" t="n"/>
      <c r="C315" s="249" t="n"/>
      <c r="D315" s="249" t="n"/>
      <c r="E315" s="249" t="n"/>
      <c r="F315" s="249" t="n"/>
      <c r="G315" s="249" t="n"/>
      <c r="H315" s="249" t="n"/>
      <c r="I315" s="249" t="n"/>
      <c r="J315" s="249" t="n"/>
      <c r="K315" s="249" t="n"/>
      <c r="L315" s="249" t="n"/>
    </row>
    <row r="316" ht="13" customHeight="1" s="250">
      <c r="A316" s="249" t="n"/>
      <c r="B316" s="249" t="n"/>
      <c r="C316" s="249" t="n"/>
      <c r="D316" s="249" t="n"/>
      <c r="E316" s="249" t="n"/>
      <c r="F316" s="249" t="n"/>
      <c r="G316" s="249" t="n"/>
      <c r="H316" s="249" t="n"/>
      <c r="I316" s="249" t="n"/>
      <c r="J316" s="249" t="n"/>
      <c r="K316" s="249" t="n"/>
      <c r="L316" s="249" t="n"/>
    </row>
    <row r="317" ht="13" customHeight="1" s="250">
      <c r="A317" s="249" t="n"/>
      <c r="B317" s="249" t="n"/>
      <c r="C317" s="249" t="n"/>
      <c r="D317" s="249" t="n"/>
      <c r="E317" s="249" t="n"/>
      <c r="F317" s="249" t="n"/>
      <c r="G317" s="249" t="n"/>
      <c r="H317" s="249" t="n"/>
      <c r="I317" s="249" t="n"/>
      <c r="J317" s="249" t="n"/>
      <c r="K317" s="249" t="n"/>
      <c r="L317" s="249" t="n"/>
    </row>
    <row r="318" ht="13" customHeight="1" s="250">
      <c r="A318" s="249" t="n"/>
      <c r="B318" s="249" t="n"/>
      <c r="C318" s="249" t="n"/>
      <c r="D318" s="249" t="n"/>
      <c r="E318" s="249" t="n"/>
      <c r="F318" s="249" t="n"/>
      <c r="G318" s="249" t="n"/>
      <c r="H318" s="249" t="n"/>
      <c r="I318" s="249" t="n"/>
      <c r="J318" s="249" t="n"/>
      <c r="K318" s="249" t="n"/>
      <c r="L318" s="249" t="n"/>
    </row>
    <row r="319" ht="13" customHeight="1" s="250">
      <c r="A319" s="249" t="n"/>
      <c r="B319" s="249" t="n"/>
      <c r="C319" s="249" t="n"/>
      <c r="D319" s="249" t="n"/>
      <c r="E319" s="249" t="n"/>
      <c r="F319" s="249" t="n"/>
      <c r="G319" s="249" t="n"/>
      <c r="H319" s="249" t="n"/>
      <c r="I319" s="249" t="n"/>
      <c r="J319" s="249" t="n"/>
      <c r="K319" s="249" t="n"/>
      <c r="L319" s="249" t="n"/>
    </row>
    <row r="320" ht="13" customHeight="1" s="250">
      <c r="A320" s="249" t="n"/>
      <c r="B320" s="249" t="n"/>
      <c r="C320" s="249" t="n"/>
      <c r="D320" s="249" t="n"/>
      <c r="E320" s="249" t="n"/>
      <c r="F320" s="249" t="n"/>
      <c r="G320" s="249" t="n"/>
      <c r="H320" s="249" t="n"/>
      <c r="I320" s="249" t="n"/>
      <c r="J320" s="249" t="n"/>
      <c r="K320" s="249" t="n"/>
      <c r="L320" s="249" t="n"/>
    </row>
    <row r="321" ht="13" customHeight="1" s="250">
      <c r="A321" s="249" t="n"/>
      <c r="B321" s="249" t="n"/>
      <c r="C321" s="249" t="n"/>
      <c r="D321" s="249" t="n"/>
      <c r="E321" s="249" t="n"/>
      <c r="F321" s="249" t="n"/>
      <c r="G321" s="249" t="n"/>
      <c r="H321" s="249" t="n"/>
      <c r="I321" s="249" t="n"/>
      <c r="J321" s="249" t="n"/>
      <c r="K321" s="249" t="n"/>
      <c r="L321" s="249" t="n"/>
    </row>
    <row r="322" ht="13" customHeight="1" s="250">
      <c r="A322" s="249" t="n"/>
      <c r="B322" s="249" t="n"/>
      <c r="C322" s="249" t="n"/>
      <c r="D322" s="249" t="n"/>
      <c r="E322" s="249" t="n"/>
      <c r="F322" s="249" t="n"/>
      <c r="G322" s="249" t="n"/>
      <c r="H322" s="249" t="n"/>
      <c r="I322" s="249" t="n"/>
      <c r="J322" s="249" t="n"/>
      <c r="K322" s="249" t="n"/>
      <c r="L322" s="249" t="n"/>
    </row>
    <row r="323" ht="13" customHeight="1" s="250">
      <c r="A323" s="249" t="n"/>
      <c r="B323" s="249" t="n"/>
      <c r="C323" s="249" t="n"/>
      <c r="D323" s="249" t="n"/>
      <c r="E323" s="249" t="n"/>
      <c r="F323" s="249" t="n"/>
      <c r="G323" s="249" t="n"/>
      <c r="H323" s="249" t="n"/>
      <c r="I323" s="249" t="n"/>
      <c r="J323" s="249" t="n"/>
      <c r="K323" s="249" t="n"/>
      <c r="L323" s="249" t="n"/>
    </row>
    <row r="324" ht="13" customHeight="1" s="250">
      <c r="A324" s="249" t="n"/>
      <c r="B324" s="249" t="n"/>
      <c r="C324" s="249" t="n"/>
      <c r="D324" s="249" t="n"/>
      <c r="E324" s="249" t="n"/>
      <c r="F324" s="249" t="n"/>
      <c r="G324" s="249" t="n"/>
      <c r="H324" s="249" t="n"/>
      <c r="I324" s="249" t="n"/>
      <c r="J324" s="249" t="n"/>
      <c r="K324" s="249" t="n"/>
      <c r="L324" s="249" t="n"/>
    </row>
    <row r="325" ht="13" customHeight="1" s="250">
      <c r="A325" s="249" t="n"/>
      <c r="B325" s="249" t="n"/>
      <c r="C325" s="249" t="n"/>
      <c r="D325" s="249" t="n"/>
      <c r="E325" s="249" t="n"/>
      <c r="F325" s="249" t="n"/>
      <c r="G325" s="249" t="n"/>
      <c r="H325" s="249" t="n"/>
      <c r="I325" s="249" t="n"/>
      <c r="J325" s="249" t="n"/>
      <c r="K325" s="249" t="n"/>
      <c r="L325" s="249" t="n"/>
    </row>
    <row r="326" ht="13" customHeight="1" s="250">
      <c r="A326" s="249" t="n"/>
      <c r="B326" s="249" t="n"/>
      <c r="C326" s="249" t="n"/>
      <c r="D326" s="249" t="n"/>
      <c r="E326" s="249" t="n"/>
      <c r="F326" s="249" t="n"/>
      <c r="G326" s="249" t="n"/>
      <c r="H326" s="249" t="n"/>
      <c r="I326" s="249" t="n"/>
      <c r="J326" s="249" t="n"/>
      <c r="K326" s="249" t="n"/>
      <c r="L326" s="249" t="n"/>
    </row>
    <row r="327" ht="13" customHeight="1" s="250">
      <c r="A327" s="249" t="n"/>
      <c r="B327" s="249" t="n"/>
      <c r="C327" s="249" t="n"/>
      <c r="D327" s="249" t="n"/>
      <c r="E327" s="249" t="n"/>
      <c r="F327" s="249" t="n"/>
      <c r="G327" s="249" t="n"/>
      <c r="H327" s="249" t="n"/>
      <c r="I327" s="249" t="n"/>
      <c r="J327" s="249" t="n"/>
      <c r="K327" s="249" t="n"/>
      <c r="L327" s="249" t="n"/>
    </row>
    <row r="328" ht="13" customHeight="1" s="250">
      <c r="A328" s="249" t="n"/>
      <c r="B328" s="249" t="n"/>
      <c r="C328" s="249" t="n"/>
      <c r="D328" s="249" t="n"/>
      <c r="E328" s="249" t="n"/>
      <c r="F328" s="249" t="n"/>
      <c r="G328" s="249" t="n"/>
      <c r="H328" s="249" t="n"/>
      <c r="I328" s="249" t="n"/>
      <c r="J328" s="249" t="n"/>
      <c r="K328" s="249" t="n"/>
      <c r="L328" s="249" t="n"/>
    </row>
    <row r="329" ht="13" customHeight="1" s="250">
      <c r="A329" s="249" t="n"/>
      <c r="B329" s="249" t="n"/>
      <c r="C329" s="249" t="n"/>
      <c r="D329" s="249" t="n"/>
      <c r="E329" s="249" t="n"/>
      <c r="F329" s="249" t="n"/>
      <c r="G329" s="249" t="n"/>
      <c r="H329" s="249" t="n"/>
      <c r="I329" s="249" t="n"/>
      <c r="J329" s="249" t="n"/>
      <c r="K329" s="249" t="n"/>
      <c r="L329" s="249" t="n"/>
    </row>
    <row r="330" ht="13" customHeight="1" s="250">
      <c r="A330" s="249" t="n"/>
      <c r="B330" s="249" t="n"/>
      <c r="C330" s="249" t="n"/>
      <c r="D330" s="249" t="n"/>
      <c r="E330" s="249" t="n"/>
      <c r="F330" s="249" t="n"/>
      <c r="G330" s="249" t="n"/>
      <c r="H330" s="249" t="n"/>
      <c r="I330" s="249" t="n"/>
      <c r="J330" s="249" t="n"/>
      <c r="K330" s="249" t="n"/>
      <c r="L330" s="249" t="n"/>
    </row>
    <row r="331" ht="13" customHeight="1" s="250">
      <c r="A331" s="249" t="n"/>
      <c r="B331" s="249" t="n"/>
      <c r="C331" s="249" t="n"/>
      <c r="D331" s="249" t="n"/>
      <c r="E331" s="249" t="n"/>
      <c r="F331" s="249" t="n"/>
      <c r="G331" s="249" t="n"/>
      <c r="H331" s="249" t="n"/>
      <c r="I331" s="249" t="n"/>
      <c r="J331" s="249" t="n"/>
      <c r="K331" s="249" t="n"/>
      <c r="L331" s="249" t="n"/>
    </row>
    <row r="332" ht="13" customHeight="1" s="250">
      <c r="A332" s="249" t="n"/>
      <c r="B332" s="249" t="n"/>
      <c r="C332" s="249" t="n"/>
      <c r="D332" s="249" t="n"/>
      <c r="E332" s="249" t="n"/>
      <c r="F332" s="249" t="n"/>
      <c r="G332" s="249" t="n"/>
      <c r="H332" s="249" t="n"/>
      <c r="I332" s="249" t="n"/>
      <c r="J332" s="249" t="n"/>
      <c r="K332" s="249" t="n"/>
      <c r="L332" s="249" t="n"/>
    </row>
    <row r="333" ht="13" customHeight="1" s="250">
      <c r="A333" s="249" t="n"/>
      <c r="B333" s="249" t="n"/>
      <c r="C333" s="249" t="n"/>
      <c r="D333" s="249" t="n"/>
      <c r="E333" s="249" t="n"/>
      <c r="F333" s="249" t="n"/>
      <c r="G333" s="249" t="n"/>
      <c r="H333" s="249" t="n"/>
      <c r="I333" s="249" t="n"/>
      <c r="J333" s="249" t="n"/>
      <c r="K333" s="249" t="n"/>
      <c r="L333" s="249" t="n"/>
    </row>
    <row r="334" ht="13" customHeight="1" s="250">
      <c r="A334" s="249" t="n"/>
      <c r="B334" s="249" t="n"/>
      <c r="C334" s="249" t="n"/>
      <c r="D334" s="249" t="n"/>
      <c r="E334" s="249" t="n"/>
      <c r="F334" s="249" t="n"/>
      <c r="G334" s="249" t="n"/>
      <c r="H334" s="249" t="n"/>
      <c r="I334" s="249" t="n"/>
      <c r="J334" s="249" t="n"/>
      <c r="K334" s="249" t="n"/>
      <c r="L334" s="249" t="n"/>
    </row>
    <row r="335" ht="13" customHeight="1" s="250">
      <c r="A335" s="249" t="n"/>
      <c r="B335" s="249" t="n"/>
      <c r="C335" s="249" t="n"/>
      <c r="D335" s="249" t="n"/>
      <c r="E335" s="249" t="n"/>
      <c r="F335" s="249" t="n"/>
      <c r="G335" s="249" t="n"/>
      <c r="H335" s="249" t="n"/>
      <c r="I335" s="249" t="n"/>
      <c r="J335" s="249" t="n"/>
      <c r="K335" s="249" t="n"/>
      <c r="L335" s="249" t="n"/>
    </row>
    <row r="336" ht="13" customHeight="1" s="250">
      <c r="A336" s="249" t="n"/>
      <c r="B336" s="249" t="n"/>
      <c r="C336" s="249" t="n"/>
      <c r="D336" s="249" t="n"/>
      <c r="E336" s="249" t="n"/>
      <c r="F336" s="249" t="n"/>
      <c r="G336" s="249" t="n"/>
      <c r="H336" s="249" t="n"/>
      <c r="I336" s="249" t="n"/>
      <c r="J336" s="249" t="n"/>
      <c r="K336" s="249" t="n"/>
      <c r="L336" s="249" t="n"/>
    </row>
    <row r="337" ht="13" customHeight="1" s="250">
      <c r="A337" s="249" t="n"/>
      <c r="B337" s="249" t="n"/>
      <c r="C337" s="249" t="n"/>
      <c r="D337" s="249" t="n"/>
      <c r="E337" s="249" t="n"/>
      <c r="F337" s="249" t="n"/>
      <c r="G337" s="249" t="n"/>
      <c r="H337" s="249" t="n"/>
      <c r="I337" s="249" t="n"/>
      <c r="J337" s="249" t="n"/>
      <c r="K337" s="249" t="n"/>
      <c r="L337" s="249" t="n"/>
    </row>
    <row r="338" ht="13" customHeight="1" s="250">
      <c r="A338" s="249" t="n"/>
      <c r="B338" s="249" t="n"/>
      <c r="C338" s="249" t="n"/>
      <c r="D338" s="249" t="n"/>
      <c r="E338" s="249" t="n"/>
      <c r="F338" s="249" t="n"/>
      <c r="G338" s="249" t="n"/>
      <c r="H338" s="249" t="n"/>
      <c r="I338" s="249" t="n"/>
      <c r="J338" s="249" t="n"/>
      <c r="K338" s="249" t="n"/>
      <c r="L338" s="249" t="n"/>
    </row>
    <row r="339" ht="13" customHeight="1" s="250">
      <c r="A339" s="249" t="n"/>
      <c r="B339" s="249" t="n"/>
      <c r="C339" s="249" t="n"/>
      <c r="D339" s="249" t="n"/>
      <c r="E339" s="249" t="n"/>
      <c r="F339" s="249" t="n"/>
      <c r="G339" s="249" t="n"/>
      <c r="H339" s="249" t="n"/>
      <c r="I339" s="249" t="n"/>
      <c r="J339" s="249" t="n"/>
      <c r="K339" s="249" t="n"/>
      <c r="L339" s="249" t="n"/>
    </row>
    <row r="340" ht="13" customHeight="1" s="250">
      <c r="A340" s="249" t="n"/>
      <c r="B340" s="249" t="n"/>
      <c r="C340" s="249" t="n"/>
      <c r="D340" s="249" t="n"/>
      <c r="E340" s="249" t="n"/>
      <c r="F340" s="249" t="n"/>
      <c r="G340" s="249" t="n"/>
      <c r="H340" s="249" t="n"/>
      <c r="I340" s="249" t="n"/>
      <c r="J340" s="249" t="n"/>
      <c r="K340" s="249" t="n"/>
      <c r="L340" s="249" t="n"/>
    </row>
    <row r="341" ht="13" customHeight="1" s="250">
      <c r="A341" s="249" t="n"/>
      <c r="B341" s="249" t="n"/>
      <c r="C341" s="249" t="n"/>
      <c r="D341" s="249" t="n"/>
      <c r="E341" s="249" t="n"/>
      <c r="F341" s="249" t="n"/>
      <c r="G341" s="249" t="n"/>
      <c r="H341" s="249" t="n"/>
      <c r="I341" s="249" t="n"/>
      <c r="J341" s="249" t="n"/>
      <c r="K341" s="249" t="n"/>
      <c r="L341" s="249" t="n"/>
    </row>
    <row r="342" ht="13" customHeight="1" s="250">
      <c r="A342" s="249" t="n"/>
      <c r="B342" s="249" t="n"/>
      <c r="C342" s="249" t="n"/>
      <c r="D342" s="249" t="n"/>
      <c r="E342" s="249" t="n"/>
      <c r="F342" s="249" t="n"/>
      <c r="G342" s="249" t="n"/>
      <c r="H342" s="249" t="n"/>
      <c r="I342" s="249" t="n"/>
      <c r="J342" s="249" t="n"/>
      <c r="K342" s="249" t="n"/>
      <c r="L342" s="249" t="n"/>
    </row>
    <row r="343" ht="13" customHeight="1" s="250">
      <c r="A343" s="249" t="n"/>
      <c r="B343" s="249" t="n"/>
      <c r="C343" s="249" t="n"/>
      <c r="D343" s="249" t="n"/>
      <c r="E343" s="249" t="n"/>
      <c r="F343" s="249" t="n"/>
      <c r="G343" s="249" t="n"/>
      <c r="H343" s="249" t="n"/>
      <c r="I343" s="249" t="n"/>
      <c r="J343" s="249" t="n"/>
      <c r="K343" s="249" t="n"/>
      <c r="L343" s="249" t="n"/>
    </row>
    <row r="344" ht="13" customHeight="1" s="250">
      <c r="A344" s="249" t="n"/>
      <c r="B344" s="249" t="n"/>
      <c r="C344" s="249" t="n"/>
      <c r="D344" s="249" t="n"/>
      <c r="E344" s="249" t="n"/>
      <c r="F344" s="249" t="n"/>
      <c r="G344" s="249" t="n"/>
      <c r="H344" s="249" t="n"/>
      <c r="I344" s="249" t="n"/>
      <c r="J344" s="249" t="n"/>
      <c r="K344" s="249" t="n"/>
      <c r="L344" s="249" t="n"/>
    </row>
    <row r="345" ht="13" customHeight="1" s="250">
      <c r="A345" s="249" t="n"/>
      <c r="B345" s="249" t="n"/>
      <c r="C345" s="249" t="n"/>
      <c r="D345" s="249" t="n"/>
      <c r="E345" s="249" t="n"/>
      <c r="F345" s="249" t="n"/>
      <c r="G345" s="249" t="n"/>
      <c r="H345" s="249" t="n"/>
      <c r="I345" s="249" t="n"/>
      <c r="J345" s="249" t="n"/>
      <c r="K345" s="249" t="n"/>
      <c r="L345" s="249" t="n"/>
    </row>
    <row r="346" ht="13" customHeight="1" s="250">
      <c r="A346" s="249" t="n"/>
      <c r="B346" s="249" t="n"/>
      <c r="C346" s="249" t="n"/>
      <c r="D346" s="249" t="n"/>
      <c r="E346" s="249" t="n"/>
      <c r="F346" s="249" t="n"/>
      <c r="G346" s="249" t="n"/>
      <c r="H346" s="249" t="n"/>
      <c r="I346" s="249" t="n"/>
      <c r="J346" s="249" t="n"/>
      <c r="K346" s="249" t="n"/>
      <c r="L346" s="249" t="n"/>
    </row>
    <row r="347" ht="13" customHeight="1" s="250">
      <c r="A347" s="249" t="n"/>
      <c r="B347" s="249" t="n"/>
      <c r="C347" s="249" t="n"/>
      <c r="D347" s="249" t="n"/>
      <c r="E347" s="249" t="n"/>
      <c r="F347" s="249" t="n"/>
      <c r="G347" s="249" t="n"/>
      <c r="H347" s="249" t="n"/>
      <c r="I347" s="249" t="n"/>
      <c r="J347" s="249" t="n"/>
      <c r="K347" s="249" t="n"/>
      <c r="L347" s="249" t="n"/>
    </row>
    <row r="348" ht="13" customHeight="1" s="250">
      <c r="A348" s="249" t="n"/>
      <c r="B348" s="249" t="n"/>
      <c r="C348" s="249" t="n"/>
      <c r="D348" s="249" t="n"/>
      <c r="E348" s="249" t="n"/>
      <c r="F348" s="249" t="n"/>
      <c r="G348" s="249" t="n"/>
      <c r="H348" s="249" t="n"/>
      <c r="I348" s="249" t="n"/>
      <c r="J348" s="249" t="n"/>
      <c r="K348" s="249" t="n"/>
      <c r="L348" s="249" t="n"/>
    </row>
    <row r="349" ht="13" customHeight="1" s="250">
      <c r="A349" s="249" t="n"/>
      <c r="B349" s="249" t="n"/>
      <c r="C349" s="249" t="n"/>
      <c r="D349" s="249" t="n"/>
      <c r="E349" s="249" t="n"/>
      <c r="F349" s="249" t="n"/>
      <c r="G349" s="249" t="n"/>
      <c r="H349" s="249" t="n"/>
      <c r="I349" s="249" t="n"/>
      <c r="J349" s="249" t="n"/>
      <c r="K349" s="249" t="n"/>
      <c r="L349" s="249" t="n"/>
    </row>
    <row r="350" ht="13" customHeight="1" s="250">
      <c r="A350" s="249" t="n"/>
      <c r="B350" s="249" t="n"/>
      <c r="C350" s="249" t="n"/>
      <c r="D350" s="249" t="n"/>
      <c r="E350" s="249" t="n"/>
      <c r="F350" s="249" t="n"/>
      <c r="G350" s="249" t="n"/>
      <c r="H350" s="249" t="n"/>
      <c r="I350" s="249" t="n"/>
      <c r="J350" s="249" t="n"/>
      <c r="K350" s="249" t="n"/>
      <c r="L350" s="249" t="n"/>
    </row>
    <row r="351" ht="13" customHeight="1" s="250">
      <c r="A351" s="249" t="n"/>
      <c r="B351" s="249" t="n"/>
      <c r="C351" s="249" t="n"/>
      <c r="D351" s="249" t="n"/>
      <c r="E351" s="249" t="n"/>
      <c r="F351" s="249" t="n"/>
      <c r="G351" s="249" t="n"/>
      <c r="H351" s="249" t="n"/>
      <c r="I351" s="249" t="n"/>
      <c r="J351" s="249" t="n"/>
      <c r="K351" s="249" t="n"/>
      <c r="L351" s="249" t="n"/>
    </row>
    <row r="352" ht="13" customHeight="1" s="250">
      <c r="A352" s="249" t="n"/>
      <c r="B352" s="249" t="n"/>
      <c r="C352" s="249" t="n"/>
      <c r="D352" s="249" t="n"/>
      <c r="E352" s="249" t="n"/>
      <c r="F352" s="249" t="n"/>
      <c r="G352" s="249" t="n"/>
      <c r="H352" s="249" t="n"/>
      <c r="I352" s="249" t="n"/>
      <c r="J352" s="249" t="n"/>
      <c r="K352" s="249" t="n"/>
      <c r="L352" s="249" t="n"/>
    </row>
    <row r="353" ht="13" customHeight="1" s="250">
      <c r="A353" s="249" t="n"/>
      <c r="B353" s="249" t="n"/>
      <c r="C353" s="249" t="n"/>
      <c r="D353" s="249" t="n"/>
      <c r="E353" s="249" t="n"/>
      <c r="F353" s="249" t="n"/>
      <c r="G353" s="249" t="n"/>
      <c r="H353" s="249" t="n"/>
      <c r="I353" s="249" t="n"/>
      <c r="J353" s="249" t="n"/>
      <c r="K353" s="249" t="n"/>
      <c r="L353" s="249" t="n"/>
    </row>
    <row r="354" ht="13" customHeight="1" s="250">
      <c r="A354" s="249" t="n"/>
      <c r="B354" s="249" t="n"/>
      <c r="C354" s="249" t="n"/>
      <c r="D354" s="249" t="n"/>
      <c r="E354" s="249" t="n"/>
      <c r="F354" s="249" t="n"/>
      <c r="G354" s="249" t="n"/>
      <c r="H354" s="249" t="n"/>
      <c r="I354" s="249" t="n"/>
      <c r="J354" s="249" t="n"/>
      <c r="K354" s="249" t="n"/>
      <c r="L354" s="249" t="n"/>
    </row>
    <row r="355" ht="13" customHeight="1" s="250">
      <c r="A355" s="249" t="n"/>
      <c r="B355" s="249" t="n"/>
      <c r="C355" s="249" t="n"/>
      <c r="D355" s="249" t="n"/>
      <c r="E355" s="249" t="n"/>
      <c r="F355" s="249" t="n"/>
      <c r="G355" s="249" t="n"/>
      <c r="H355" s="249" t="n"/>
      <c r="I355" s="249" t="n"/>
      <c r="J355" s="249" t="n"/>
      <c r="K355" s="249" t="n"/>
      <c r="L355" s="249" t="n"/>
    </row>
    <row r="356" ht="13" customHeight="1" s="250">
      <c r="A356" s="249" t="n"/>
      <c r="B356" s="249" t="n"/>
      <c r="C356" s="249" t="n"/>
      <c r="D356" s="249" t="n"/>
      <c r="E356" s="249" t="n"/>
      <c r="F356" s="249" t="n"/>
      <c r="G356" s="249" t="n"/>
      <c r="H356" s="249" t="n"/>
      <c r="I356" s="249" t="n"/>
      <c r="J356" s="249" t="n"/>
      <c r="K356" s="249" t="n"/>
      <c r="L356" s="249" t="n"/>
    </row>
    <row r="357" ht="13" customHeight="1" s="250">
      <c r="A357" s="249" t="n"/>
      <c r="B357" s="249" t="n"/>
      <c r="C357" s="249" t="n"/>
      <c r="D357" s="249" t="n"/>
      <c r="E357" s="249" t="n"/>
      <c r="F357" s="249" t="n"/>
      <c r="G357" s="249" t="n"/>
      <c r="H357" s="249" t="n"/>
      <c r="I357" s="249" t="n"/>
      <c r="J357" s="249" t="n"/>
      <c r="K357" s="249" t="n"/>
      <c r="L357" s="249" t="n"/>
    </row>
    <row r="358" ht="13" customHeight="1" s="250">
      <c r="A358" s="249" t="n"/>
      <c r="B358" s="249" t="n"/>
      <c r="C358" s="249" t="n"/>
      <c r="D358" s="249" t="n"/>
      <c r="E358" s="249" t="n"/>
      <c r="F358" s="249" t="n"/>
      <c r="G358" s="249" t="n"/>
      <c r="H358" s="249" t="n"/>
      <c r="I358" s="249" t="n"/>
      <c r="J358" s="249" t="n"/>
      <c r="K358" s="249" t="n"/>
      <c r="L358" s="249" t="n"/>
    </row>
    <row r="359" ht="13" customHeight="1" s="250">
      <c r="A359" s="249" t="n"/>
      <c r="B359" s="249" t="n"/>
      <c r="C359" s="249" t="n"/>
      <c r="D359" s="249" t="n"/>
      <c r="E359" s="249" t="n"/>
      <c r="F359" s="249" t="n"/>
      <c r="G359" s="249" t="n"/>
      <c r="H359" s="249" t="n"/>
      <c r="I359" s="249" t="n"/>
      <c r="J359" s="249" t="n"/>
      <c r="K359" s="249" t="n"/>
      <c r="L359" s="249" t="n"/>
    </row>
    <row r="360" ht="13" customHeight="1" s="250">
      <c r="A360" s="249" t="n"/>
      <c r="B360" s="249" t="n"/>
      <c r="C360" s="249" t="n"/>
      <c r="D360" s="249" t="n"/>
      <c r="E360" s="249" t="n"/>
      <c r="F360" s="249" t="n"/>
      <c r="G360" s="249" t="n"/>
      <c r="H360" s="249" t="n"/>
      <c r="I360" s="249" t="n"/>
      <c r="J360" s="249" t="n"/>
      <c r="K360" s="249" t="n"/>
      <c r="L360" s="249" t="n"/>
    </row>
    <row r="361" ht="13" customHeight="1" s="250">
      <c r="A361" s="249" t="n"/>
      <c r="B361" s="249" t="n"/>
      <c r="C361" s="249" t="n"/>
      <c r="D361" s="249" t="n"/>
      <c r="E361" s="249" t="n"/>
      <c r="F361" s="249" t="n"/>
      <c r="G361" s="249" t="n"/>
      <c r="H361" s="249" t="n"/>
      <c r="I361" s="249" t="n"/>
      <c r="J361" s="249" t="n"/>
      <c r="K361" s="249" t="n"/>
      <c r="L361" s="249" t="n"/>
    </row>
    <row r="362" ht="13" customHeight="1" s="250">
      <c r="A362" s="249" t="n"/>
      <c r="B362" s="249" t="n"/>
      <c r="C362" s="249" t="n"/>
      <c r="D362" s="249" t="n"/>
      <c r="E362" s="249" t="n"/>
      <c r="F362" s="249" t="n"/>
      <c r="G362" s="249" t="n"/>
      <c r="H362" s="249" t="n"/>
      <c r="I362" s="249" t="n"/>
      <c r="J362" s="249" t="n"/>
      <c r="K362" s="249" t="n"/>
      <c r="L362" s="249" t="n"/>
    </row>
    <row r="363" ht="13" customHeight="1" s="250">
      <c r="A363" s="249" t="n"/>
      <c r="B363" s="249" t="n"/>
      <c r="C363" s="249" t="n"/>
      <c r="D363" s="249" t="n"/>
      <c r="E363" s="249" t="n"/>
      <c r="F363" s="249" t="n"/>
      <c r="G363" s="249" t="n"/>
      <c r="H363" s="249" t="n"/>
      <c r="I363" s="249" t="n"/>
      <c r="J363" s="249" t="n"/>
      <c r="K363" s="249" t="n"/>
      <c r="L363" s="249" t="n"/>
    </row>
    <row r="364" ht="13" customHeight="1" s="250">
      <c r="A364" s="249" t="n"/>
      <c r="B364" s="249" t="n"/>
      <c r="C364" s="249" t="n"/>
      <c r="D364" s="249" t="n"/>
      <c r="E364" s="249" t="n"/>
      <c r="F364" s="249" t="n"/>
      <c r="G364" s="249" t="n"/>
      <c r="H364" s="249" t="n"/>
      <c r="I364" s="249" t="n"/>
      <c r="J364" s="249" t="n"/>
      <c r="K364" s="249" t="n"/>
      <c r="L364" s="249" t="n"/>
    </row>
    <row r="365" ht="13" customHeight="1" s="250">
      <c r="A365" s="249" t="n"/>
      <c r="B365" s="249" t="n"/>
      <c r="C365" s="249" t="n"/>
      <c r="D365" s="249" t="n"/>
      <c r="E365" s="249" t="n"/>
      <c r="F365" s="249" t="n"/>
      <c r="G365" s="249" t="n"/>
      <c r="H365" s="249" t="n"/>
      <c r="I365" s="249" t="n"/>
      <c r="J365" s="249" t="n"/>
      <c r="K365" s="249" t="n"/>
      <c r="L365" s="249" t="n"/>
    </row>
    <row r="366" ht="13" customHeight="1" s="250">
      <c r="A366" s="249" t="n"/>
      <c r="B366" s="249" t="n"/>
      <c r="C366" s="249" t="n"/>
      <c r="D366" s="249" t="n"/>
      <c r="E366" s="249" t="n"/>
      <c r="F366" s="249" t="n"/>
      <c r="G366" s="249" t="n"/>
      <c r="H366" s="249" t="n"/>
      <c r="I366" s="249" t="n"/>
      <c r="J366" s="249" t="n"/>
      <c r="K366" s="249" t="n"/>
      <c r="L366" s="249" t="n"/>
    </row>
    <row r="367" ht="13" customHeight="1" s="250">
      <c r="A367" s="249" t="n"/>
      <c r="B367" s="249" t="n"/>
      <c r="C367" s="249" t="n"/>
      <c r="D367" s="249" t="n"/>
      <c r="E367" s="249" t="n"/>
      <c r="F367" s="249" t="n"/>
      <c r="G367" s="249" t="n"/>
      <c r="H367" s="249" t="n"/>
      <c r="I367" s="249" t="n"/>
      <c r="J367" s="249" t="n"/>
      <c r="K367" s="249" t="n"/>
      <c r="L367" s="249" t="n"/>
    </row>
    <row r="368" ht="13" customHeight="1" s="250">
      <c r="A368" s="249" t="n"/>
      <c r="B368" s="249" t="n"/>
      <c r="C368" s="249" t="n"/>
      <c r="D368" s="249" t="n"/>
      <c r="E368" s="249" t="n"/>
      <c r="F368" s="249" t="n"/>
      <c r="G368" s="249" t="n"/>
      <c r="H368" s="249" t="n"/>
      <c r="I368" s="249" t="n"/>
      <c r="J368" s="249" t="n"/>
      <c r="K368" s="249" t="n"/>
      <c r="L368" s="249" t="n"/>
    </row>
    <row r="369" ht="13" customHeight="1" s="250">
      <c r="A369" s="249" t="n"/>
      <c r="B369" s="249" t="n"/>
      <c r="C369" s="249" t="n"/>
      <c r="D369" s="249" t="n"/>
      <c r="E369" s="249" t="n"/>
      <c r="F369" s="249" t="n"/>
      <c r="G369" s="249" t="n"/>
      <c r="H369" s="249" t="n"/>
      <c r="I369" s="249" t="n"/>
      <c r="J369" s="249" t="n"/>
      <c r="K369" s="249" t="n"/>
      <c r="L369" s="249" t="n"/>
    </row>
    <row r="370" ht="13" customHeight="1" s="250">
      <c r="A370" s="249" t="n"/>
      <c r="B370" s="249" t="n"/>
      <c r="C370" s="249" t="n"/>
      <c r="D370" s="249" t="n"/>
      <c r="E370" s="249" t="n"/>
      <c r="F370" s="249" t="n"/>
      <c r="G370" s="249" t="n"/>
      <c r="H370" s="249" t="n"/>
      <c r="I370" s="249" t="n"/>
      <c r="J370" s="249" t="n"/>
      <c r="K370" s="249" t="n"/>
      <c r="L370" s="249" t="n"/>
    </row>
    <row r="371" ht="13" customHeight="1" s="250">
      <c r="A371" s="249" t="n"/>
      <c r="B371" s="249" t="n"/>
      <c r="C371" s="249" t="n"/>
      <c r="D371" s="249" t="n"/>
      <c r="E371" s="249" t="n"/>
      <c r="F371" s="249" t="n"/>
      <c r="G371" s="249" t="n"/>
      <c r="H371" s="249" t="n"/>
      <c r="I371" s="249" t="n"/>
      <c r="J371" s="249" t="n"/>
      <c r="K371" s="249" t="n"/>
      <c r="L371" s="249" t="n"/>
    </row>
    <row r="372" ht="13" customHeight="1" s="250">
      <c r="A372" s="249" t="n"/>
      <c r="B372" s="249" t="n"/>
      <c r="C372" s="249" t="n"/>
      <c r="D372" s="249" t="n"/>
      <c r="E372" s="249" t="n"/>
      <c r="F372" s="249" t="n"/>
      <c r="G372" s="249" t="n"/>
      <c r="H372" s="249" t="n"/>
      <c r="I372" s="249" t="n"/>
      <c r="J372" s="249" t="n"/>
      <c r="K372" s="249" t="n"/>
      <c r="L372" s="249" t="n"/>
    </row>
    <row r="373" ht="13" customHeight="1" s="250">
      <c r="A373" s="249" t="n"/>
      <c r="B373" s="249" t="n"/>
      <c r="C373" s="249" t="n"/>
      <c r="D373" s="249" t="n"/>
      <c r="E373" s="249" t="n"/>
      <c r="F373" s="249" t="n"/>
      <c r="G373" s="249" t="n"/>
      <c r="H373" s="249" t="n"/>
      <c r="I373" s="249" t="n"/>
      <c r="J373" s="249" t="n"/>
      <c r="K373" s="249" t="n"/>
      <c r="L373" s="249" t="n"/>
    </row>
    <row r="374" ht="13" customHeight="1" s="250">
      <c r="A374" s="249" t="n"/>
      <c r="B374" s="249" t="n"/>
      <c r="C374" s="249" t="n"/>
      <c r="D374" s="249" t="n"/>
      <c r="E374" s="249" t="n"/>
      <c r="F374" s="249" t="n"/>
      <c r="G374" s="249" t="n"/>
      <c r="H374" s="249" t="n"/>
      <c r="I374" s="249" t="n"/>
      <c r="J374" s="249" t="n"/>
      <c r="K374" s="249" t="n"/>
      <c r="L374" s="249" t="n"/>
    </row>
    <row r="375" ht="13" customHeight="1" s="250">
      <c r="A375" s="249" t="n"/>
      <c r="B375" s="249" t="n"/>
      <c r="C375" s="249" t="n"/>
      <c r="D375" s="249" t="n"/>
      <c r="E375" s="249" t="n"/>
      <c r="F375" s="249" t="n"/>
      <c r="G375" s="249" t="n"/>
      <c r="H375" s="249" t="n"/>
      <c r="I375" s="249" t="n"/>
      <c r="J375" s="249" t="n"/>
      <c r="K375" s="249" t="n"/>
      <c r="L375" s="249" t="n"/>
    </row>
    <row r="376" ht="13" customHeight="1" s="250">
      <c r="A376" s="249" t="n"/>
      <c r="B376" s="249" t="n"/>
      <c r="C376" s="249" t="n"/>
      <c r="D376" s="249" t="n"/>
      <c r="E376" s="249" t="n"/>
      <c r="F376" s="249" t="n"/>
      <c r="G376" s="249" t="n"/>
      <c r="H376" s="249" t="n"/>
      <c r="I376" s="249" t="n"/>
      <c r="J376" s="249" t="n"/>
      <c r="K376" s="249" t="n"/>
      <c r="L376" s="249" t="n"/>
    </row>
    <row r="377" ht="13" customHeight="1" s="250">
      <c r="A377" s="249" t="n"/>
      <c r="B377" s="249" t="n"/>
      <c r="C377" s="249" t="n"/>
      <c r="D377" s="249" t="n"/>
      <c r="E377" s="249" t="n"/>
      <c r="F377" s="249" t="n"/>
      <c r="G377" s="249" t="n"/>
      <c r="H377" s="249" t="n"/>
      <c r="I377" s="249" t="n"/>
      <c r="J377" s="249" t="n"/>
      <c r="K377" s="249" t="n"/>
      <c r="L377" s="249" t="n"/>
    </row>
    <row r="378" ht="13" customHeight="1" s="250">
      <c r="A378" s="249" t="n"/>
      <c r="B378" s="249" t="n"/>
      <c r="C378" s="249" t="n"/>
      <c r="D378" s="249" t="n"/>
      <c r="E378" s="249" t="n"/>
      <c r="F378" s="249" t="n"/>
      <c r="G378" s="249" t="n"/>
      <c r="H378" s="249" t="n"/>
      <c r="I378" s="249" t="n"/>
      <c r="J378" s="249" t="n"/>
      <c r="K378" s="249" t="n"/>
      <c r="L378" s="249" t="n"/>
    </row>
    <row r="379" ht="13" customHeight="1" s="250">
      <c r="A379" s="249" t="n"/>
      <c r="B379" s="249" t="n"/>
      <c r="C379" s="249" t="n"/>
      <c r="D379" s="249" t="n"/>
      <c r="E379" s="249" t="n"/>
      <c r="F379" s="249" t="n"/>
      <c r="G379" s="249" t="n"/>
      <c r="H379" s="249" t="n"/>
      <c r="I379" s="249" t="n"/>
      <c r="J379" s="249" t="n"/>
      <c r="K379" s="249" t="n"/>
      <c r="L379" s="249" t="n"/>
    </row>
    <row r="380" ht="13" customHeight="1" s="250">
      <c r="A380" s="249" t="n"/>
      <c r="B380" s="249" t="n"/>
      <c r="C380" s="249" t="n"/>
      <c r="D380" s="249" t="n"/>
      <c r="E380" s="249" t="n"/>
      <c r="F380" s="249" t="n"/>
      <c r="G380" s="249" t="n"/>
      <c r="H380" s="249" t="n"/>
      <c r="I380" s="249" t="n"/>
      <c r="J380" s="249" t="n"/>
      <c r="K380" s="249" t="n"/>
      <c r="L380" s="249" t="n"/>
    </row>
    <row r="381" ht="13" customHeight="1" s="250">
      <c r="A381" s="249" t="n"/>
      <c r="B381" s="249" t="n"/>
      <c r="C381" s="249" t="n"/>
      <c r="D381" s="249" t="n"/>
      <c r="E381" s="249" t="n"/>
      <c r="F381" s="249" t="n"/>
      <c r="G381" s="249" t="n"/>
      <c r="H381" s="249" t="n"/>
      <c r="I381" s="249" t="n"/>
      <c r="J381" s="249" t="n"/>
      <c r="K381" s="249" t="n"/>
      <c r="L381" s="249" t="n"/>
    </row>
    <row r="382" ht="13" customHeight="1" s="250">
      <c r="A382" s="249" t="n"/>
      <c r="B382" s="249" t="n"/>
      <c r="C382" s="249" t="n"/>
      <c r="D382" s="249" t="n"/>
      <c r="E382" s="249" t="n"/>
      <c r="F382" s="249" t="n"/>
      <c r="G382" s="249" t="n"/>
      <c r="H382" s="249" t="n"/>
      <c r="I382" s="249" t="n"/>
      <c r="J382" s="249" t="n"/>
      <c r="K382" s="249" t="n"/>
      <c r="L382" s="249" t="n"/>
    </row>
    <row r="383" ht="13" customHeight="1" s="250">
      <c r="A383" s="249" t="n"/>
      <c r="B383" s="249" t="n"/>
      <c r="C383" s="249" t="n"/>
      <c r="D383" s="249" t="n"/>
      <c r="E383" s="249" t="n"/>
      <c r="F383" s="249" t="n"/>
      <c r="G383" s="249" t="n"/>
      <c r="H383" s="249" t="n"/>
      <c r="I383" s="249" t="n"/>
      <c r="J383" s="249" t="n"/>
      <c r="K383" s="249" t="n"/>
      <c r="L383" s="249" t="n"/>
    </row>
    <row r="384" ht="13" customHeight="1" s="250">
      <c r="A384" s="249" t="n"/>
      <c r="B384" s="249" t="n"/>
      <c r="C384" s="249" t="n"/>
      <c r="D384" s="249" t="n"/>
      <c r="E384" s="249" t="n"/>
      <c r="F384" s="249" t="n"/>
      <c r="G384" s="249" t="n"/>
      <c r="H384" s="249" t="n"/>
      <c r="I384" s="249" t="n"/>
      <c r="J384" s="249" t="n"/>
      <c r="K384" s="249" t="n"/>
      <c r="L384" s="249" t="n"/>
    </row>
    <row r="385" ht="13" customHeight="1" s="250">
      <c r="A385" s="249" t="n"/>
      <c r="B385" s="249" t="n"/>
      <c r="C385" s="249" t="n"/>
      <c r="D385" s="249" t="n"/>
      <c r="E385" s="249" t="n"/>
      <c r="F385" s="249" t="n"/>
      <c r="G385" s="249" t="n"/>
      <c r="H385" s="249" t="n"/>
      <c r="I385" s="249" t="n"/>
      <c r="J385" s="249" t="n"/>
      <c r="K385" s="249" t="n"/>
      <c r="L385" s="249" t="n"/>
    </row>
    <row r="386" ht="13" customHeight="1" s="250">
      <c r="A386" s="249" t="n"/>
      <c r="B386" s="249" t="n"/>
      <c r="C386" s="249" t="n"/>
      <c r="D386" s="249" t="n"/>
      <c r="E386" s="249" t="n"/>
      <c r="F386" s="249" t="n"/>
      <c r="G386" s="249" t="n"/>
      <c r="H386" s="249" t="n"/>
      <c r="I386" s="249" t="n"/>
      <c r="J386" s="249" t="n"/>
      <c r="K386" s="249" t="n"/>
      <c r="L386" s="249" t="n"/>
    </row>
    <row r="387" ht="13" customHeight="1" s="250">
      <c r="A387" s="249" t="n"/>
      <c r="B387" s="249" t="n"/>
      <c r="C387" s="249" t="n"/>
      <c r="D387" s="249" t="n"/>
      <c r="E387" s="249" t="n"/>
      <c r="F387" s="249" t="n"/>
      <c r="G387" s="249" t="n"/>
      <c r="H387" s="249" t="n"/>
      <c r="I387" s="249" t="n"/>
      <c r="J387" s="249" t="n"/>
      <c r="K387" s="249" t="n"/>
      <c r="L387" s="249" t="n"/>
    </row>
    <row r="388" ht="13" customHeight="1" s="250">
      <c r="A388" s="249" t="n"/>
      <c r="B388" s="249" t="n"/>
      <c r="C388" s="249" t="n"/>
      <c r="D388" s="249" t="n"/>
      <c r="E388" s="249" t="n"/>
      <c r="F388" s="249" t="n"/>
      <c r="G388" s="249" t="n"/>
      <c r="H388" s="249" t="n"/>
      <c r="I388" s="249" t="n"/>
      <c r="J388" s="249" t="n"/>
      <c r="K388" s="249" t="n"/>
      <c r="L388" s="249" t="n"/>
    </row>
    <row r="389" ht="13" customHeight="1" s="250">
      <c r="A389" s="249" t="n"/>
      <c r="B389" s="249" t="n"/>
      <c r="C389" s="249" t="n"/>
      <c r="D389" s="249" t="n"/>
      <c r="E389" s="249" t="n"/>
      <c r="F389" s="249" t="n"/>
      <c r="G389" s="249" t="n"/>
      <c r="H389" s="249" t="n"/>
      <c r="I389" s="249" t="n"/>
      <c r="J389" s="249" t="n"/>
      <c r="K389" s="249" t="n"/>
      <c r="L389" s="249" t="n"/>
    </row>
    <row r="390" ht="13" customHeight="1" s="250">
      <c r="A390" s="249" t="n"/>
      <c r="B390" s="249" t="n"/>
      <c r="C390" s="249" t="n"/>
      <c r="D390" s="249" t="n"/>
      <c r="E390" s="249" t="n"/>
      <c r="F390" s="249" t="n"/>
      <c r="G390" s="249" t="n"/>
      <c r="H390" s="249" t="n"/>
      <c r="I390" s="249" t="n"/>
      <c r="J390" s="249" t="n"/>
      <c r="K390" s="249" t="n"/>
      <c r="L390" s="249" t="n"/>
    </row>
    <row r="391" ht="13" customHeight="1" s="250">
      <c r="A391" s="249" t="n"/>
      <c r="B391" s="249" t="n"/>
      <c r="C391" s="249" t="n"/>
      <c r="D391" s="249" t="n"/>
      <c r="E391" s="249" t="n"/>
      <c r="F391" s="249" t="n"/>
      <c r="G391" s="249" t="n"/>
      <c r="H391" s="249" t="n"/>
      <c r="I391" s="249" t="n"/>
      <c r="J391" s="249" t="n"/>
      <c r="K391" s="249" t="n"/>
      <c r="L391" s="249" t="n"/>
    </row>
    <row r="392" ht="13" customHeight="1" s="250">
      <c r="A392" s="249" t="n"/>
      <c r="B392" s="249" t="n"/>
      <c r="C392" s="249" t="n"/>
      <c r="D392" s="249" t="n"/>
      <c r="E392" s="249" t="n"/>
      <c r="F392" s="249" t="n"/>
      <c r="G392" s="249" t="n"/>
      <c r="H392" s="249" t="n"/>
      <c r="I392" s="249" t="n"/>
      <c r="J392" s="249" t="n"/>
      <c r="K392" s="249" t="n"/>
      <c r="L392" s="249" t="n"/>
    </row>
    <row r="393" ht="13" customHeight="1" s="250">
      <c r="A393" s="249" t="n"/>
      <c r="B393" s="249" t="n"/>
      <c r="C393" s="249" t="n"/>
      <c r="D393" s="249" t="n"/>
      <c r="E393" s="249" t="n"/>
      <c r="F393" s="249" t="n"/>
      <c r="G393" s="249" t="n"/>
      <c r="H393" s="249" t="n"/>
      <c r="I393" s="249" t="n"/>
      <c r="J393" s="249" t="n"/>
      <c r="K393" s="249" t="n"/>
      <c r="L393" s="249" t="n"/>
    </row>
    <row r="394" ht="13" customHeight="1" s="250">
      <c r="A394" s="249" t="n"/>
      <c r="B394" s="249" t="n"/>
      <c r="C394" s="249" t="n"/>
      <c r="D394" s="249" t="n"/>
      <c r="E394" s="249" t="n"/>
      <c r="F394" s="249" t="n"/>
      <c r="G394" s="249" t="n"/>
      <c r="H394" s="249" t="n"/>
      <c r="I394" s="249" t="n"/>
      <c r="J394" s="249" t="n"/>
      <c r="K394" s="249" t="n"/>
      <c r="L394" s="249" t="n"/>
    </row>
    <row r="395" ht="13" customHeight="1" s="250">
      <c r="A395" s="249" t="n"/>
      <c r="B395" s="249" t="n"/>
      <c r="C395" s="249" t="n"/>
      <c r="D395" s="249" t="n"/>
      <c r="E395" s="249" t="n"/>
      <c r="F395" s="249" t="n"/>
      <c r="G395" s="249" t="n"/>
      <c r="H395" s="249" t="n"/>
      <c r="I395" s="249" t="n"/>
      <c r="J395" s="249" t="n"/>
      <c r="K395" s="249" t="n"/>
      <c r="L395" s="249" t="n"/>
    </row>
    <row r="396" ht="13" customHeight="1" s="250">
      <c r="A396" s="249" t="n"/>
      <c r="B396" s="249" t="n"/>
      <c r="C396" s="249" t="n"/>
      <c r="D396" s="249" t="n"/>
      <c r="E396" s="249" t="n"/>
      <c r="F396" s="249" t="n"/>
      <c r="G396" s="249" t="n"/>
      <c r="H396" s="249" t="n"/>
      <c r="I396" s="249" t="n"/>
      <c r="J396" s="249" t="n"/>
      <c r="K396" s="249" t="n"/>
      <c r="L396" s="249" t="n"/>
    </row>
    <row r="397" ht="13" customHeight="1" s="250">
      <c r="A397" s="249" t="n"/>
      <c r="B397" s="249" t="n"/>
      <c r="C397" s="249" t="n"/>
      <c r="D397" s="249" t="n"/>
      <c r="E397" s="249" t="n"/>
      <c r="F397" s="249" t="n"/>
      <c r="G397" s="249" t="n"/>
      <c r="H397" s="249" t="n"/>
      <c r="I397" s="249" t="n"/>
      <c r="J397" s="249" t="n"/>
      <c r="K397" s="249" t="n"/>
      <c r="L397" s="249" t="n"/>
    </row>
    <row r="398" ht="13" customHeight="1" s="250">
      <c r="A398" s="249" t="n"/>
      <c r="B398" s="249" t="n"/>
      <c r="C398" s="249" t="n"/>
      <c r="D398" s="249" t="n"/>
      <c r="E398" s="249" t="n"/>
      <c r="F398" s="249" t="n"/>
      <c r="G398" s="249" t="n"/>
      <c r="H398" s="249" t="n"/>
      <c r="I398" s="249" t="n"/>
      <c r="J398" s="249" t="n"/>
      <c r="K398" s="249" t="n"/>
      <c r="L398" s="249" t="n"/>
    </row>
    <row r="399" ht="13" customHeight="1" s="250">
      <c r="A399" s="249" t="n"/>
      <c r="B399" s="249" t="n"/>
      <c r="C399" s="249" t="n"/>
      <c r="D399" s="249" t="n"/>
      <c r="E399" s="249" t="n"/>
      <c r="F399" s="249" t="n"/>
      <c r="G399" s="249" t="n"/>
      <c r="H399" s="249" t="n"/>
      <c r="I399" s="249" t="n"/>
      <c r="J399" s="249" t="n"/>
      <c r="K399" s="249" t="n"/>
      <c r="L399" s="249" t="n"/>
    </row>
    <row r="400" ht="13" customHeight="1" s="250">
      <c r="A400" s="249" t="n"/>
      <c r="B400" s="249" t="n"/>
      <c r="C400" s="249" t="n"/>
      <c r="D400" s="249" t="n"/>
      <c r="E400" s="249" t="n"/>
      <c r="F400" s="249" t="n"/>
      <c r="G400" s="249" t="n"/>
      <c r="H400" s="249" t="n"/>
      <c r="I400" s="249" t="n"/>
      <c r="J400" s="249" t="n"/>
      <c r="K400" s="249" t="n"/>
      <c r="L400" s="249" t="n"/>
    </row>
    <row r="401" ht="13" customHeight="1" s="250">
      <c r="A401" s="249" t="n"/>
      <c r="B401" s="249" t="n"/>
      <c r="C401" s="249" t="n"/>
      <c r="D401" s="249" t="n"/>
      <c r="E401" s="249" t="n"/>
      <c r="F401" s="249" t="n"/>
      <c r="G401" s="249" t="n"/>
      <c r="H401" s="249" t="n"/>
      <c r="I401" s="249" t="n"/>
      <c r="J401" s="249" t="n"/>
      <c r="K401" s="249" t="n"/>
      <c r="L401" s="249" t="n"/>
    </row>
    <row r="402" ht="13" customHeight="1" s="250">
      <c r="A402" s="249" t="n"/>
      <c r="B402" s="249" t="n"/>
      <c r="C402" s="249" t="n"/>
      <c r="D402" s="249" t="n"/>
      <c r="E402" s="249" t="n"/>
      <c r="F402" s="249" t="n"/>
      <c r="G402" s="249" t="n"/>
      <c r="H402" s="249" t="n"/>
      <c r="I402" s="249" t="n"/>
      <c r="J402" s="249" t="n"/>
      <c r="K402" s="249" t="n"/>
      <c r="L402" s="249" t="n"/>
    </row>
    <row r="403" ht="13" customHeight="1" s="250">
      <c r="A403" s="249" t="n"/>
      <c r="B403" s="249" t="n"/>
      <c r="C403" s="249" t="n"/>
      <c r="D403" s="249" t="n"/>
      <c r="E403" s="249" t="n"/>
      <c r="F403" s="249" t="n"/>
      <c r="G403" s="249" t="n"/>
      <c r="H403" s="249" t="n"/>
      <c r="I403" s="249" t="n"/>
      <c r="J403" s="249" t="n"/>
      <c r="K403" s="249" t="n"/>
      <c r="L403" s="249" t="n"/>
    </row>
    <row r="404" ht="13" customHeight="1" s="250">
      <c r="A404" s="249" t="n"/>
      <c r="B404" s="249" t="n"/>
      <c r="C404" s="249" t="n"/>
      <c r="D404" s="249" t="n"/>
      <c r="E404" s="249" t="n"/>
      <c r="F404" s="249" t="n"/>
      <c r="G404" s="249" t="n"/>
      <c r="H404" s="249" t="n"/>
      <c r="I404" s="249" t="n"/>
      <c r="J404" s="249" t="n"/>
      <c r="K404" s="249" t="n"/>
      <c r="L404" s="249" t="n"/>
    </row>
    <row r="405" ht="13" customHeight="1" s="250">
      <c r="A405" s="249" t="n"/>
      <c r="B405" s="249" t="n"/>
      <c r="C405" s="249" t="n"/>
      <c r="D405" s="249" t="n"/>
      <c r="E405" s="249" t="n"/>
      <c r="F405" s="249" t="n"/>
      <c r="G405" s="249" t="n"/>
      <c r="H405" s="249" t="n"/>
      <c r="I405" s="249" t="n"/>
      <c r="J405" s="249" t="n"/>
      <c r="K405" s="249" t="n"/>
      <c r="L405" s="249" t="n"/>
    </row>
    <row r="406" ht="13" customHeight="1" s="250">
      <c r="A406" s="249" t="n"/>
      <c r="B406" s="249" t="n"/>
      <c r="C406" s="249" t="n"/>
      <c r="D406" s="249" t="n"/>
      <c r="E406" s="249" t="n"/>
      <c r="F406" s="249" t="n"/>
      <c r="G406" s="249" t="n"/>
      <c r="H406" s="249" t="n"/>
      <c r="I406" s="249" t="n"/>
      <c r="J406" s="249" t="n"/>
      <c r="K406" s="249" t="n"/>
      <c r="L406" s="249" t="n"/>
    </row>
    <row r="407" ht="13" customHeight="1" s="250">
      <c r="A407" s="249" t="n"/>
      <c r="B407" s="249" t="n"/>
      <c r="C407" s="249" t="n"/>
      <c r="D407" s="249" t="n"/>
      <c r="E407" s="249" t="n"/>
      <c r="F407" s="249" t="n"/>
      <c r="G407" s="249" t="n"/>
      <c r="H407" s="249" t="n"/>
      <c r="I407" s="249" t="n"/>
      <c r="J407" s="249" t="n"/>
      <c r="K407" s="249" t="n"/>
      <c r="L407" s="249" t="n"/>
    </row>
    <row r="408" ht="13" customHeight="1" s="250">
      <c r="A408" s="249" t="n"/>
      <c r="B408" s="249" t="n"/>
      <c r="C408" s="249" t="n"/>
      <c r="D408" s="249" t="n"/>
      <c r="E408" s="249" t="n"/>
      <c r="F408" s="249" t="n"/>
      <c r="G408" s="249" t="n"/>
      <c r="H408" s="249" t="n"/>
      <c r="I408" s="249" t="n"/>
      <c r="J408" s="249" t="n"/>
      <c r="K408" s="249" t="n"/>
      <c r="L408" s="249" t="n"/>
    </row>
    <row r="409" ht="13" customHeight="1" s="250">
      <c r="A409" s="249" t="n"/>
      <c r="B409" s="249" t="n"/>
      <c r="C409" s="249" t="n"/>
      <c r="D409" s="249" t="n"/>
      <c r="E409" s="249" t="n"/>
      <c r="F409" s="249" t="n"/>
      <c r="G409" s="249" t="n"/>
      <c r="H409" s="249" t="n"/>
      <c r="I409" s="249" t="n"/>
      <c r="J409" s="249" t="n"/>
      <c r="K409" s="249" t="n"/>
      <c r="L409" s="249" t="n"/>
    </row>
    <row r="410" ht="13" customHeight="1" s="250">
      <c r="A410" s="249" t="n"/>
      <c r="B410" s="249" t="n"/>
      <c r="C410" s="249" t="n"/>
      <c r="D410" s="249" t="n"/>
      <c r="E410" s="249" t="n"/>
      <c r="F410" s="249" t="n"/>
      <c r="G410" s="249" t="n"/>
      <c r="H410" s="249" t="n"/>
      <c r="I410" s="249" t="n"/>
      <c r="J410" s="249" t="n"/>
      <c r="K410" s="249" t="n"/>
      <c r="L410" s="249" t="n"/>
    </row>
    <row r="411" ht="13" customHeight="1" s="250">
      <c r="A411" s="249" t="n"/>
      <c r="B411" s="249" t="n"/>
      <c r="C411" s="249" t="n"/>
      <c r="D411" s="249" t="n"/>
      <c r="E411" s="249" t="n"/>
      <c r="F411" s="249" t="n"/>
      <c r="G411" s="249" t="n"/>
      <c r="H411" s="249" t="n"/>
      <c r="I411" s="249" t="n"/>
      <c r="J411" s="249" t="n"/>
      <c r="K411" s="249" t="n"/>
      <c r="L411" s="249" t="n"/>
    </row>
    <row r="412" ht="13" customHeight="1" s="250">
      <c r="A412" s="249" t="n"/>
      <c r="B412" s="249" t="n"/>
      <c r="C412" s="249" t="n"/>
      <c r="D412" s="249" t="n"/>
      <c r="E412" s="249" t="n"/>
      <c r="F412" s="249" t="n"/>
      <c r="G412" s="249" t="n"/>
      <c r="H412" s="249" t="n"/>
      <c r="I412" s="249" t="n"/>
      <c r="J412" s="249" t="n"/>
      <c r="K412" s="249" t="n"/>
      <c r="L412" s="249" t="n"/>
    </row>
    <row r="413" ht="13" customHeight="1" s="250">
      <c r="A413" s="249" t="n"/>
      <c r="B413" s="249" t="n"/>
      <c r="C413" s="249" t="n"/>
      <c r="D413" s="249" t="n"/>
      <c r="E413" s="249" t="n"/>
      <c r="F413" s="249" t="n"/>
      <c r="G413" s="249" t="n"/>
      <c r="H413" s="249" t="n"/>
      <c r="I413" s="249" t="n"/>
      <c r="J413" s="249" t="n"/>
      <c r="K413" s="249" t="n"/>
      <c r="L413" s="249" t="n"/>
    </row>
    <row r="414" ht="13" customHeight="1" s="250">
      <c r="A414" s="249" t="n"/>
      <c r="B414" s="249" t="n"/>
      <c r="C414" s="249" t="n"/>
      <c r="D414" s="249" t="n"/>
      <c r="E414" s="249" t="n"/>
      <c r="F414" s="249" t="n"/>
      <c r="G414" s="249" t="n"/>
      <c r="H414" s="249" t="n"/>
      <c r="I414" s="249" t="n"/>
      <c r="J414" s="249" t="n"/>
      <c r="K414" s="249" t="n"/>
      <c r="L414" s="249" t="n"/>
    </row>
    <row r="415" ht="13" customHeight="1" s="250">
      <c r="A415" s="249" t="n"/>
      <c r="B415" s="249" t="n"/>
      <c r="C415" s="249" t="n"/>
      <c r="D415" s="249" t="n"/>
      <c r="E415" s="249" t="n"/>
      <c r="F415" s="249" t="n"/>
      <c r="G415" s="249" t="n"/>
      <c r="H415" s="249" t="n"/>
      <c r="I415" s="249" t="n"/>
      <c r="J415" s="249" t="n"/>
      <c r="K415" s="249" t="n"/>
      <c r="L415" s="249" t="n"/>
    </row>
    <row r="416" ht="13" customHeight="1" s="250">
      <c r="A416" s="249" t="n"/>
      <c r="B416" s="249" t="n"/>
      <c r="C416" s="249" t="n"/>
      <c r="D416" s="249" t="n"/>
      <c r="E416" s="249" t="n"/>
      <c r="F416" s="249" t="n"/>
      <c r="G416" s="249" t="n"/>
      <c r="H416" s="249" t="n"/>
      <c r="I416" s="249" t="n"/>
      <c r="J416" s="249" t="n"/>
      <c r="K416" s="249" t="n"/>
      <c r="L416" s="249" t="n"/>
    </row>
    <row r="417" ht="13" customHeight="1" s="250">
      <c r="A417" s="249" t="n"/>
      <c r="B417" s="249" t="n"/>
      <c r="C417" s="249" t="n"/>
      <c r="D417" s="249" t="n"/>
      <c r="E417" s="249" t="n"/>
      <c r="F417" s="249" t="n"/>
      <c r="G417" s="249" t="n"/>
      <c r="H417" s="249" t="n"/>
      <c r="I417" s="249" t="n"/>
      <c r="J417" s="249" t="n"/>
      <c r="K417" s="249" t="n"/>
      <c r="L417" s="249" t="n"/>
    </row>
    <row r="418" ht="13" customHeight="1" s="250">
      <c r="A418" s="249" t="n"/>
      <c r="B418" s="249" t="n"/>
      <c r="C418" s="249" t="n"/>
      <c r="D418" s="249" t="n"/>
      <c r="E418" s="249" t="n"/>
      <c r="F418" s="249" t="n"/>
      <c r="G418" s="249" t="n"/>
      <c r="H418" s="249" t="n"/>
      <c r="I418" s="249" t="n"/>
      <c r="J418" s="249" t="n"/>
      <c r="K418" s="249" t="n"/>
      <c r="L418" s="249" t="n"/>
    </row>
    <row r="419" ht="13" customHeight="1" s="250">
      <c r="A419" s="249" t="n"/>
      <c r="B419" s="249" t="n"/>
      <c r="C419" s="249" t="n"/>
      <c r="D419" s="249" t="n"/>
      <c r="E419" s="249" t="n"/>
      <c r="F419" s="249" t="n"/>
      <c r="G419" s="249" t="n"/>
      <c r="H419" s="249" t="n"/>
      <c r="I419" s="249" t="n"/>
      <c r="J419" s="249" t="n"/>
      <c r="K419" s="249" t="n"/>
      <c r="L419" s="249" t="n"/>
    </row>
    <row r="420" ht="13" customHeight="1" s="250">
      <c r="A420" s="249" t="n"/>
      <c r="B420" s="249" t="n"/>
      <c r="C420" s="249" t="n"/>
      <c r="D420" s="249" t="n"/>
      <c r="E420" s="249" t="n"/>
      <c r="F420" s="249" t="n"/>
      <c r="G420" s="249" t="n"/>
      <c r="H420" s="249" t="n"/>
      <c r="I420" s="249" t="n"/>
      <c r="J420" s="249" t="n"/>
      <c r="K420" s="249" t="n"/>
      <c r="L420" s="249" t="n"/>
    </row>
    <row r="421" ht="13" customHeight="1" s="250">
      <c r="A421" s="249" t="n"/>
      <c r="B421" s="249" t="n"/>
      <c r="C421" s="249" t="n"/>
      <c r="D421" s="249" t="n"/>
      <c r="E421" s="249" t="n"/>
      <c r="F421" s="249" t="n"/>
      <c r="G421" s="249" t="n"/>
      <c r="H421" s="249" t="n"/>
      <c r="I421" s="249" t="n"/>
      <c r="J421" s="249" t="n"/>
      <c r="K421" s="249" t="n"/>
      <c r="L421" s="249" t="n"/>
    </row>
    <row r="422" ht="13" customHeight="1" s="250">
      <c r="A422" s="249" t="n"/>
      <c r="B422" s="249" t="n"/>
      <c r="C422" s="249" t="n"/>
      <c r="D422" s="249" t="n"/>
      <c r="E422" s="249" t="n"/>
      <c r="F422" s="249" t="n"/>
      <c r="G422" s="249" t="n"/>
      <c r="H422" s="249" t="n"/>
      <c r="I422" s="249" t="n"/>
      <c r="J422" s="249" t="n"/>
      <c r="K422" s="249" t="n"/>
      <c r="L422" s="249" t="n"/>
    </row>
    <row r="423" ht="13" customHeight="1" s="250">
      <c r="A423" s="249" t="n"/>
      <c r="B423" s="249" t="n"/>
      <c r="C423" s="249" t="n"/>
      <c r="D423" s="249" t="n"/>
      <c r="E423" s="249" t="n"/>
      <c r="F423" s="249" t="n"/>
      <c r="G423" s="249" t="n"/>
      <c r="H423" s="249" t="n"/>
      <c r="I423" s="249" t="n"/>
      <c r="J423" s="249" t="n"/>
      <c r="K423" s="249" t="n"/>
      <c r="L423" s="249" t="n"/>
    </row>
    <row r="424" ht="13" customHeight="1" s="250">
      <c r="A424" s="249" t="n"/>
      <c r="B424" s="249" t="n"/>
      <c r="C424" s="249" t="n"/>
      <c r="D424" s="249" t="n"/>
      <c r="E424" s="249" t="n"/>
      <c r="F424" s="249" t="n"/>
      <c r="G424" s="249" t="n"/>
      <c r="H424" s="249" t="n"/>
      <c r="I424" s="249" t="n"/>
      <c r="J424" s="249" t="n"/>
      <c r="K424" s="249" t="n"/>
      <c r="L424" s="249" t="n"/>
    </row>
    <row r="425" ht="13" customHeight="1" s="250">
      <c r="A425" s="249" t="n"/>
      <c r="B425" s="249" t="n"/>
      <c r="C425" s="249" t="n"/>
      <c r="D425" s="249" t="n"/>
      <c r="E425" s="249" t="n"/>
      <c r="F425" s="249" t="n"/>
      <c r="G425" s="249" t="n"/>
      <c r="H425" s="249" t="n"/>
      <c r="I425" s="249" t="n"/>
      <c r="J425" s="249" t="n"/>
      <c r="K425" s="249" t="n"/>
      <c r="L425" s="249" t="n"/>
    </row>
    <row r="426" ht="13" customHeight="1" s="250">
      <c r="A426" s="249" t="n"/>
      <c r="B426" s="249" t="n"/>
      <c r="C426" s="249" t="n"/>
      <c r="D426" s="249" t="n"/>
      <c r="E426" s="249" t="n"/>
      <c r="F426" s="249" t="n"/>
      <c r="G426" s="249" t="n"/>
      <c r="H426" s="249" t="n"/>
      <c r="I426" s="249" t="n"/>
      <c r="J426" s="249" t="n"/>
      <c r="K426" s="249" t="n"/>
      <c r="L426" s="249" t="n"/>
    </row>
    <row r="427" ht="13" customHeight="1" s="250">
      <c r="A427" s="249" t="n"/>
      <c r="B427" s="249" t="n"/>
      <c r="C427" s="249" t="n"/>
      <c r="D427" s="249" t="n"/>
      <c r="E427" s="249" t="n"/>
      <c r="F427" s="249" t="n"/>
      <c r="G427" s="249" t="n"/>
      <c r="H427" s="249" t="n"/>
      <c r="I427" s="249" t="n"/>
      <c r="J427" s="249" t="n"/>
      <c r="K427" s="249" t="n"/>
      <c r="L427" s="249" t="n"/>
    </row>
    <row r="428" ht="13" customHeight="1" s="250">
      <c r="A428" s="249" t="n"/>
      <c r="B428" s="249" t="n"/>
      <c r="C428" s="249" t="n"/>
      <c r="D428" s="249" t="n"/>
      <c r="E428" s="249" t="n"/>
      <c r="F428" s="249" t="n"/>
      <c r="G428" s="249" t="n"/>
      <c r="H428" s="249" t="n"/>
      <c r="I428" s="249" t="n"/>
      <c r="J428" s="249" t="n"/>
      <c r="K428" s="249" t="n"/>
      <c r="L428" s="249" t="n"/>
    </row>
    <row r="429" ht="13" customHeight="1" s="250">
      <c r="A429" s="249" t="n"/>
      <c r="B429" s="249" t="n"/>
      <c r="C429" s="249" t="n"/>
      <c r="D429" s="249" t="n"/>
      <c r="E429" s="249" t="n"/>
      <c r="F429" s="249" t="n"/>
      <c r="G429" s="249" t="n"/>
      <c r="H429" s="249" t="n"/>
      <c r="I429" s="249" t="n"/>
      <c r="J429" s="249" t="n"/>
      <c r="K429" s="249" t="n"/>
      <c r="L429" s="249" t="n"/>
    </row>
    <row r="430" ht="13" customHeight="1" s="250">
      <c r="A430" s="249" t="n"/>
      <c r="B430" s="249" t="n"/>
      <c r="C430" s="249" t="n"/>
      <c r="D430" s="249" t="n"/>
      <c r="E430" s="249" t="n"/>
      <c r="F430" s="249" t="n"/>
      <c r="G430" s="249" t="n"/>
      <c r="H430" s="249" t="n"/>
      <c r="I430" s="249" t="n"/>
      <c r="J430" s="249" t="n"/>
      <c r="K430" s="249" t="n"/>
      <c r="L430" s="249" t="n"/>
    </row>
    <row r="431" ht="13" customHeight="1" s="250">
      <c r="A431" s="249" t="n"/>
      <c r="B431" s="249" t="n"/>
      <c r="C431" s="249" t="n"/>
      <c r="D431" s="249" t="n"/>
      <c r="E431" s="249" t="n"/>
      <c r="F431" s="249" t="n"/>
      <c r="G431" s="249" t="n"/>
      <c r="H431" s="249" t="n"/>
      <c r="I431" s="249" t="n"/>
      <c r="J431" s="249" t="n"/>
      <c r="K431" s="249" t="n"/>
      <c r="L431" s="249" t="n"/>
    </row>
    <row r="432" ht="13" customHeight="1" s="250">
      <c r="A432" s="249" t="n"/>
      <c r="B432" s="249" t="n"/>
      <c r="C432" s="249" t="n"/>
      <c r="D432" s="249" t="n"/>
      <c r="E432" s="249" t="n"/>
      <c r="F432" s="249" t="n"/>
      <c r="G432" s="249" t="n"/>
      <c r="H432" s="249" t="n"/>
      <c r="I432" s="249" t="n"/>
      <c r="J432" s="249" t="n"/>
      <c r="K432" s="249" t="n"/>
      <c r="L432" s="249" t="n"/>
    </row>
    <row r="433" ht="13" customHeight="1" s="250">
      <c r="A433" s="249" t="n"/>
      <c r="B433" s="249" t="n"/>
      <c r="C433" s="249" t="n"/>
      <c r="D433" s="249" t="n"/>
      <c r="E433" s="249" t="n"/>
      <c r="F433" s="249" t="n"/>
      <c r="G433" s="249" t="n"/>
      <c r="H433" s="249" t="n"/>
      <c r="I433" s="249" t="n"/>
      <c r="J433" s="249" t="n"/>
      <c r="K433" s="249" t="n"/>
      <c r="L433" s="249" t="n"/>
    </row>
    <row r="434" ht="13" customHeight="1" s="250">
      <c r="A434" s="249" t="n"/>
      <c r="B434" s="249" t="n"/>
      <c r="C434" s="249" t="n"/>
      <c r="D434" s="249" t="n"/>
      <c r="E434" s="249" t="n"/>
      <c r="F434" s="249" t="n"/>
      <c r="G434" s="249" t="n"/>
      <c r="H434" s="249" t="n"/>
      <c r="I434" s="249" t="n"/>
      <c r="J434" s="249" t="n"/>
      <c r="K434" s="249" t="n"/>
      <c r="L434" s="249" t="n"/>
    </row>
    <row r="435" ht="13" customHeight="1" s="250">
      <c r="A435" s="249" t="n"/>
      <c r="B435" s="249" t="n"/>
      <c r="C435" s="249" t="n"/>
      <c r="D435" s="249" t="n"/>
      <c r="E435" s="249" t="n"/>
      <c r="F435" s="249" t="n"/>
      <c r="G435" s="249" t="n"/>
      <c r="H435" s="249" t="n"/>
      <c r="I435" s="249" t="n"/>
      <c r="J435" s="249" t="n"/>
      <c r="K435" s="249" t="n"/>
      <c r="L435" s="249" t="n"/>
    </row>
    <row r="436" ht="13" customHeight="1" s="250">
      <c r="A436" s="249" t="n"/>
      <c r="B436" s="249" t="n"/>
      <c r="C436" s="249" t="n"/>
      <c r="D436" s="249" t="n"/>
      <c r="E436" s="249" t="n"/>
      <c r="F436" s="249" t="n"/>
      <c r="G436" s="249" t="n"/>
      <c r="H436" s="249" t="n"/>
      <c r="I436" s="249" t="n"/>
      <c r="J436" s="249" t="n"/>
      <c r="K436" s="249" t="n"/>
      <c r="L436" s="249" t="n"/>
    </row>
    <row r="437" ht="13" customHeight="1" s="250">
      <c r="A437" s="249" t="n"/>
      <c r="B437" s="249" t="n"/>
      <c r="C437" s="249" t="n"/>
      <c r="D437" s="249" t="n"/>
      <c r="E437" s="249" t="n"/>
      <c r="F437" s="249" t="n"/>
      <c r="G437" s="249" t="n"/>
      <c r="H437" s="249" t="n"/>
      <c r="I437" s="249" t="n"/>
      <c r="J437" s="249" t="n"/>
      <c r="K437" s="249" t="n"/>
      <c r="L437" s="249" t="n"/>
    </row>
    <row r="438" ht="13" customHeight="1" s="250">
      <c r="A438" s="249" t="n"/>
      <c r="B438" s="249" t="n"/>
      <c r="C438" s="249" t="n"/>
      <c r="D438" s="249" t="n"/>
      <c r="E438" s="249" t="n"/>
      <c r="F438" s="249" t="n"/>
      <c r="G438" s="249" t="n"/>
      <c r="H438" s="249" t="n"/>
      <c r="I438" s="249" t="n"/>
      <c r="J438" s="249" t="n"/>
      <c r="K438" s="249" t="n"/>
      <c r="L438" s="249" t="n"/>
    </row>
    <row r="439" ht="13" customHeight="1" s="250">
      <c r="A439" s="249" t="n"/>
      <c r="B439" s="249" t="n"/>
      <c r="C439" s="249" t="n"/>
      <c r="D439" s="249" t="n"/>
      <c r="E439" s="249" t="n"/>
      <c r="F439" s="249" t="n"/>
      <c r="G439" s="249" t="n"/>
      <c r="H439" s="249" t="n"/>
      <c r="I439" s="249" t="n"/>
      <c r="J439" s="249" t="n"/>
      <c r="K439" s="249" t="n"/>
      <c r="L439" s="249" t="n"/>
    </row>
    <row r="440" ht="13" customHeight="1" s="250">
      <c r="A440" s="249" t="n"/>
      <c r="B440" s="249" t="n"/>
      <c r="C440" s="249" t="n"/>
      <c r="D440" s="249" t="n"/>
      <c r="E440" s="249" t="n"/>
      <c r="F440" s="249" t="n"/>
      <c r="G440" s="249" t="n"/>
      <c r="H440" s="249" t="n"/>
      <c r="I440" s="249" t="n"/>
      <c r="J440" s="249" t="n"/>
      <c r="K440" s="249" t="n"/>
      <c r="L440" s="249" t="n"/>
    </row>
    <row r="441" ht="13" customHeight="1" s="250">
      <c r="A441" s="249" t="n"/>
      <c r="B441" s="249" t="n"/>
      <c r="C441" s="249" t="n"/>
      <c r="D441" s="249" t="n"/>
      <c r="E441" s="249" t="n"/>
      <c r="F441" s="249" t="n"/>
      <c r="G441" s="249" t="n"/>
      <c r="H441" s="249" t="n"/>
      <c r="I441" s="249" t="n"/>
      <c r="J441" s="249" t="n"/>
      <c r="K441" s="249" t="n"/>
      <c r="L441" s="249" t="n"/>
    </row>
    <row r="442" ht="13" customHeight="1" s="250">
      <c r="A442" s="249" t="n"/>
      <c r="B442" s="249" t="n"/>
      <c r="C442" s="249" t="n"/>
      <c r="D442" s="249" t="n"/>
      <c r="E442" s="249" t="n"/>
      <c r="F442" s="249" t="n"/>
      <c r="G442" s="249" t="n"/>
      <c r="H442" s="249" t="n"/>
      <c r="I442" s="249" t="n"/>
      <c r="J442" s="249" t="n"/>
      <c r="K442" s="249" t="n"/>
      <c r="L442" s="249" t="n"/>
    </row>
    <row r="443" ht="13" customHeight="1" s="250">
      <c r="A443" s="249" t="n"/>
      <c r="B443" s="249" t="n"/>
      <c r="C443" s="249" t="n"/>
      <c r="D443" s="249" t="n"/>
      <c r="E443" s="249" t="n"/>
      <c r="F443" s="249" t="n"/>
      <c r="G443" s="249" t="n"/>
      <c r="H443" s="249" t="n"/>
      <c r="I443" s="249" t="n"/>
      <c r="J443" s="249" t="n"/>
      <c r="K443" s="249" t="n"/>
      <c r="L443" s="249" t="n"/>
    </row>
    <row r="444" ht="13" customHeight="1" s="250">
      <c r="A444" s="249" t="n"/>
      <c r="B444" s="249" t="n"/>
      <c r="C444" s="249" t="n"/>
      <c r="D444" s="249" t="n"/>
      <c r="E444" s="249" t="n"/>
      <c r="F444" s="249" t="n"/>
      <c r="G444" s="249" t="n"/>
      <c r="H444" s="249" t="n"/>
      <c r="I444" s="249" t="n"/>
      <c r="J444" s="249" t="n"/>
      <c r="K444" s="249" t="n"/>
      <c r="L444" s="249" t="n"/>
    </row>
    <row r="445" ht="13" customHeight="1" s="250">
      <c r="A445" s="249" t="n"/>
      <c r="B445" s="249" t="n"/>
      <c r="C445" s="249" t="n"/>
      <c r="D445" s="249" t="n"/>
      <c r="E445" s="249" t="n"/>
      <c r="F445" s="249" t="n"/>
      <c r="G445" s="249" t="n"/>
      <c r="H445" s="249" t="n"/>
      <c r="I445" s="249" t="n"/>
      <c r="J445" s="249" t="n"/>
      <c r="K445" s="249" t="n"/>
      <c r="L445" s="249" t="n"/>
    </row>
    <row r="446" ht="13" customHeight="1" s="250">
      <c r="A446" s="249" t="n"/>
      <c r="B446" s="249" t="n"/>
      <c r="C446" s="249" t="n"/>
      <c r="D446" s="249" t="n"/>
      <c r="E446" s="249" t="n"/>
      <c r="F446" s="249" t="n"/>
      <c r="G446" s="249" t="n"/>
      <c r="H446" s="249" t="n"/>
      <c r="I446" s="249" t="n"/>
      <c r="J446" s="249" t="n"/>
      <c r="K446" s="249" t="n"/>
      <c r="L446" s="249" t="n"/>
    </row>
    <row r="447" ht="13" customHeight="1" s="250">
      <c r="A447" s="249" t="n"/>
      <c r="B447" s="249" t="n"/>
      <c r="C447" s="249" t="n"/>
      <c r="D447" s="249" t="n"/>
      <c r="E447" s="249" t="n"/>
      <c r="F447" s="249" t="n"/>
      <c r="G447" s="249" t="n"/>
      <c r="H447" s="249" t="n"/>
      <c r="I447" s="249" t="n"/>
      <c r="J447" s="249" t="n"/>
      <c r="K447" s="249" t="n"/>
      <c r="L447" s="249" t="n"/>
    </row>
    <row r="448" ht="13" customHeight="1" s="250">
      <c r="A448" s="249" t="n"/>
      <c r="B448" s="249" t="n"/>
      <c r="C448" s="249" t="n"/>
      <c r="D448" s="249" t="n"/>
      <c r="E448" s="249" t="n"/>
      <c r="F448" s="249" t="n"/>
      <c r="G448" s="249" t="n"/>
      <c r="H448" s="249" t="n"/>
      <c r="I448" s="249" t="n"/>
      <c r="J448" s="249" t="n"/>
      <c r="K448" s="249" t="n"/>
      <c r="L448" s="249" t="n"/>
    </row>
    <row r="449" ht="13" customHeight="1" s="250">
      <c r="A449" s="249" t="n"/>
      <c r="B449" s="249" t="n"/>
      <c r="C449" s="249" t="n"/>
      <c r="D449" s="249" t="n"/>
      <c r="E449" s="249" t="n"/>
      <c r="F449" s="249" t="n"/>
      <c r="G449" s="249" t="n"/>
      <c r="H449" s="249" t="n"/>
      <c r="I449" s="249" t="n"/>
      <c r="J449" s="249" t="n"/>
      <c r="K449" s="249" t="n"/>
      <c r="L449" s="249" t="n"/>
    </row>
    <row r="450" ht="13" customHeight="1" s="250">
      <c r="A450" s="249" t="n"/>
      <c r="B450" s="249" t="n"/>
      <c r="C450" s="249" t="n"/>
      <c r="D450" s="249" t="n"/>
      <c r="E450" s="249" t="n"/>
      <c r="F450" s="249" t="n"/>
      <c r="G450" s="249" t="n"/>
      <c r="H450" s="249" t="n"/>
      <c r="I450" s="249" t="n"/>
      <c r="J450" s="249" t="n"/>
      <c r="K450" s="249" t="n"/>
      <c r="L450" s="249" t="n"/>
    </row>
    <row r="451" ht="13" customHeight="1" s="250">
      <c r="A451" s="249" t="n"/>
      <c r="B451" s="249" t="n"/>
      <c r="C451" s="249" t="n"/>
      <c r="D451" s="249" t="n"/>
      <c r="E451" s="249" t="n"/>
      <c r="F451" s="249" t="n"/>
      <c r="G451" s="249" t="n"/>
      <c r="H451" s="249" t="n"/>
      <c r="I451" s="249" t="n"/>
      <c r="J451" s="249" t="n"/>
      <c r="K451" s="249" t="n"/>
      <c r="L451" s="249" t="n"/>
    </row>
    <row r="452" ht="13" customHeight="1" s="250">
      <c r="A452" s="249" t="n"/>
      <c r="B452" s="249" t="n"/>
      <c r="C452" s="249" t="n"/>
      <c r="D452" s="249" t="n"/>
      <c r="E452" s="249" t="n"/>
      <c r="F452" s="249" t="n"/>
      <c r="G452" s="249" t="n"/>
      <c r="H452" s="249" t="n"/>
      <c r="I452" s="249" t="n"/>
      <c r="J452" s="249" t="n"/>
      <c r="K452" s="249" t="n"/>
      <c r="L452" s="249" t="n"/>
    </row>
    <row r="453" ht="13" customHeight="1" s="250">
      <c r="A453" s="249" t="n"/>
      <c r="B453" s="249" t="n"/>
      <c r="C453" s="249" t="n"/>
      <c r="D453" s="249" t="n"/>
      <c r="E453" s="249" t="n"/>
      <c r="F453" s="249" t="n"/>
      <c r="G453" s="249" t="n"/>
      <c r="H453" s="249" t="n"/>
      <c r="I453" s="249" t="n"/>
      <c r="J453" s="249" t="n"/>
      <c r="K453" s="249" t="n"/>
      <c r="L453" s="249" t="n"/>
    </row>
    <row r="454" ht="13" customHeight="1" s="250">
      <c r="A454" s="249" t="n"/>
      <c r="B454" s="249" t="n"/>
      <c r="C454" s="249" t="n"/>
      <c r="D454" s="249" t="n"/>
      <c r="E454" s="249" t="n"/>
      <c r="F454" s="249" t="n"/>
      <c r="G454" s="249" t="n"/>
      <c r="H454" s="249" t="n"/>
      <c r="I454" s="249" t="n"/>
      <c r="J454" s="249" t="n"/>
      <c r="K454" s="249" t="n"/>
      <c r="L454" s="249" t="n"/>
    </row>
    <row r="455" ht="13" customHeight="1" s="250">
      <c r="A455" s="249" t="n"/>
      <c r="B455" s="249" t="n"/>
      <c r="C455" s="249" t="n"/>
      <c r="D455" s="249" t="n"/>
      <c r="E455" s="249" t="n"/>
      <c r="F455" s="249" t="n"/>
      <c r="G455" s="249" t="n"/>
      <c r="H455" s="249" t="n"/>
      <c r="I455" s="249" t="n"/>
      <c r="J455" s="249" t="n"/>
      <c r="K455" s="249" t="n"/>
      <c r="L455" s="249" t="n"/>
    </row>
    <row r="456" ht="13" customHeight="1" s="250">
      <c r="A456" s="249" t="n"/>
      <c r="B456" s="249" t="n"/>
      <c r="C456" s="249" t="n"/>
      <c r="D456" s="249" t="n"/>
      <c r="E456" s="249" t="n"/>
      <c r="F456" s="249" t="n"/>
      <c r="G456" s="249" t="n"/>
      <c r="H456" s="249" t="n"/>
      <c r="I456" s="249" t="n"/>
      <c r="J456" s="249" t="n"/>
      <c r="K456" s="249" t="n"/>
      <c r="L456" s="249" t="n"/>
    </row>
    <row r="457" ht="13" customHeight="1" s="250">
      <c r="A457" s="249" t="n"/>
      <c r="B457" s="249" t="n"/>
      <c r="C457" s="249" t="n"/>
      <c r="D457" s="249" t="n"/>
      <c r="E457" s="249" t="n"/>
      <c r="F457" s="249" t="n"/>
      <c r="G457" s="249" t="n"/>
      <c r="H457" s="249" t="n"/>
      <c r="I457" s="249" t="n"/>
      <c r="J457" s="249" t="n"/>
      <c r="K457" s="249" t="n"/>
      <c r="L457" s="249" t="n"/>
    </row>
    <row r="458" ht="13" customHeight="1" s="250">
      <c r="A458" s="249" t="n"/>
      <c r="B458" s="249" t="n"/>
      <c r="C458" s="249" t="n"/>
      <c r="D458" s="249" t="n"/>
      <c r="E458" s="249" t="n"/>
      <c r="F458" s="249" t="n"/>
      <c r="G458" s="249" t="n"/>
      <c r="H458" s="249" t="n"/>
      <c r="I458" s="249" t="n"/>
      <c r="J458" s="249" t="n"/>
      <c r="K458" s="249" t="n"/>
      <c r="L458" s="249" t="n"/>
    </row>
    <row r="459" ht="13" customHeight="1" s="250">
      <c r="A459" s="249" t="n"/>
      <c r="B459" s="249" t="n"/>
      <c r="C459" s="249" t="n"/>
      <c r="D459" s="249" t="n"/>
      <c r="E459" s="249" t="n"/>
      <c r="F459" s="249" t="n"/>
      <c r="G459" s="249" t="n"/>
      <c r="H459" s="249" t="n"/>
      <c r="I459" s="249" t="n"/>
      <c r="J459" s="249" t="n"/>
      <c r="K459" s="249" t="n"/>
      <c r="L459" s="249" t="n"/>
    </row>
    <row r="460" ht="13" customHeight="1" s="250">
      <c r="A460" s="249" t="n"/>
      <c r="B460" s="249" t="n"/>
      <c r="C460" s="249" t="n"/>
      <c r="D460" s="249" t="n"/>
      <c r="E460" s="249" t="n"/>
      <c r="F460" s="249" t="n"/>
      <c r="G460" s="249" t="n"/>
      <c r="H460" s="249" t="n"/>
      <c r="I460" s="249" t="n"/>
      <c r="J460" s="249" t="n"/>
      <c r="K460" s="249" t="n"/>
      <c r="L460" s="249" t="n"/>
    </row>
    <row r="461" ht="13" customHeight="1" s="250">
      <c r="A461" s="249" t="n"/>
      <c r="B461" s="249" t="n"/>
      <c r="C461" s="249" t="n"/>
      <c r="D461" s="249" t="n"/>
      <c r="E461" s="249" t="n"/>
      <c r="F461" s="249" t="n"/>
      <c r="G461" s="249" t="n"/>
      <c r="H461" s="249" t="n"/>
      <c r="I461" s="249" t="n"/>
      <c r="J461" s="249" t="n"/>
      <c r="K461" s="249" t="n"/>
      <c r="L461" s="249" t="n"/>
    </row>
    <row r="462" ht="13" customHeight="1" s="250">
      <c r="A462" s="249" t="n"/>
      <c r="B462" s="249" t="n"/>
      <c r="C462" s="249" t="n"/>
      <c r="D462" s="249" t="n"/>
      <c r="E462" s="249" t="n"/>
      <c r="F462" s="249" t="n"/>
      <c r="G462" s="249" t="n"/>
      <c r="H462" s="249" t="n"/>
      <c r="I462" s="249" t="n"/>
      <c r="J462" s="249" t="n"/>
      <c r="K462" s="249" t="n"/>
      <c r="L462" s="249" t="n"/>
    </row>
    <row r="463" ht="13" customHeight="1" s="250">
      <c r="A463" s="249" t="n"/>
      <c r="B463" s="249" t="n"/>
      <c r="C463" s="249" t="n"/>
      <c r="D463" s="249" t="n"/>
      <c r="E463" s="249" t="n"/>
      <c r="F463" s="249" t="n"/>
      <c r="G463" s="249" t="n"/>
      <c r="H463" s="249" t="n"/>
      <c r="I463" s="249" t="n"/>
      <c r="J463" s="249" t="n"/>
      <c r="K463" s="249" t="n"/>
      <c r="L463" s="249" t="n"/>
    </row>
    <row r="464" ht="13" customHeight="1" s="250">
      <c r="A464" s="249" t="n"/>
      <c r="B464" s="249" t="n"/>
      <c r="C464" s="249" t="n"/>
      <c r="D464" s="249" t="n"/>
      <c r="E464" s="249" t="n"/>
      <c r="F464" s="249" t="n"/>
      <c r="G464" s="249" t="n"/>
      <c r="H464" s="249" t="n"/>
      <c r="I464" s="249" t="n"/>
      <c r="J464" s="249" t="n"/>
      <c r="K464" s="249" t="n"/>
      <c r="L464" s="249" t="n"/>
    </row>
    <row r="465" ht="13" customHeight="1" s="250">
      <c r="A465" s="249" t="n"/>
      <c r="B465" s="249" t="n"/>
      <c r="C465" s="249" t="n"/>
      <c r="D465" s="249" t="n"/>
      <c r="E465" s="249" t="n"/>
      <c r="F465" s="249" t="n"/>
      <c r="G465" s="249" t="n"/>
      <c r="H465" s="249" t="n"/>
      <c r="I465" s="249" t="n"/>
      <c r="J465" s="249" t="n"/>
      <c r="K465" s="249" t="n"/>
      <c r="L465" s="249" t="n"/>
    </row>
    <row r="466" ht="13" customHeight="1" s="250">
      <c r="A466" s="249" t="n"/>
      <c r="B466" s="249" t="n"/>
      <c r="C466" s="249" t="n"/>
      <c r="D466" s="249" t="n"/>
      <c r="E466" s="249" t="n"/>
      <c r="F466" s="249" t="n"/>
      <c r="G466" s="249" t="n"/>
      <c r="H466" s="249" t="n"/>
      <c r="I466" s="249" t="n"/>
      <c r="J466" s="249" t="n"/>
      <c r="K466" s="249" t="n"/>
      <c r="L466" s="249" t="n"/>
    </row>
    <row r="467" ht="13" customHeight="1" s="250">
      <c r="A467" s="249" t="n"/>
      <c r="B467" s="249" t="n"/>
      <c r="C467" s="249" t="n"/>
      <c r="D467" s="249" t="n"/>
      <c r="E467" s="249" t="n"/>
      <c r="F467" s="249" t="n"/>
      <c r="G467" s="249" t="n"/>
      <c r="H467" s="249" t="n"/>
      <c r="I467" s="249" t="n"/>
      <c r="J467" s="249" t="n"/>
      <c r="K467" s="249" t="n"/>
      <c r="L467" s="249" t="n"/>
    </row>
    <row r="468" ht="13" customHeight="1" s="250">
      <c r="A468" s="249" t="n"/>
      <c r="B468" s="249" t="n"/>
      <c r="C468" s="249" t="n"/>
      <c r="D468" s="249" t="n"/>
      <c r="E468" s="249" t="n"/>
      <c r="F468" s="249" t="n"/>
      <c r="G468" s="249" t="n"/>
      <c r="H468" s="249" t="n"/>
      <c r="I468" s="249" t="n"/>
      <c r="J468" s="249" t="n"/>
      <c r="K468" s="249" t="n"/>
      <c r="L468" s="249" t="n"/>
    </row>
    <row r="469" ht="13" customHeight="1" s="250">
      <c r="A469" s="249" t="n"/>
      <c r="B469" s="249" t="n"/>
      <c r="C469" s="249" t="n"/>
      <c r="D469" s="249" t="n"/>
      <c r="E469" s="249" t="n"/>
      <c r="F469" s="249" t="n"/>
      <c r="G469" s="249" t="n"/>
      <c r="H469" s="249" t="n"/>
      <c r="I469" s="249" t="n"/>
      <c r="J469" s="249" t="n"/>
      <c r="K469" s="249" t="n"/>
      <c r="L469" s="249" t="n"/>
    </row>
    <row r="470" ht="13" customHeight="1" s="250">
      <c r="A470" s="249" t="n"/>
      <c r="B470" s="249" t="n"/>
      <c r="C470" s="249" t="n"/>
      <c r="D470" s="249" t="n"/>
      <c r="E470" s="249" t="n"/>
      <c r="F470" s="249" t="n"/>
      <c r="G470" s="249" t="n"/>
      <c r="H470" s="249" t="n"/>
      <c r="I470" s="249" t="n"/>
      <c r="J470" s="249" t="n"/>
      <c r="K470" s="249" t="n"/>
      <c r="L470" s="249" t="n"/>
    </row>
    <row r="471" ht="13" customHeight="1" s="250">
      <c r="A471" s="249" t="n"/>
      <c r="B471" s="249" t="n"/>
      <c r="C471" s="249" t="n"/>
      <c r="D471" s="249" t="n"/>
      <c r="E471" s="249" t="n"/>
      <c r="F471" s="249" t="n"/>
      <c r="G471" s="249" t="n"/>
      <c r="H471" s="249" t="n"/>
      <c r="I471" s="249" t="n"/>
      <c r="J471" s="249" t="n"/>
      <c r="K471" s="249" t="n"/>
      <c r="L471" s="249" t="n"/>
    </row>
    <row r="472" ht="13" customHeight="1" s="250">
      <c r="A472" s="249" t="n"/>
      <c r="B472" s="249" t="n"/>
      <c r="C472" s="249" t="n"/>
      <c r="D472" s="249" t="n"/>
      <c r="E472" s="249" t="n"/>
      <c r="F472" s="249" t="n"/>
      <c r="G472" s="249" t="n"/>
      <c r="H472" s="249" t="n"/>
      <c r="I472" s="249" t="n"/>
      <c r="J472" s="249" t="n"/>
      <c r="K472" s="249" t="n"/>
      <c r="L472" s="249" t="n"/>
    </row>
    <row r="473" ht="13" customHeight="1" s="250">
      <c r="A473" s="249" t="n"/>
      <c r="B473" s="249" t="n"/>
      <c r="C473" s="249" t="n"/>
      <c r="D473" s="249" t="n"/>
      <c r="E473" s="249" t="n"/>
      <c r="F473" s="249" t="n"/>
      <c r="G473" s="249" t="n"/>
      <c r="H473" s="249" t="n"/>
      <c r="I473" s="249" t="n"/>
      <c r="J473" s="249" t="n"/>
      <c r="K473" s="249" t="n"/>
      <c r="L473" s="249" t="n"/>
    </row>
    <row r="474" ht="13" customHeight="1" s="250">
      <c r="A474" s="249" t="n"/>
      <c r="B474" s="249" t="n"/>
      <c r="C474" s="249" t="n"/>
      <c r="D474" s="249" t="n"/>
      <c r="E474" s="249" t="n"/>
      <c r="F474" s="249" t="n"/>
      <c r="G474" s="249" t="n"/>
      <c r="H474" s="249" t="n"/>
      <c r="I474" s="249" t="n"/>
      <c r="J474" s="249" t="n"/>
      <c r="K474" s="249" t="n"/>
      <c r="L474" s="249" t="n"/>
    </row>
    <row r="475" ht="13" customHeight="1" s="250">
      <c r="A475" s="249" t="n"/>
      <c r="B475" s="249" t="n"/>
      <c r="C475" s="249" t="n"/>
      <c r="D475" s="249" t="n"/>
      <c r="E475" s="249" t="n"/>
      <c r="F475" s="249" t="n"/>
      <c r="G475" s="249" t="n"/>
      <c r="H475" s="249" t="n"/>
      <c r="I475" s="249" t="n"/>
      <c r="J475" s="249" t="n"/>
      <c r="K475" s="249" t="n"/>
      <c r="L475" s="249" t="n"/>
    </row>
    <row r="476" ht="13" customHeight="1" s="250">
      <c r="A476" s="249" t="n"/>
      <c r="B476" s="249" t="n"/>
      <c r="C476" s="249" t="n"/>
      <c r="D476" s="249" t="n"/>
      <c r="E476" s="249" t="n"/>
      <c r="F476" s="249" t="n"/>
      <c r="G476" s="249" t="n"/>
      <c r="H476" s="249" t="n"/>
      <c r="I476" s="249" t="n"/>
      <c r="J476" s="249" t="n"/>
      <c r="K476" s="249" t="n"/>
      <c r="L476" s="249" t="n"/>
    </row>
    <row r="477" ht="13" customHeight="1" s="250">
      <c r="A477" s="249" t="n"/>
      <c r="B477" s="249" t="n"/>
      <c r="C477" s="249" t="n"/>
      <c r="D477" s="249" t="n"/>
      <c r="E477" s="249" t="n"/>
      <c r="F477" s="249" t="n"/>
      <c r="G477" s="249" t="n"/>
      <c r="H477" s="249" t="n"/>
      <c r="I477" s="249" t="n"/>
      <c r="J477" s="249" t="n"/>
      <c r="K477" s="249" t="n"/>
      <c r="L477" s="249" t="n"/>
    </row>
    <row r="478" ht="13" customHeight="1" s="250">
      <c r="A478" s="249" t="n"/>
      <c r="B478" s="249" t="n"/>
      <c r="C478" s="249" t="n"/>
      <c r="D478" s="249" t="n"/>
      <c r="E478" s="249" t="n"/>
      <c r="F478" s="249" t="n"/>
      <c r="G478" s="249" t="n"/>
      <c r="H478" s="249" t="n"/>
      <c r="I478" s="249" t="n"/>
      <c r="J478" s="249" t="n"/>
      <c r="K478" s="249" t="n"/>
      <c r="L478" s="249" t="n"/>
    </row>
    <row r="479" ht="13" customHeight="1" s="250">
      <c r="A479" s="249" t="n"/>
      <c r="B479" s="249" t="n"/>
      <c r="C479" s="249" t="n"/>
      <c r="D479" s="249" t="n"/>
      <c r="E479" s="249" t="n"/>
      <c r="F479" s="249" t="n"/>
      <c r="G479" s="249" t="n"/>
      <c r="H479" s="249" t="n"/>
      <c r="I479" s="249" t="n"/>
      <c r="J479" s="249" t="n"/>
      <c r="K479" s="249" t="n"/>
      <c r="L479" s="249" t="n"/>
    </row>
    <row r="480" ht="13" customHeight="1" s="250">
      <c r="A480" s="249" t="n"/>
      <c r="B480" s="249" t="n"/>
      <c r="C480" s="249" t="n"/>
      <c r="D480" s="249" t="n"/>
      <c r="E480" s="249" t="n"/>
      <c r="F480" s="249" t="n"/>
      <c r="G480" s="249" t="n"/>
      <c r="H480" s="249" t="n"/>
      <c r="I480" s="249" t="n"/>
      <c r="J480" s="249" t="n"/>
      <c r="K480" s="249" t="n"/>
      <c r="L480" s="249" t="n"/>
    </row>
    <row r="481" ht="13" customHeight="1" s="250">
      <c r="A481" s="249" t="n"/>
      <c r="B481" s="249" t="n"/>
      <c r="C481" s="249" t="n"/>
      <c r="D481" s="249" t="n"/>
      <c r="E481" s="249" t="n"/>
      <c r="F481" s="249" t="n"/>
      <c r="G481" s="249" t="n"/>
      <c r="H481" s="249" t="n"/>
      <c r="I481" s="249" t="n"/>
      <c r="J481" s="249" t="n"/>
      <c r="K481" s="249" t="n"/>
      <c r="L481" s="249" t="n"/>
    </row>
    <row r="482" ht="13" customHeight="1" s="250">
      <c r="A482" s="249" t="n"/>
      <c r="B482" s="249" t="n"/>
      <c r="C482" s="249" t="n"/>
      <c r="D482" s="249" t="n"/>
      <c r="E482" s="249" t="n"/>
      <c r="F482" s="249" t="n"/>
      <c r="G482" s="249" t="n"/>
      <c r="H482" s="249" t="n"/>
      <c r="I482" s="249" t="n"/>
      <c r="J482" s="249" t="n"/>
      <c r="K482" s="249" t="n"/>
      <c r="L482" s="249" t="n"/>
    </row>
    <row r="483" ht="13" customHeight="1" s="250">
      <c r="A483" s="249" t="n"/>
      <c r="B483" s="249" t="n"/>
      <c r="C483" s="249" t="n"/>
      <c r="D483" s="249" t="n"/>
      <c r="E483" s="249" t="n"/>
      <c r="F483" s="249" t="n"/>
      <c r="G483" s="249" t="n"/>
      <c r="H483" s="249" t="n"/>
      <c r="I483" s="249" t="n"/>
      <c r="J483" s="249" t="n"/>
      <c r="K483" s="249" t="n"/>
      <c r="L483" s="249" t="n"/>
    </row>
    <row r="484" ht="13" customHeight="1" s="250">
      <c r="A484" s="249" t="n"/>
      <c r="B484" s="249" t="n"/>
      <c r="C484" s="249" t="n"/>
      <c r="D484" s="249" t="n"/>
      <c r="E484" s="249" t="n"/>
      <c r="F484" s="249" t="n"/>
      <c r="G484" s="249" t="n"/>
      <c r="H484" s="249" t="n"/>
      <c r="I484" s="249" t="n"/>
      <c r="J484" s="249" t="n"/>
      <c r="K484" s="249" t="n"/>
      <c r="L484" s="249" t="n"/>
    </row>
    <row r="485" ht="13" customHeight="1" s="250">
      <c r="A485" s="249" t="n"/>
      <c r="B485" s="249" t="n"/>
      <c r="C485" s="249" t="n"/>
      <c r="D485" s="249" t="n"/>
      <c r="E485" s="249" t="n"/>
      <c r="F485" s="249" t="n"/>
      <c r="G485" s="249" t="n"/>
      <c r="H485" s="249" t="n"/>
      <c r="I485" s="249" t="n"/>
      <c r="J485" s="249" t="n"/>
      <c r="K485" s="249" t="n"/>
      <c r="L485" s="249" t="n"/>
    </row>
    <row r="486" ht="13" customHeight="1" s="250">
      <c r="A486" s="249" t="n"/>
      <c r="B486" s="249" t="n"/>
      <c r="C486" s="249" t="n"/>
      <c r="D486" s="249" t="n"/>
      <c r="E486" s="249" t="n"/>
      <c r="F486" s="249" t="n"/>
      <c r="G486" s="249" t="n"/>
      <c r="H486" s="249" t="n"/>
      <c r="I486" s="249" t="n"/>
      <c r="J486" s="249" t="n"/>
      <c r="K486" s="249" t="n"/>
      <c r="L486" s="249" t="n"/>
    </row>
    <row r="487" ht="13" customHeight="1" s="250">
      <c r="A487" s="249" t="n"/>
      <c r="B487" s="249" t="n"/>
      <c r="C487" s="249" t="n"/>
      <c r="D487" s="249" t="n"/>
      <c r="E487" s="249" t="n"/>
      <c r="F487" s="249" t="n"/>
      <c r="G487" s="249" t="n"/>
      <c r="H487" s="249" t="n"/>
      <c r="I487" s="249" t="n"/>
      <c r="J487" s="249" t="n"/>
      <c r="K487" s="249" t="n"/>
      <c r="L487" s="249" t="n"/>
    </row>
    <row r="488" ht="13" customHeight="1" s="250">
      <c r="A488" s="249" t="n"/>
      <c r="B488" s="249" t="n"/>
      <c r="C488" s="249" t="n"/>
      <c r="D488" s="249" t="n"/>
      <c r="E488" s="249" t="n"/>
      <c r="F488" s="249" t="n"/>
      <c r="G488" s="249" t="n"/>
      <c r="H488" s="249" t="n"/>
      <c r="I488" s="249" t="n"/>
      <c r="J488" s="249" t="n"/>
      <c r="K488" s="249" t="n"/>
      <c r="L488" s="249" t="n"/>
    </row>
    <row r="489" ht="13" customHeight="1" s="250">
      <c r="A489" s="249" t="n"/>
      <c r="B489" s="249" t="n"/>
      <c r="C489" s="249" t="n"/>
      <c r="D489" s="249" t="n"/>
      <c r="E489" s="249" t="n"/>
      <c r="F489" s="249" t="n"/>
      <c r="G489" s="249" t="n"/>
      <c r="H489" s="249" t="n"/>
      <c r="I489" s="249" t="n"/>
      <c r="J489" s="249" t="n"/>
      <c r="K489" s="249" t="n"/>
      <c r="L489" s="249" t="n"/>
    </row>
    <row r="490" ht="13" customHeight="1" s="250">
      <c r="A490" s="249" t="n"/>
      <c r="B490" s="249" t="n"/>
      <c r="C490" s="249" t="n"/>
      <c r="D490" s="249" t="n"/>
      <c r="E490" s="249" t="n"/>
      <c r="F490" s="249" t="n"/>
      <c r="G490" s="249" t="n"/>
      <c r="H490" s="249" t="n"/>
      <c r="I490" s="249" t="n"/>
      <c r="J490" s="249" t="n"/>
      <c r="K490" s="249" t="n"/>
      <c r="L490" s="249" t="n"/>
    </row>
    <row r="491" ht="13" customHeight="1" s="250">
      <c r="A491" s="249" t="n"/>
      <c r="B491" s="249" t="n"/>
      <c r="C491" s="249" t="n"/>
      <c r="D491" s="249" t="n"/>
      <c r="E491" s="249" t="n"/>
      <c r="F491" s="249" t="n"/>
      <c r="G491" s="249" t="n"/>
      <c r="H491" s="249" t="n"/>
      <c r="I491" s="249" t="n"/>
      <c r="J491" s="249" t="n"/>
      <c r="K491" s="249" t="n"/>
      <c r="L491" s="249" t="n"/>
    </row>
    <row r="492" ht="13" customHeight="1" s="250">
      <c r="A492" s="249" t="n"/>
      <c r="B492" s="249" t="n"/>
      <c r="C492" s="249" t="n"/>
      <c r="D492" s="249" t="n"/>
      <c r="E492" s="249" t="n"/>
      <c r="F492" s="249" t="n"/>
      <c r="G492" s="249" t="n"/>
      <c r="H492" s="249" t="n"/>
      <c r="I492" s="249" t="n"/>
      <c r="J492" s="249" t="n"/>
      <c r="K492" s="249" t="n"/>
      <c r="L492" s="249" t="n"/>
    </row>
    <row r="493" ht="13" customHeight="1" s="250">
      <c r="A493" s="249" t="n"/>
      <c r="B493" s="249" t="n"/>
      <c r="C493" s="249" t="n"/>
      <c r="D493" s="249" t="n"/>
      <c r="E493" s="249" t="n"/>
      <c r="F493" s="249" t="n"/>
      <c r="G493" s="249" t="n"/>
      <c r="H493" s="249" t="n"/>
      <c r="I493" s="249" t="n"/>
      <c r="J493" s="249" t="n"/>
      <c r="K493" s="249" t="n"/>
      <c r="L493" s="249" t="n"/>
    </row>
    <row r="494" ht="13" customHeight="1" s="250">
      <c r="A494" s="249" t="n"/>
      <c r="B494" s="249" t="n"/>
      <c r="C494" s="249" t="n"/>
      <c r="D494" s="249" t="n"/>
      <c r="E494" s="249" t="n"/>
      <c r="F494" s="249" t="n"/>
      <c r="G494" s="249" t="n"/>
      <c r="H494" s="249" t="n"/>
      <c r="I494" s="249" t="n"/>
      <c r="J494" s="249" t="n"/>
      <c r="K494" s="249" t="n"/>
      <c r="L494" s="249" t="n"/>
    </row>
    <row r="495" ht="13" customHeight="1" s="250">
      <c r="A495" s="249" t="n"/>
      <c r="B495" s="249" t="n"/>
      <c r="C495" s="249" t="n"/>
      <c r="D495" s="249" t="n"/>
      <c r="E495" s="249" t="n"/>
      <c r="F495" s="249" t="n"/>
      <c r="G495" s="249" t="n"/>
      <c r="H495" s="249" t="n"/>
      <c r="I495" s="249" t="n"/>
      <c r="J495" s="249" t="n"/>
      <c r="K495" s="249" t="n"/>
      <c r="L495" s="249" t="n"/>
    </row>
    <row r="496" ht="13" customHeight="1" s="250">
      <c r="A496" s="249" t="n"/>
      <c r="B496" s="249" t="n"/>
      <c r="C496" s="249" t="n"/>
      <c r="D496" s="249" t="n"/>
      <c r="E496" s="249" t="n"/>
      <c r="F496" s="249" t="n"/>
      <c r="G496" s="249" t="n"/>
      <c r="H496" s="249" t="n"/>
      <c r="I496" s="249" t="n"/>
      <c r="J496" s="249" t="n"/>
      <c r="K496" s="249" t="n"/>
      <c r="L496" s="249" t="n"/>
    </row>
    <row r="497" ht="13" customHeight="1" s="250">
      <c r="A497" s="249" t="n"/>
      <c r="B497" s="249" t="n"/>
      <c r="C497" s="249" t="n"/>
      <c r="D497" s="249" t="n"/>
      <c r="E497" s="249" t="n"/>
      <c r="F497" s="249" t="n"/>
      <c r="G497" s="249" t="n"/>
      <c r="H497" s="249" t="n"/>
      <c r="I497" s="249" t="n"/>
      <c r="J497" s="249" t="n"/>
      <c r="K497" s="249" t="n"/>
      <c r="L497" s="249" t="n"/>
    </row>
    <row r="498" ht="13" customHeight="1" s="250">
      <c r="A498" s="249" t="n"/>
      <c r="B498" s="249" t="n"/>
      <c r="C498" s="249" t="n"/>
      <c r="D498" s="249" t="n"/>
      <c r="E498" s="249" t="n"/>
      <c r="F498" s="249" t="n"/>
      <c r="G498" s="249" t="n"/>
      <c r="H498" s="249" t="n"/>
      <c r="I498" s="249" t="n"/>
      <c r="J498" s="249" t="n"/>
      <c r="K498" s="249" t="n"/>
      <c r="L498" s="249" t="n"/>
    </row>
    <row r="499" ht="13" customHeight="1" s="250">
      <c r="A499" s="249" t="n"/>
      <c r="B499" s="249" t="n"/>
      <c r="C499" s="249" t="n"/>
      <c r="D499" s="249" t="n"/>
      <c r="E499" s="249" t="n"/>
      <c r="F499" s="249" t="n"/>
      <c r="G499" s="249" t="n"/>
      <c r="H499" s="249" t="n"/>
      <c r="I499" s="249" t="n"/>
      <c r="J499" s="249" t="n"/>
      <c r="K499" s="249" t="n"/>
      <c r="L499" s="249" t="n"/>
    </row>
    <row r="500" ht="13" customHeight="1" s="250">
      <c r="A500" s="249" t="n"/>
      <c r="B500" s="249" t="n"/>
      <c r="C500" s="249" t="n"/>
      <c r="D500" s="249" t="n"/>
      <c r="E500" s="249" t="n"/>
      <c r="F500" s="249" t="n"/>
      <c r="G500" s="249" t="n"/>
      <c r="H500" s="249" t="n"/>
      <c r="I500" s="249" t="n"/>
      <c r="J500" s="249" t="n"/>
      <c r="K500" s="249" t="n"/>
      <c r="L500" s="249" t="n"/>
    </row>
    <row r="501" ht="13" customHeight="1" s="250">
      <c r="A501" s="249" t="n"/>
      <c r="B501" s="249" t="n"/>
      <c r="C501" s="249" t="n"/>
      <c r="D501" s="249" t="n"/>
      <c r="E501" s="249" t="n"/>
      <c r="F501" s="249" t="n"/>
      <c r="G501" s="249" t="n"/>
      <c r="H501" s="249" t="n"/>
      <c r="I501" s="249" t="n"/>
      <c r="J501" s="249" t="n"/>
      <c r="K501" s="249" t="n"/>
      <c r="L501" s="249" t="n"/>
    </row>
    <row r="502" ht="13" customHeight="1" s="250">
      <c r="A502" s="249" t="n"/>
      <c r="B502" s="249" t="n"/>
      <c r="C502" s="249" t="n"/>
      <c r="D502" s="249" t="n"/>
      <c r="E502" s="249" t="n"/>
      <c r="F502" s="249" t="n"/>
      <c r="G502" s="249" t="n"/>
      <c r="H502" s="249" t="n"/>
      <c r="I502" s="249" t="n"/>
      <c r="J502" s="249" t="n"/>
      <c r="K502" s="249" t="n"/>
      <c r="L502" s="249" t="n"/>
    </row>
    <row r="503" ht="13" customHeight="1" s="250">
      <c r="A503" s="249" t="n"/>
      <c r="B503" s="249" t="n"/>
      <c r="C503" s="249" t="n"/>
      <c r="D503" s="249" t="n"/>
      <c r="E503" s="249" t="n"/>
      <c r="F503" s="249" t="n"/>
      <c r="G503" s="249" t="n"/>
      <c r="H503" s="249" t="n"/>
      <c r="I503" s="249" t="n"/>
      <c r="J503" s="249" t="n"/>
      <c r="K503" s="249" t="n"/>
      <c r="L503" s="249" t="n"/>
    </row>
    <row r="504" ht="13" customHeight="1" s="250">
      <c r="A504" s="249" t="n"/>
      <c r="B504" s="249" t="n"/>
      <c r="C504" s="249" t="n"/>
      <c r="D504" s="249" t="n"/>
      <c r="E504" s="249" t="n"/>
      <c r="F504" s="249" t="n"/>
      <c r="G504" s="249" t="n"/>
      <c r="H504" s="249" t="n"/>
      <c r="I504" s="249" t="n"/>
      <c r="J504" s="249" t="n"/>
      <c r="K504" s="249" t="n"/>
      <c r="L504" s="249" t="n"/>
    </row>
    <row r="505" ht="13" customHeight="1" s="250">
      <c r="A505" s="249" t="n"/>
      <c r="B505" s="249" t="n"/>
      <c r="C505" s="249" t="n"/>
      <c r="D505" s="249" t="n"/>
      <c r="E505" s="249" t="n"/>
      <c r="F505" s="249" t="n"/>
      <c r="G505" s="249" t="n"/>
      <c r="H505" s="249" t="n"/>
      <c r="I505" s="249" t="n"/>
      <c r="J505" s="249" t="n"/>
      <c r="K505" s="249" t="n"/>
      <c r="L505" s="249" t="n"/>
    </row>
    <row r="506" ht="13" customHeight="1" s="250">
      <c r="A506" s="249" t="n"/>
      <c r="B506" s="249" t="n"/>
      <c r="C506" s="249" t="n"/>
      <c r="D506" s="249" t="n"/>
      <c r="E506" s="249" t="n"/>
      <c r="F506" s="249" t="n"/>
      <c r="G506" s="249" t="n"/>
      <c r="H506" s="249" t="n"/>
      <c r="I506" s="249" t="n"/>
      <c r="J506" s="249" t="n"/>
      <c r="K506" s="249" t="n"/>
      <c r="L506" s="249" t="n"/>
    </row>
    <row r="507" ht="13" customHeight="1" s="250">
      <c r="A507" s="249" t="n"/>
      <c r="B507" s="249" t="n"/>
      <c r="C507" s="249" t="n"/>
      <c r="D507" s="249" t="n"/>
      <c r="E507" s="249" t="n"/>
      <c r="F507" s="249" t="n"/>
      <c r="G507" s="249" t="n"/>
      <c r="H507" s="249" t="n"/>
      <c r="I507" s="249" t="n"/>
      <c r="J507" s="249" t="n"/>
      <c r="K507" s="249" t="n"/>
      <c r="L507" s="249" t="n"/>
    </row>
    <row r="508" ht="13" customHeight="1" s="250">
      <c r="A508" s="249" t="n"/>
      <c r="B508" s="249" t="n"/>
      <c r="C508" s="249" t="n"/>
      <c r="D508" s="249" t="n"/>
      <c r="E508" s="249" t="n"/>
      <c r="F508" s="249" t="n"/>
      <c r="G508" s="249" t="n"/>
      <c r="H508" s="249" t="n"/>
      <c r="I508" s="249" t="n"/>
      <c r="J508" s="249" t="n"/>
      <c r="K508" s="249" t="n"/>
      <c r="L508" s="249" t="n"/>
    </row>
    <row r="509" ht="13" customHeight="1" s="250">
      <c r="A509" s="249" t="n"/>
      <c r="B509" s="249" t="n"/>
      <c r="C509" s="249" t="n"/>
      <c r="D509" s="249" t="n"/>
      <c r="E509" s="249" t="n"/>
      <c r="F509" s="249" t="n"/>
      <c r="G509" s="249" t="n"/>
      <c r="H509" s="249" t="n"/>
      <c r="I509" s="249" t="n"/>
      <c r="J509" s="249" t="n"/>
      <c r="K509" s="249" t="n"/>
      <c r="L509" s="249" t="n"/>
    </row>
    <row r="510" ht="13" customHeight="1" s="250">
      <c r="A510" s="249" t="n"/>
      <c r="B510" s="249" t="n"/>
      <c r="C510" s="249" t="n"/>
      <c r="D510" s="249" t="n"/>
      <c r="E510" s="249" t="n"/>
      <c r="F510" s="249" t="n"/>
      <c r="G510" s="249" t="n"/>
      <c r="H510" s="249" t="n"/>
      <c r="I510" s="249" t="n"/>
      <c r="J510" s="249" t="n"/>
      <c r="K510" s="249" t="n"/>
      <c r="L510" s="249" t="n"/>
    </row>
    <row r="511" ht="13" customHeight="1" s="250">
      <c r="A511" s="249" t="n"/>
      <c r="B511" s="249" t="n"/>
      <c r="C511" s="249" t="n"/>
      <c r="D511" s="249" t="n"/>
      <c r="E511" s="249" t="n"/>
      <c r="F511" s="249" t="n"/>
      <c r="G511" s="249" t="n"/>
      <c r="H511" s="249" t="n"/>
      <c r="I511" s="249" t="n"/>
      <c r="J511" s="249" t="n"/>
      <c r="K511" s="249" t="n"/>
      <c r="L511" s="249" t="n"/>
    </row>
    <row r="512" ht="13" customHeight="1" s="250">
      <c r="A512" s="249" t="n"/>
      <c r="B512" s="249" t="n"/>
      <c r="C512" s="249" t="n"/>
      <c r="D512" s="249" t="n"/>
      <c r="E512" s="249" t="n"/>
      <c r="F512" s="249" t="n"/>
      <c r="G512" s="249" t="n"/>
      <c r="H512" s="249" t="n"/>
      <c r="I512" s="249" t="n"/>
      <c r="J512" s="249" t="n"/>
      <c r="K512" s="249" t="n"/>
      <c r="L512" s="249" t="n"/>
    </row>
    <row r="513" ht="13" customHeight="1" s="250">
      <c r="A513" s="249" t="n"/>
      <c r="B513" s="249" t="n"/>
      <c r="C513" s="249" t="n"/>
      <c r="D513" s="249" t="n"/>
      <c r="E513" s="249" t="n"/>
      <c r="F513" s="249" t="n"/>
      <c r="G513" s="249" t="n"/>
      <c r="H513" s="249" t="n"/>
      <c r="I513" s="249" t="n"/>
      <c r="J513" s="249" t="n"/>
      <c r="K513" s="249" t="n"/>
      <c r="L513" s="249" t="n"/>
    </row>
    <row r="514" ht="13" customHeight="1" s="250">
      <c r="A514" s="249" t="n"/>
      <c r="B514" s="249" t="n"/>
      <c r="C514" s="249" t="n"/>
      <c r="D514" s="249" t="n"/>
      <c r="E514" s="249" t="n"/>
      <c r="F514" s="249" t="n"/>
      <c r="G514" s="249" t="n"/>
      <c r="H514" s="249" t="n"/>
      <c r="I514" s="249" t="n"/>
      <c r="J514" s="249" t="n"/>
      <c r="K514" s="249" t="n"/>
      <c r="L514" s="249" t="n"/>
    </row>
    <row r="515" ht="13" customHeight="1" s="250">
      <c r="A515" s="249" t="n"/>
      <c r="B515" s="249" t="n"/>
      <c r="C515" s="249" t="n"/>
      <c r="D515" s="249" t="n"/>
      <c r="E515" s="249" t="n"/>
      <c r="F515" s="249" t="n"/>
      <c r="G515" s="249" t="n"/>
      <c r="H515" s="249" t="n"/>
      <c r="I515" s="249" t="n"/>
      <c r="J515" s="249" t="n"/>
      <c r="K515" s="249" t="n"/>
      <c r="L515" s="249" t="n"/>
    </row>
    <row r="516" ht="13" customHeight="1" s="250">
      <c r="A516" s="249" t="n"/>
      <c r="B516" s="249" t="n"/>
      <c r="C516" s="249" t="n"/>
      <c r="D516" s="249" t="n"/>
      <c r="E516" s="249" t="n"/>
      <c r="F516" s="249" t="n"/>
      <c r="G516" s="249" t="n"/>
      <c r="H516" s="249" t="n"/>
      <c r="I516" s="249" t="n"/>
      <c r="J516" s="249" t="n"/>
      <c r="K516" s="249" t="n"/>
      <c r="L516" s="249" t="n"/>
    </row>
    <row r="517" ht="13" customHeight="1" s="250">
      <c r="A517" s="249" t="n"/>
      <c r="B517" s="249" t="n"/>
      <c r="C517" s="249" t="n"/>
      <c r="D517" s="249" t="n"/>
      <c r="E517" s="249" t="n"/>
      <c r="F517" s="249" t="n"/>
      <c r="G517" s="249" t="n"/>
      <c r="H517" s="249" t="n"/>
      <c r="I517" s="249" t="n"/>
      <c r="J517" s="249" t="n"/>
      <c r="K517" s="249" t="n"/>
      <c r="L517" s="249" t="n"/>
    </row>
    <row r="518" ht="13" customHeight="1" s="250">
      <c r="A518" s="249" t="n"/>
      <c r="B518" s="249" t="n"/>
      <c r="C518" s="249" t="n"/>
      <c r="D518" s="249" t="n"/>
      <c r="E518" s="249" t="n"/>
      <c r="F518" s="249" t="n"/>
      <c r="G518" s="249" t="n"/>
      <c r="H518" s="249" t="n"/>
      <c r="I518" s="249" t="n"/>
      <c r="J518" s="249" t="n"/>
      <c r="K518" s="249" t="n"/>
      <c r="L518" s="249" t="n"/>
    </row>
    <row r="519" ht="13" customHeight="1" s="250">
      <c r="A519" s="249" t="n"/>
      <c r="B519" s="249" t="n"/>
      <c r="C519" s="249" t="n"/>
      <c r="D519" s="249" t="n"/>
      <c r="E519" s="249" t="n"/>
      <c r="F519" s="249" t="n"/>
      <c r="G519" s="249" t="n"/>
      <c r="H519" s="249" t="n"/>
      <c r="I519" s="249" t="n"/>
      <c r="J519" s="249" t="n"/>
      <c r="K519" s="249" t="n"/>
      <c r="L519" s="249" t="n"/>
    </row>
    <row r="520" ht="13" customHeight="1" s="250">
      <c r="A520" s="249" t="n"/>
      <c r="B520" s="249" t="n"/>
      <c r="C520" s="249" t="n"/>
      <c r="D520" s="249" t="n"/>
      <c r="E520" s="249" t="n"/>
      <c r="F520" s="249" t="n"/>
      <c r="G520" s="249" t="n"/>
      <c r="H520" s="249" t="n"/>
      <c r="I520" s="249" t="n"/>
      <c r="J520" s="249" t="n"/>
      <c r="K520" s="249" t="n"/>
      <c r="L520" s="249" t="n"/>
    </row>
    <row r="521" ht="13" customHeight="1" s="250">
      <c r="A521" s="249" t="n"/>
      <c r="B521" s="249" t="n"/>
      <c r="C521" s="249" t="n"/>
      <c r="D521" s="249" t="n"/>
      <c r="E521" s="249" t="n"/>
      <c r="F521" s="249" t="n"/>
      <c r="G521" s="249" t="n"/>
      <c r="H521" s="249" t="n"/>
      <c r="I521" s="249" t="n"/>
      <c r="J521" s="249" t="n"/>
      <c r="K521" s="249" t="n"/>
      <c r="L521" s="249" t="n"/>
    </row>
    <row r="522" ht="13" customHeight="1" s="250">
      <c r="A522" s="249" t="n"/>
      <c r="B522" s="249" t="n"/>
      <c r="C522" s="249" t="n"/>
      <c r="D522" s="249" t="n"/>
      <c r="E522" s="249" t="n"/>
      <c r="F522" s="249" t="n"/>
      <c r="G522" s="249" t="n"/>
      <c r="H522" s="249" t="n"/>
      <c r="I522" s="249" t="n"/>
      <c r="J522" s="249" t="n"/>
      <c r="K522" s="249" t="n"/>
      <c r="L522" s="249" t="n"/>
    </row>
    <row r="523" ht="13" customHeight="1" s="250">
      <c r="A523" s="249" t="n"/>
      <c r="B523" s="249" t="n"/>
      <c r="C523" s="249" t="n"/>
      <c r="D523" s="249" t="n"/>
      <c r="E523" s="249" t="n"/>
      <c r="F523" s="249" t="n"/>
      <c r="G523" s="249" t="n"/>
      <c r="H523" s="249" t="n"/>
      <c r="I523" s="249" t="n"/>
      <c r="J523" s="249" t="n"/>
      <c r="K523" s="249" t="n"/>
      <c r="L523" s="249" t="n"/>
    </row>
    <row r="524" ht="13" customHeight="1" s="250">
      <c r="A524" s="249" t="n"/>
      <c r="B524" s="249" t="n"/>
      <c r="C524" s="249" t="n"/>
      <c r="D524" s="249" t="n"/>
      <c r="E524" s="249" t="n"/>
      <c r="F524" s="249" t="n"/>
      <c r="G524" s="249" t="n"/>
      <c r="H524" s="249" t="n"/>
      <c r="I524" s="249" t="n"/>
      <c r="J524" s="249" t="n"/>
      <c r="K524" s="249" t="n"/>
      <c r="L524" s="249" t="n"/>
    </row>
    <row r="525" ht="13" customHeight="1" s="250">
      <c r="A525" s="249" t="n"/>
      <c r="B525" s="249" t="n"/>
      <c r="C525" s="249" t="n"/>
      <c r="D525" s="249" t="n"/>
      <c r="E525" s="249" t="n"/>
      <c r="F525" s="249" t="n"/>
      <c r="G525" s="249" t="n"/>
      <c r="H525" s="249" t="n"/>
      <c r="I525" s="249" t="n"/>
      <c r="J525" s="249" t="n"/>
      <c r="K525" s="249" t="n"/>
      <c r="L525" s="249" t="n"/>
    </row>
    <row r="526" ht="13" customHeight="1" s="250">
      <c r="A526" s="249" t="n"/>
      <c r="B526" s="249" t="n"/>
      <c r="C526" s="249" t="n"/>
      <c r="D526" s="249" t="n"/>
      <c r="E526" s="249" t="n"/>
      <c r="F526" s="249" t="n"/>
      <c r="G526" s="249" t="n"/>
      <c r="H526" s="249" t="n"/>
      <c r="I526" s="249" t="n"/>
      <c r="J526" s="249" t="n"/>
      <c r="K526" s="249" t="n"/>
      <c r="L526" s="249" t="n"/>
    </row>
    <row r="527" ht="13" customHeight="1" s="250">
      <c r="A527" s="249" t="n"/>
      <c r="B527" s="249" t="n"/>
      <c r="C527" s="249" t="n"/>
      <c r="D527" s="249" t="n"/>
      <c r="E527" s="249" t="n"/>
      <c r="F527" s="249" t="n"/>
      <c r="G527" s="249" t="n"/>
      <c r="H527" s="249" t="n"/>
      <c r="I527" s="249" t="n"/>
      <c r="J527" s="249" t="n"/>
      <c r="K527" s="249" t="n"/>
      <c r="L527" s="249" t="n"/>
    </row>
    <row r="528" ht="13" customHeight="1" s="250">
      <c r="A528" s="249" t="n"/>
      <c r="B528" s="249" t="n"/>
      <c r="C528" s="249" t="n"/>
      <c r="D528" s="249" t="n"/>
      <c r="E528" s="249" t="n"/>
      <c r="F528" s="249" t="n"/>
      <c r="G528" s="249" t="n"/>
      <c r="H528" s="249" t="n"/>
      <c r="I528" s="249" t="n"/>
      <c r="J528" s="249" t="n"/>
      <c r="K528" s="249" t="n"/>
      <c r="L528" s="249" t="n"/>
    </row>
    <row r="529" ht="13" customHeight="1" s="250">
      <c r="A529" s="249" t="n"/>
      <c r="B529" s="249" t="n"/>
      <c r="C529" s="249" t="n"/>
      <c r="D529" s="249" t="n"/>
      <c r="E529" s="249" t="n"/>
      <c r="F529" s="249" t="n"/>
      <c r="G529" s="249" t="n"/>
      <c r="H529" s="249" t="n"/>
      <c r="I529" s="249" t="n"/>
      <c r="J529" s="249" t="n"/>
      <c r="K529" s="249" t="n"/>
      <c r="L529" s="249" t="n"/>
    </row>
    <row r="530" ht="13" customHeight="1" s="250">
      <c r="A530" s="249" t="n"/>
      <c r="B530" s="249" t="n"/>
      <c r="C530" s="249" t="n"/>
      <c r="D530" s="249" t="n"/>
      <c r="E530" s="249" t="n"/>
      <c r="F530" s="249" t="n"/>
      <c r="G530" s="249" t="n"/>
      <c r="H530" s="249" t="n"/>
      <c r="I530" s="249" t="n"/>
      <c r="J530" s="249" t="n"/>
      <c r="K530" s="249" t="n"/>
      <c r="L530" s="249" t="n"/>
    </row>
    <row r="531" ht="13" customHeight="1" s="250">
      <c r="A531" s="249" t="n"/>
      <c r="B531" s="249" t="n"/>
      <c r="C531" s="249" t="n"/>
      <c r="D531" s="249" t="n"/>
      <c r="E531" s="249" t="n"/>
      <c r="F531" s="249" t="n"/>
      <c r="G531" s="249" t="n"/>
      <c r="H531" s="249" t="n"/>
      <c r="I531" s="249" t="n"/>
      <c r="J531" s="249" t="n"/>
      <c r="K531" s="249" t="n"/>
      <c r="L531" s="249" t="n"/>
    </row>
    <row r="532" ht="13" customHeight="1" s="250">
      <c r="A532" s="249" t="n"/>
      <c r="B532" s="249" t="n"/>
      <c r="C532" s="249" t="n"/>
      <c r="D532" s="249" t="n"/>
      <c r="E532" s="249" t="n"/>
      <c r="F532" s="249" t="n"/>
      <c r="G532" s="249" t="n"/>
      <c r="H532" s="249" t="n"/>
      <c r="I532" s="249" t="n"/>
      <c r="J532" s="249" t="n"/>
      <c r="K532" s="249" t="n"/>
      <c r="L532" s="249" t="n"/>
    </row>
    <row r="533" ht="13" customHeight="1" s="250">
      <c r="A533" s="249" t="n"/>
      <c r="B533" s="249" t="n"/>
      <c r="C533" s="249" t="n"/>
      <c r="D533" s="249" t="n"/>
      <c r="E533" s="249" t="n"/>
      <c r="F533" s="249" t="n"/>
      <c r="G533" s="249" t="n"/>
      <c r="H533" s="249" t="n"/>
      <c r="I533" s="249" t="n"/>
      <c r="J533" s="249" t="n"/>
      <c r="K533" s="249" t="n"/>
      <c r="L533" s="249" t="n"/>
    </row>
    <row r="534" ht="13" customHeight="1" s="250">
      <c r="A534" s="249" t="n"/>
      <c r="B534" s="249" t="n"/>
      <c r="C534" s="249" t="n"/>
      <c r="D534" s="249" t="n"/>
      <c r="E534" s="249" t="n"/>
      <c r="F534" s="249" t="n"/>
      <c r="G534" s="249" t="n"/>
      <c r="H534" s="249" t="n"/>
      <c r="I534" s="249" t="n"/>
      <c r="J534" s="249" t="n"/>
      <c r="K534" s="249" t="n"/>
      <c r="L534" s="249" t="n"/>
    </row>
    <row r="535" ht="13" customHeight="1" s="250">
      <c r="A535" s="249" t="n"/>
      <c r="B535" s="249" t="n"/>
      <c r="C535" s="249" t="n"/>
      <c r="D535" s="249" t="n"/>
      <c r="E535" s="249" t="n"/>
      <c r="F535" s="249" t="n"/>
      <c r="G535" s="249" t="n"/>
      <c r="H535" s="249" t="n"/>
      <c r="I535" s="249" t="n"/>
      <c r="J535" s="249" t="n"/>
      <c r="K535" s="249" t="n"/>
      <c r="L535" s="249" t="n"/>
    </row>
    <row r="536" ht="13" customHeight="1" s="250">
      <c r="A536" s="249" t="n"/>
      <c r="B536" s="249" t="n"/>
      <c r="C536" s="249" t="n"/>
      <c r="D536" s="249" t="n"/>
      <c r="E536" s="249" t="n"/>
      <c r="F536" s="249" t="n"/>
      <c r="G536" s="249" t="n"/>
      <c r="H536" s="249" t="n"/>
      <c r="I536" s="249" t="n"/>
      <c r="J536" s="249" t="n"/>
      <c r="K536" s="249" t="n"/>
      <c r="L536" s="249" t="n"/>
    </row>
    <row r="537" ht="13" customHeight="1" s="250">
      <c r="A537" s="249" t="n"/>
      <c r="B537" s="249" t="n"/>
      <c r="C537" s="249" t="n"/>
      <c r="D537" s="249" t="n"/>
      <c r="E537" s="249" t="n"/>
      <c r="F537" s="249" t="n"/>
      <c r="G537" s="249" t="n"/>
      <c r="H537" s="249" t="n"/>
      <c r="I537" s="249" t="n"/>
      <c r="J537" s="249" t="n"/>
      <c r="K537" s="249" t="n"/>
      <c r="L537" s="249" t="n"/>
    </row>
    <row r="538" ht="13" customHeight="1" s="250">
      <c r="A538" s="249" t="n"/>
      <c r="B538" s="249" t="n"/>
      <c r="C538" s="249" t="n"/>
      <c r="D538" s="249" t="n"/>
      <c r="E538" s="249" t="n"/>
      <c r="F538" s="249" t="n"/>
      <c r="G538" s="249" t="n"/>
      <c r="H538" s="249" t="n"/>
      <c r="I538" s="249" t="n"/>
      <c r="J538" s="249" t="n"/>
      <c r="K538" s="249" t="n"/>
      <c r="L538" s="249" t="n"/>
    </row>
    <row r="539" ht="13" customHeight="1" s="250">
      <c r="A539" s="249" t="n"/>
      <c r="B539" s="249" t="n"/>
      <c r="C539" s="249" t="n"/>
      <c r="D539" s="249" t="n"/>
      <c r="E539" s="249" t="n"/>
      <c r="F539" s="249" t="n"/>
      <c r="G539" s="249" t="n"/>
      <c r="H539" s="249" t="n"/>
      <c r="I539" s="249" t="n"/>
      <c r="J539" s="249" t="n"/>
      <c r="K539" s="249" t="n"/>
      <c r="L539" s="249" t="n"/>
    </row>
    <row r="540" ht="13" customHeight="1" s="250">
      <c r="A540" s="249" t="n"/>
      <c r="B540" s="249" t="n"/>
      <c r="C540" s="249" t="n"/>
      <c r="D540" s="249" t="n"/>
      <c r="E540" s="249" t="n"/>
      <c r="F540" s="249" t="n"/>
      <c r="G540" s="249" t="n"/>
      <c r="H540" s="249" t="n"/>
      <c r="I540" s="249" t="n"/>
      <c r="J540" s="249" t="n"/>
      <c r="K540" s="249" t="n"/>
      <c r="L540" s="249" t="n"/>
    </row>
    <row r="541" ht="13" customHeight="1" s="250">
      <c r="A541" s="249" t="n"/>
      <c r="B541" s="249" t="n"/>
      <c r="C541" s="249" t="n"/>
      <c r="D541" s="249" t="n"/>
      <c r="E541" s="249" t="n"/>
      <c r="F541" s="249" t="n"/>
      <c r="G541" s="249" t="n"/>
      <c r="H541" s="249" t="n"/>
      <c r="I541" s="249" t="n"/>
      <c r="J541" s="249" t="n"/>
      <c r="K541" s="249" t="n"/>
      <c r="L541" s="249" t="n"/>
    </row>
    <row r="542" ht="13" customHeight="1" s="250">
      <c r="A542" s="249" t="n"/>
      <c r="B542" s="249" t="n"/>
      <c r="C542" s="249" t="n"/>
      <c r="D542" s="249" t="n"/>
      <c r="E542" s="249" t="n"/>
      <c r="F542" s="249" t="n"/>
      <c r="G542" s="249" t="n"/>
      <c r="H542" s="249" t="n"/>
      <c r="I542" s="249" t="n"/>
      <c r="J542" s="249" t="n"/>
      <c r="K542" s="249" t="n"/>
      <c r="L542" s="249" t="n"/>
    </row>
    <row r="543" ht="13" customHeight="1" s="250">
      <c r="A543" s="249" t="n"/>
      <c r="B543" s="249" t="n"/>
      <c r="C543" s="249" t="n"/>
      <c r="D543" s="249" t="n"/>
      <c r="E543" s="249" t="n"/>
      <c r="F543" s="249" t="n"/>
      <c r="G543" s="249" t="n"/>
      <c r="H543" s="249" t="n"/>
      <c r="I543" s="249" t="n"/>
      <c r="J543" s="249" t="n"/>
      <c r="K543" s="249" t="n"/>
      <c r="L543" s="249" t="n"/>
    </row>
    <row r="544" ht="13" customHeight="1" s="250">
      <c r="A544" s="249" t="n"/>
      <c r="B544" s="249" t="n"/>
      <c r="C544" s="249" t="n"/>
      <c r="D544" s="249" t="n"/>
      <c r="E544" s="249" t="n"/>
      <c r="F544" s="249" t="n"/>
      <c r="G544" s="249" t="n"/>
      <c r="H544" s="249" t="n"/>
      <c r="I544" s="249" t="n"/>
      <c r="J544" s="249" t="n"/>
      <c r="K544" s="249" t="n"/>
      <c r="L544" s="249" t="n"/>
    </row>
    <row r="545" ht="13" customHeight="1" s="250">
      <c r="A545" s="249" t="n"/>
      <c r="B545" s="249" t="n"/>
      <c r="C545" s="249" t="n"/>
      <c r="D545" s="249" t="n"/>
      <c r="E545" s="249" t="n"/>
      <c r="F545" s="249" t="n"/>
      <c r="G545" s="249" t="n"/>
      <c r="H545" s="249" t="n"/>
      <c r="I545" s="249" t="n"/>
      <c r="J545" s="249" t="n"/>
      <c r="K545" s="249" t="n"/>
      <c r="L545" s="249" t="n"/>
    </row>
    <row r="546" ht="13" customHeight="1" s="250">
      <c r="A546" s="249" t="n"/>
      <c r="B546" s="249" t="n"/>
      <c r="C546" s="249" t="n"/>
      <c r="D546" s="249" t="n"/>
      <c r="E546" s="249" t="n"/>
      <c r="F546" s="249" t="n"/>
      <c r="G546" s="249" t="n"/>
      <c r="H546" s="249" t="n"/>
      <c r="I546" s="249" t="n"/>
      <c r="J546" s="249" t="n"/>
      <c r="K546" s="249" t="n"/>
      <c r="L546" s="249" t="n"/>
    </row>
    <row r="547" ht="13" customHeight="1" s="250">
      <c r="A547" s="249" t="n"/>
      <c r="B547" s="249" t="n"/>
      <c r="C547" s="249" t="n"/>
      <c r="D547" s="249" t="n"/>
      <c r="E547" s="249" t="n"/>
      <c r="F547" s="249" t="n"/>
      <c r="G547" s="249" t="n"/>
      <c r="H547" s="249" t="n"/>
      <c r="I547" s="249" t="n"/>
      <c r="J547" s="249" t="n"/>
      <c r="K547" s="249" t="n"/>
      <c r="L547" s="249" t="n"/>
    </row>
    <row r="548" ht="13" customHeight="1" s="250">
      <c r="A548" s="249" t="n"/>
      <c r="B548" s="249" t="n"/>
      <c r="C548" s="249" t="n"/>
      <c r="D548" s="249" t="n"/>
      <c r="E548" s="249" t="n"/>
      <c r="F548" s="249" t="n"/>
      <c r="G548" s="249" t="n"/>
      <c r="H548" s="249" t="n"/>
      <c r="I548" s="249" t="n"/>
      <c r="J548" s="249" t="n"/>
      <c r="K548" s="249" t="n"/>
      <c r="L548" s="249" t="n"/>
    </row>
    <row r="549" ht="13" customHeight="1" s="250">
      <c r="A549" s="249" t="n"/>
      <c r="B549" s="249" t="n"/>
      <c r="C549" s="249" t="n"/>
      <c r="D549" s="249" t="n"/>
      <c r="E549" s="249" t="n"/>
      <c r="F549" s="249" t="n"/>
      <c r="G549" s="249" t="n"/>
      <c r="H549" s="249" t="n"/>
      <c r="I549" s="249" t="n"/>
      <c r="J549" s="249" t="n"/>
      <c r="K549" s="249" t="n"/>
      <c r="L549" s="249" t="n"/>
    </row>
    <row r="550" ht="13" customHeight="1" s="250">
      <c r="A550" s="249" t="n"/>
      <c r="B550" s="249" t="n"/>
      <c r="C550" s="249" t="n"/>
      <c r="D550" s="249" t="n"/>
      <c r="E550" s="249" t="n"/>
      <c r="F550" s="249" t="n"/>
      <c r="G550" s="249" t="n"/>
      <c r="H550" s="249" t="n"/>
      <c r="I550" s="249" t="n"/>
      <c r="J550" s="249" t="n"/>
      <c r="K550" s="249" t="n"/>
      <c r="L550" s="249" t="n"/>
    </row>
    <row r="551" ht="13" customHeight="1" s="250">
      <c r="A551" s="249" t="n"/>
      <c r="B551" s="249" t="n"/>
      <c r="C551" s="249" t="n"/>
      <c r="D551" s="249" t="n"/>
      <c r="E551" s="249" t="n"/>
      <c r="F551" s="249" t="n"/>
      <c r="G551" s="249" t="n"/>
      <c r="H551" s="249" t="n"/>
      <c r="I551" s="249" t="n"/>
      <c r="J551" s="249" t="n"/>
      <c r="K551" s="249" t="n"/>
      <c r="L551" s="249" t="n"/>
    </row>
    <row r="552" ht="13" customHeight="1" s="250">
      <c r="A552" s="249" t="n"/>
      <c r="B552" s="249" t="n"/>
      <c r="C552" s="249" t="n"/>
      <c r="D552" s="249" t="n"/>
      <c r="E552" s="249" t="n"/>
      <c r="F552" s="249" t="n"/>
      <c r="G552" s="249" t="n"/>
      <c r="H552" s="249" t="n"/>
      <c r="I552" s="249" t="n"/>
      <c r="J552" s="249" t="n"/>
      <c r="K552" s="249" t="n"/>
      <c r="L552" s="249" t="n"/>
    </row>
    <row r="553" ht="13" customHeight="1" s="250">
      <c r="A553" s="249" t="n"/>
      <c r="B553" s="249" t="n"/>
      <c r="C553" s="249" t="n"/>
      <c r="D553" s="249" t="n"/>
      <c r="E553" s="249" t="n"/>
      <c r="F553" s="249" t="n"/>
      <c r="G553" s="249" t="n"/>
      <c r="H553" s="249" t="n"/>
      <c r="I553" s="249" t="n"/>
      <c r="J553" s="249" t="n"/>
      <c r="K553" s="249" t="n"/>
      <c r="L553" s="249" t="n"/>
    </row>
    <row r="554" ht="13" customHeight="1" s="250">
      <c r="A554" s="249" t="n"/>
      <c r="B554" s="249" t="n"/>
      <c r="C554" s="249" t="n"/>
      <c r="D554" s="249" t="n"/>
      <c r="E554" s="249" t="n"/>
      <c r="F554" s="249" t="n"/>
      <c r="G554" s="249" t="n"/>
      <c r="H554" s="249" t="n"/>
      <c r="I554" s="249" t="n"/>
      <c r="J554" s="249" t="n"/>
      <c r="K554" s="249" t="n"/>
      <c r="L554" s="249" t="n"/>
    </row>
    <row r="555" ht="13" customHeight="1" s="250">
      <c r="A555" s="249" t="n"/>
      <c r="B555" s="249" t="n"/>
      <c r="C555" s="249" t="n"/>
      <c r="D555" s="249" t="n"/>
      <c r="E555" s="249" t="n"/>
      <c r="F555" s="249" t="n"/>
      <c r="G555" s="249" t="n"/>
      <c r="H555" s="249" t="n"/>
      <c r="I555" s="249" t="n"/>
      <c r="J555" s="249" t="n"/>
      <c r="K555" s="249" t="n"/>
      <c r="L555" s="249" t="n"/>
    </row>
    <row r="556" ht="13" customHeight="1" s="250">
      <c r="A556" s="249" t="n"/>
      <c r="B556" s="249" t="n"/>
      <c r="C556" s="249" t="n"/>
      <c r="D556" s="249" t="n"/>
      <c r="E556" s="249" t="n"/>
      <c r="F556" s="249" t="n"/>
      <c r="G556" s="249" t="n"/>
      <c r="H556" s="249" t="n"/>
      <c r="I556" s="249" t="n"/>
      <c r="J556" s="249" t="n"/>
      <c r="K556" s="249" t="n"/>
      <c r="L556" s="249" t="n"/>
    </row>
    <row r="557" ht="13" customHeight="1" s="250">
      <c r="A557" s="249" t="n"/>
      <c r="B557" s="249" t="n"/>
      <c r="C557" s="249" t="n"/>
      <c r="D557" s="249" t="n"/>
      <c r="E557" s="249" t="n"/>
      <c r="F557" s="249" t="n"/>
      <c r="G557" s="249" t="n"/>
      <c r="H557" s="249" t="n"/>
      <c r="I557" s="249" t="n"/>
      <c r="J557" s="249" t="n"/>
      <c r="K557" s="249" t="n"/>
      <c r="L557" s="249" t="n"/>
    </row>
    <row r="558" ht="13" customHeight="1" s="250">
      <c r="A558" s="249" t="n"/>
      <c r="B558" s="249" t="n"/>
      <c r="C558" s="249" t="n"/>
      <c r="D558" s="249" t="n"/>
      <c r="E558" s="249" t="n"/>
      <c r="F558" s="249" t="n"/>
      <c r="G558" s="249" t="n"/>
      <c r="H558" s="249" t="n"/>
      <c r="I558" s="249" t="n"/>
      <c r="J558" s="249" t="n"/>
      <c r="K558" s="249" t="n"/>
      <c r="L558" s="249" t="n"/>
    </row>
    <row r="559" ht="13" customHeight="1" s="250">
      <c r="A559" s="249" t="n"/>
      <c r="B559" s="249" t="n"/>
      <c r="C559" s="249" t="n"/>
      <c r="D559" s="249" t="n"/>
      <c r="E559" s="249" t="n"/>
      <c r="F559" s="249" t="n"/>
      <c r="G559" s="249" t="n"/>
      <c r="H559" s="249" t="n"/>
      <c r="I559" s="249" t="n"/>
      <c r="J559" s="249" t="n"/>
      <c r="K559" s="249" t="n"/>
      <c r="L559" s="249" t="n"/>
    </row>
    <row r="560" ht="13" customHeight="1" s="250">
      <c r="A560" s="249" t="n"/>
      <c r="B560" s="249" t="n"/>
      <c r="C560" s="249" t="n"/>
      <c r="D560" s="249" t="n"/>
      <c r="E560" s="249" t="n"/>
      <c r="F560" s="249" t="n"/>
      <c r="G560" s="249" t="n"/>
      <c r="H560" s="249" t="n"/>
      <c r="I560" s="249" t="n"/>
      <c r="J560" s="249" t="n"/>
      <c r="K560" s="249" t="n"/>
      <c r="L560" s="249" t="n"/>
    </row>
    <row r="561" ht="13" customHeight="1" s="250">
      <c r="A561" s="249" t="n"/>
      <c r="B561" s="249" t="n"/>
      <c r="C561" s="249" t="n"/>
      <c r="D561" s="249" t="n"/>
      <c r="E561" s="249" t="n"/>
      <c r="F561" s="249" t="n"/>
      <c r="G561" s="249" t="n"/>
      <c r="H561" s="249" t="n"/>
      <c r="I561" s="249" t="n"/>
      <c r="J561" s="249" t="n"/>
      <c r="K561" s="249" t="n"/>
      <c r="L561" s="249" t="n"/>
    </row>
    <row r="562" ht="13" customHeight="1" s="250">
      <c r="A562" s="249" t="n"/>
      <c r="B562" s="249" t="n"/>
      <c r="C562" s="249" t="n"/>
      <c r="D562" s="249" t="n"/>
      <c r="E562" s="249" t="n"/>
      <c r="F562" s="249" t="n"/>
      <c r="G562" s="249" t="n"/>
      <c r="H562" s="249" t="n"/>
      <c r="I562" s="249" t="n"/>
      <c r="J562" s="249" t="n"/>
      <c r="K562" s="249" t="n"/>
      <c r="L562" s="249" t="n"/>
    </row>
    <row r="563" ht="13" customHeight="1" s="250">
      <c r="A563" s="249" t="n"/>
      <c r="B563" s="249" t="n"/>
      <c r="C563" s="249" t="n"/>
      <c r="D563" s="249" t="n"/>
      <c r="E563" s="249" t="n"/>
      <c r="F563" s="249" t="n"/>
      <c r="G563" s="249" t="n"/>
      <c r="H563" s="249" t="n"/>
      <c r="I563" s="249" t="n"/>
      <c r="J563" s="249" t="n"/>
      <c r="K563" s="249" t="n"/>
      <c r="L563" s="249" t="n"/>
    </row>
    <row r="564" ht="13" customHeight="1" s="250">
      <c r="A564" s="249" t="n"/>
      <c r="B564" s="249" t="n"/>
      <c r="C564" s="249" t="n"/>
      <c r="D564" s="249" t="n"/>
      <c r="E564" s="249" t="n"/>
      <c r="F564" s="249" t="n"/>
      <c r="G564" s="249" t="n"/>
      <c r="H564" s="249" t="n"/>
      <c r="I564" s="249" t="n"/>
      <c r="J564" s="249" t="n"/>
      <c r="K564" s="249" t="n"/>
      <c r="L564" s="249" t="n"/>
    </row>
    <row r="565" ht="13" customHeight="1" s="250">
      <c r="A565" s="249" t="n"/>
      <c r="B565" s="249" t="n"/>
      <c r="C565" s="249" t="n"/>
      <c r="D565" s="249" t="n"/>
      <c r="E565" s="249" t="n"/>
      <c r="F565" s="249" t="n"/>
      <c r="G565" s="249" t="n"/>
      <c r="H565" s="249" t="n"/>
      <c r="I565" s="249" t="n"/>
      <c r="J565" s="249" t="n"/>
      <c r="K565" s="249" t="n"/>
      <c r="L565" s="249" t="n"/>
    </row>
    <row r="566" ht="13" customHeight="1" s="250">
      <c r="A566" s="249" t="n"/>
      <c r="B566" s="249" t="n"/>
      <c r="C566" s="249" t="n"/>
      <c r="D566" s="249" t="n"/>
      <c r="E566" s="249" t="n"/>
      <c r="F566" s="249" t="n"/>
      <c r="G566" s="249" t="n"/>
      <c r="H566" s="249" t="n"/>
      <c r="I566" s="249" t="n"/>
      <c r="J566" s="249" t="n"/>
      <c r="K566" s="249" t="n"/>
      <c r="L566" s="249" t="n"/>
    </row>
    <row r="567" ht="13" customHeight="1" s="250">
      <c r="A567" s="249" t="n"/>
      <c r="B567" s="249" t="n"/>
      <c r="C567" s="249" t="n"/>
      <c r="D567" s="249" t="n"/>
      <c r="E567" s="249" t="n"/>
      <c r="F567" s="249" t="n"/>
      <c r="G567" s="249" t="n"/>
      <c r="H567" s="249" t="n"/>
      <c r="I567" s="249" t="n"/>
      <c r="J567" s="249" t="n"/>
      <c r="K567" s="249" t="n"/>
      <c r="L567" s="249" t="n"/>
    </row>
    <row r="568" ht="13" customHeight="1" s="250">
      <c r="A568" s="249" t="n"/>
      <c r="B568" s="249" t="n"/>
      <c r="C568" s="249" t="n"/>
      <c r="D568" s="249" t="n"/>
      <c r="E568" s="249" t="n"/>
      <c r="F568" s="249" t="n"/>
      <c r="G568" s="249" t="n"/>
      <c r="H568" s="249" t="n"/>
      <c r="I568" s="249" t="n"/>
      <c r="J568" s="249" t="n"/>
      <c r="K568" s="249" t="n"/>
      <c r="L568" s="249" t="n"/>
    </row>
    <row r="569" ht="13" customHeight="1" s="250">
      <c r="A569" s="249" t="n"/>
      <c r="B569" s="249" t="n"/>
      <c r="C569" s="249" t="n"/>
      <c r="D569" s="249" t="n"/>
      <c r="E569" s="249" t="n"/>
      <c r="F569" s="249" t="n"/>
      <c r="G569" s="249" t="n"/>
      <c r="H569" s="249" t="n"/>
      <c r="I569" s="249" t="n"/>
      <c r="J569" s="249" t="n"/>
      <c r="K569" s="249" t="n"/>
      <c r="L569" s="249" t="n"/>
    </row>
    <row r="570" ht="13" customHeight="1" s="250">
      <c r="A570" s="249" t="n"/>
      <c r="B570" s="249" t="n"/>
      <c r="C570" s="249" t="n"/>
      <c r="D570" s="249" t="n"/>
      <c r="E570" s="249" t="n"/>
      <c r="F570" s="249" t="n"/>
      <c r="G570" s="249" t="n"/>
      <c r="H570" s="249" t="n"/>
      <c r="I570" s="249" t="n"/>
      <c r="J570" s="249" t="n"/>
      <c r="K570" s="249" t="n"/>
      <c r="L570" s="249" t="n"/>
    </row>
    <row r="571" ht="13" customHeight="1" s="250">
      <c r="A571" s="249" t="n"/>
      <c r="B571" s="249" t="n"/>
      <c r="C571" s="249" t="n"/>
      <c r="D571" s="249" t="n"/>
      <c r="E571" s="249" t="n"/>
      <c r="F571" s="249" t="n"/>
      <c r="G571" s="249" t="n"/>
      <c r="H571" s="249" t="n"/>
      <c r="I571" s="249" t="n"/>
      <c r="J571" s="249" t="n"/>
      <c r="K571" s="249" t="n"/>
      <c r="L571" s="249" t="n"/>
    </row>
    <row r="572" ht="13" customHeight="1" s="250">
      <c r="A572" s="249" t="n"/>
      <c r="B572" s="249" t="n"/>
      <c r="C572" s="249" t="n"/>
      <c r="D572" s="249" t="n"/>
      <c r="E572" s="249" t="n"/>
      <c r="F572" s="249" t="n"/>
      <c r="G572" s="249" t="n"/>
      <c r="H572" s="249" t="n"/>
      <c r="I572" s="249" t="n"/>
      <c r="J572" s="249" t="n"/>
      <c r="K572" s="249" t="n"/>
      <c r="L572" s="249" t="n"/>
    </row>
    <row r="573" ht="13" customHeight="1" s="250">
      <c r="A573" s="249" t="n"/>
      <c r="B573" s="249" t="n"/>
      <c r="C573" s="249" t="n"/>
      <c r="D573" s="249" t="n"/>
      <c r="E573" s="249" t="n"/>
      <c r="F573" s="249" t="n"/>
      <c r="G573" s="249" t="n"/>
      <c r="H573" s="249" t="n"/>
      <c r="I573" s="249" t="n"/>
      <c r="J573" s="249" t="n"/>
      <c r="K573" s="249" t="n"/>
      <c r="L573" s="249" t="n"/>
    </row>
    <row r="574" ht="13" customHeight="1" s="250">
      <c r="A574" s="249" t="n"/>
      <c r="B574" s="249" t="n"/>
      <c r="C574" s="249" t="n"/>
      <c r="D574" s="249" t="n"/>
      <c r="E574" s="249" t="n"/>
      <c r="F574" s="249" t="n"/>
      <c r="G574" s="249" t="n"/>
      <c r="H574" s="249" t="n"/>
      <c r="I574" s="249" t="n"/>
      <c r="J574" s="249" t="n"/>
      <c r="K574" s="249" t="n"/>
      <c r="L574" s="249" t="n"/>
    </row>
    <row r="575" ht="13" customHeight="1" s="250">
      <c r="A575" s="249" t="n"/>
      <c r="B575" s="249" t="n"/>
      <c r="C575" s="249" t="n"/>
      <c r="D575" s="249" t="n"/>
      <c r="E575" s="249" t="n"/>
      <c r="F575" s="249" t="n"/>
      <c r="G575" s="249" t="n"/>
      <c r="H575" s="249" t="n"/>
      <c r="I575" s="249" t="n"/>
      <c r="J575" s="249" t="n"/>
      <c r="K575" s="249" t="n"/>
      <c r="L575" s="249" t="n"/>
    </row>
    <row r="576" ht="13" customHeight="1" s="250">
      <c r="A576" s="249" t="n"/>
      <c r="B576" s="249" t="n"/>
      <c r="C576" s="249" t="n"/>
      <c r="D576" s="249" t="n"/>
      <c r="E576" s="249" t="n"/>
      <c r="F576" s="249" t="n"/>
      <c r="G576" s="249" t="n"/>
      <c r="H576" s="249" t="n"/>
      <c r="I576" s="249" t="n"/>
      <c r="J576" s="249" t="n"/>
      <c r="K576" s="249" t="n"/>
      <c r="L576" s="249" t="n"/>
    </row>
    <row r="577" ht="13" customHeight="1" s="250">
      <c r="A577" s="249" t="n"/>
      <c r="B577" s="249" t="n"/>
      <c r="C577" s="249" t="n"/>
      <c r="D577" s="249" t="n"/>
      <c r="E577" s="249" t="n"/>
      <c r="F577" s="249" t="n"/>
      <c r="G577" s="249" t="n"/>
      <c r="H577" s="249" t="n"/>
      <c r="I577" s="249" t="n"/>
      <c r="J577" s="249" t="n"/>
      <c r="K577" s="249" t="n"/>
      <c r="L577" s="249" t="n"/>
    </row>
    <row r="578" ht="13" customHeight="1" s="250">
      <c r="A578" s="249" t="n"/>
      <c r="B578" s="249" t="n"/>
      <c r="C578" s="249" t="n"/>
      <c r="D578" s="249" t="n"/>
      <c r="E578" s="249" t="n"/>
      <c r="F578" s="249" t="n"/>
      <c r="G578" s="249" t="n"/>
      <c r="H578" s="249" t="n"/>
      <c r="I578" s="249" t="n"/>
      <c r="J578" s="249" t="n"/>
      <c r="K578" s="249" t="n"/>
      <c r="L578" s="249" t="n"/>
    </row>
    <row r="579" ht="13" customHeight="1" s="250">
      <c r="A579" s="249" t="n"/>
      <c r="B579" s="249" t="n"/>
      <c r="C579" s="249" t="n"/>
      <c r="D579" s="249" t="n"/>
      <c r="E579" s="249" t="n"/>
      <c r="F579" s="249" t="n"/>
      <c r="G579" s="249" t="n"/>
      <c r="H579" s="249" t="n"/>
      <c r="I579" s="249" t="n"/>
      <c r="J579" s="249" t="n"/>
      <c r="K579" s="249" t="n"/>
      <c r="L579" s="249" t="n"/>
    </row>
    <row r="580" ht="13" customHeight="1" s="250">
      <c r="A580" s="249" t="n"/>
      <c r="B580" s="249" t="n"/>
      <c r="C580" s="249" t="n"/>
      <c r="D580" s="249" t="n"/>
      <c r="E580" s="249" t="n"/>
      <c r="F580" s="249" t="n"/>
      <c r="G580" s="249" t="n"/>
      <c r="H580" s="249" t="n"/>
      <c r="I580" s="249" t="n"/>
      <c r="J580" s="249" t="n"/>
      <c r="K580" s="249" t="n"/>
      <c r="L580" s="249" t="n"/>
    </row>
    <row r="581" ht="13" customHeight="1" s="250">
      <c r="A581" s="249" t="n"/>
      <c r="B581" s="249" t="n"/>
      <c r="C581" s="249" t="n"/>
      <c r="D581" s="249" t="n"/>
      <c r="E581" s="249" t="n"/>
      <c r="F581" s="249" t="n"/>
      <c r="G581" s="249" t="n"/>
      <c r="H581" s="249" t="n"/>
      <c r="I581" s="249" t="n"/>
      <c r="J581" s="249" t="n"/>
      <c r="K581" s="249" t="n"/>
      <c r="L581" s="249" t="n"/>
    </row>
    <row r="582" ht="13" customHeight="1" s="250">
      <c r="A582" s="249" t="n"/>
      <c r="B582" s="249" t="n"/>
      <c r="C582" s="249" t="n"/>
      <c r="D582" s="249" t="n"/>
      <c r="E582" s="249" t="n"/>
      <c r="F582" s="249" t="n"/>
      <c r="G582" s="249" t="n"/>
      <c r="H582" s="249" t="n"/>
      <c r="I582" s="249" t="n"/>
      <c r="J582" s="249" t="n"/>
      <c r="K582" s="249" t="n"/>
      <c r="L582" s="249" t="n"/>
    </row>
    <row r="583" ht="13" customHeight="1" s="250">
      <c r="A583" s="249" t="n"/>
      <c r="B583" s="249" t="n"/>
      <c r="C583" s="249" t="n"/>
      <c r="D583" s="249" t="n"/>
      <c r="E583" s="249" t="n"/>
      <c r="F583" s="249" t="n"/>
      <c r="G583" s="249" t="n"/>
      <c r="H583" s="249" t="n"/>
      <c r="I583" s="249" t="n"/>
      <c r="J583" s="249" t="n"/>
      <c r="K583" s="249" t="n"/>
      <c r="L583" s="249" t="n"/>
    </row>
    <row r="584" ht="13" customHeight="1" s="250">
      <c r="A584" s="249" t="n"/>
      <c r="B584" s="249" t="n"/>
      <c r="C584" s="249" t="n"/>
      <c r="D584" s="249" t="n"/>
      <c r="E584" s="249" t="n"/>
      <c r="F584" s="249" t="n"/>
      <c r="G584" s="249" t="n"/>
      <c r="H584" s="249" t="n"/>
      <c r="I584" s="249" t="n"/>
      <c r="J584" s="249" t="n"/>
      <c r="K584" s="249" t="n"/>
      <c r="L584" s="249" t="n"/>
    </row>
    <row r="585" ht="13" customHeight="1" s="250">
      <c r="A585" s="249" t="n"/>
      <c r="B585" s="249" t="n"/>
      <c r="C585" s="249" t="n"/>
      <c r="D585" s="249" t="n"/>
      <c r="E585" s="249" t="n"/>
      <c r="F585" s="249" t="n"/>
      <c r="G585" s="249" t="n"/>
      <c r="H585" s="249" t="n"/>
      <c r="I585" s="249" t="n"/>
      <c r="J585" s="249" t="n"/>
      <c r="K585" s="249" t="n"/>
      <c r="L585" s="249" t="n"/>
    </row>
    <row r="586" ht="13" customHeight="1" s="250">
      <c r="A586" s="249" t="n"/>
      <c r="B586" s="249" t="n"/>
      <c r="C586" s="249" t="n"/>
      <c r="D586" s="249" t="n"/>
      <c r="E586" s="249" t="n"/>
      <c r="F586" s="249" t="n"/>
      <c r="G586" s="249" t="n"/>
      <c r="H586" s="249" t="n"/>
      <c r="I586" s="249" t="n"/>
      <c r="J586" s="249" t="n"/>
      <c r="K586" s="249" t="n"/>
      <c r="L586" s="249" t="n"/>
    </row>
    <row r="587" ht="13" customHeight="1" s="250">
      <c r="A587" s="249" t="n"/>
      <c r="B587" s="249" t="n"/>
      <c r="C587" s="249" t="n"/>
      <c r="D587" s="249" t="n"/>
      <c r="E587" s="249" t="n"/>
      <c r="F587" s="249" t="n"/>
      <c r="G587" s="249" t="n"/>
      <c r="H587" s="249" t="n"/>
      <c r="I587" s="249" t="n"/>
      <c r="J587" s="249" t="n"/>
      <c r="K587" s="249" t="n"/>
      <c r="L587" s="249" t="n"/>
    </row>
    <row r="588" ht="13" customHeight="1" s="250">
      <c r="A588" s="249" t="n"/>
      <c r="B588" s="249" t="n"/>
      <c r="C588" s="249" t="n"/>
      <c r="D588" s="249" t="n"/>
      <c r="E588" s="249" t="n"/>
      <c r="F588" s="249" t="n"/>
      <c r="G588" s="249" t="n"/>
      <c r="H588" s="249" t="n"/>
      <c r="I588" s="249" t="n"/>
      <c r="J588" s="249" t="n"/>
      <c r="K588" s="249" t="n"/>
      <c r="L588" s="249" t="n"/>
    </row>
    <row r="589" ht="13" customHeight="1" s="250">
      <c r="A589" s="249" t="n"/>
      <c r="B589" s="249" t="n"/>
      <c r="C589" s="249" t="n"/>
      <c r="D589" s="249" t="n"/>
      <c r="E589" s="249" t="n"/>
      <c r="F589" s="249" t="n"/>
      <c r="G589" s="249" t="n"/>
      <c r="H589" s="249" t="n"/>
      <c r="I589" s="249" t="n"/>
      <c r="J589" s="249" t="n"/>
      <c r="K589" s="249" t="n"/>
      <c r="L589" s="249" t="n"/>
    </row>
    <row r="590" ht="13" customHeight="1" s="250">
      <c r="A590" s="249" t="n"/>
      <c r="B590" s="249" t="n"/>
      <c r="C590" s="249" t="n"/>
      <c r="D590" s="249" t="n"/>
      <c r="E590" s="249" t="n"/>
      <c r="F590" s="249" t="n"/>
      <c r="G590" s="249" t="n"/>
      <c r="H590" s="249" t="n"/>
      <c r="I590" s="249" t="n"/>
      <c r="J590" s="249" t="n"/>
      <c r="K590" s="249" t="n"/>
      <c r="L590" s="249" t="n"/>
    </row>
    <row r="591" ht="13" customHeight="1" s="250">
      <c r="A591" s="249" t="n"/>
      <c r="B591" s="249" t="n"/>
      <c r="C591" s="249" t="n"/>
      <c r="D591" s="249" t="n"/>
      <c r="E591" s="249" t="n"/>
      <c r="F591" s="249" t="n"/>
      <c r="G591" s="249" t="n"/>
      <c r="H591" s="249" t="n"/>
      <c r="I591" s="249" t="n"/>
      <c r="J591" s="249" t="n"/>
      <c r="K591" s="249" t="n"/>
      <c r="L591" s="249" t="n"/>
    </row>
    <row r="592" ht="13" customHeight="1" s="250">
      <c r="A592" s="249" t="n"/>
      <c r="B592" s="249" t="n"/>
      <c r="C592" s="249" t="n"/>
      <c r="D592" s="249" t="n"/>
      <c r="E592" s="249" t="n"/>
      <c r="F592" s="249" t="n"/>
      <c r="G592" s="249" t="n"/>
      <c r="H592" s="249" t="n"/>
      <c r="I592" s="249" t="n"/>
      <c r="J592" s="249" t="n"/>
      <c r="K592" s="249" t="n"/>
      <c r="L592" s="249" t="n"/>
    </row>
    <row r="593" ht="13" customHeight="1" s="250">
      <c r="A593" s="249" t="n"/>
      <c r="B593" s="249" t="n"/>
      <c r="C593" s="249" t="n"/>
      <c r="D593" s="249" t="n"/>
      <c r="E593" s="249" t="n"/>
      <c r="F593" s="249" t="n"/>
      <c r="G593" s="249" t="n"/>
      <c r="H593" s="249" t="n"/>
      <c r="I593" s="249" t="n"/>
      <c r="J593" s="249" t="n"/>
      <c r="K593" s="249" t="n"/>
      <c r="L593" s="249" t="n"/>
    </row>
    <row r="594" ht="13" customHeight="1" s="250">
      <c r="A594" s="249" t="n"/>
      <c r="B594" s="249" t="n"/>
      <c r="C594" s="249" t="n"/>
      <c r="D594" s="249" t="n"/>
      <c r="E594" s="249" t="n"/>
      <c r="F594" s="249" t="n"/>
      <c r="G594" s="249" t="n"/>
      <c r="H594" s="249" t="n"/>
      <c r="I594" s="249" t="n"/>
      <c r="J594" s="249" t="n"/>
      <c r="K594" s="249" t="n"/>
      <c r="L594" s="249" t="n"/>
    </row>
    <row r="595" ht="13" customHeight="1" s="250">
      <c r="A595" s="249" t="n"/>
      <c r="B595" s="249" t="n"/>
      <c r="C595" s="249" t="n"/>
      <c r="D595" s="249" t="n"/>
      <c r="E595" s="249" t="n"/>
      <c r="F595" s="249" t="n"/>
      <c r="G595" s="249" t="n"/>
      <c r="H595" s="249" t="n"/>
      <c r="I595" s="249" t="n"/>
      <c r="J595" s="249" t="n"/>
      <c r="K595" s="249" t="n"/>
      <c r="L595" s="249" t="n"/>
    </row>
    <row r="596" ht="13" customHeight="1" s="250">
      <c r="A596" s="249" t="n"/>
      <c r="B596" s="249" t="n"/>
      <c r="C596" s="249" t="n"/>
      <c r="D596" s="249" t="n"/>
      <c r="E596" s="249" t="n"/>
      <c r="F596" s="249" t="n"/>
      <c r="G596" s="249" t="n"/>
      <c r="H596" s="249" t="n"/>
      <c r="I596" s="249" t="n"/>
      <c r="J596" s="249" t="n"/>
      <c r="K596" s="249" t="n"/>
      <c r="L596" s="249" t="n"/>
    </row>
    <row r="597" ht="13" customHeight="1" s="250">
      <c r="A597" s="249" t="n"/>
      <c r="B597" s="249" t="n"/>
      <c r="C597" s="249" t="n"/>
      <c r="D597" s="249" t="n"/>
      <c r="E597" s="249" t="n"/>
      <c r="F597" s="249" t="n"/>
      <c r="G597" s="249" t="n"/>
      <c r="H597" s="249" t="n"/>
      <c r="I597" s="249" t="n"/>
      <c r="J597" s="249" t="n"/>
      <c r="K597" s="249" t="n"/>
      <c r="L597" s="249" t="n"/>
    </row>
    <row r="598" ht="13" customHeight="1" s="250">
      <c r="A598" s="249" t="n"/>
      <c r="B598" s="249" t="n"/>
      <c r="C598" s="249" t="n"/>
      <c r="D598" s="249" t="n"/>
      <c r="E598" s="249" t="n"/>
      <c r="F598" s="249" t="n"/>
      <c r="G598" s="249" t="n"/>
      <c r="H598" s="249" t="n"/>
      <c r="I598" s="249" t="n"/>
      <c r="J598" s="249" t="n"/>
      <c r="K598" s="249" t="n"/>
      <c r="L598" s="249" t="n"/>
    </row>
    <row r="599" ht="13" customHeight="1" s="250">
      <c r="A599" s="249" t="n"/>
      <c r="B599" s="249" t="n"/>
      <c r="C599" s="249" t="n"/>
      <c r="D599" s="249" t="n"/>
      <c r="E599" s="249" t="n"/>
      <c r="F599" s="249" t="n"/>
      <c r="G599" s="249" t="n"/>
      <c r="H599" s="249" t="n"/>
      <c r="I599" s="249" t="n"/>
      <c r="J599" s="249" t="n"/>
      <c r="K599" s="249" t="n"/>
      <c r="L599" s="249" t="n"/>
    </row>
    <row r="600" ht="13" customHeight="1" s="250">
      <c r="A600" s="249" t="n"/>
      <c r="B600" s="249" t="n"/>
      <c r="C600" s="249" t="n"/>
      <c r="D600" s="249" t="n"/>
      <c r="E600" s="249" t="n"/>
      <c r="F600" s="249" t="n"/>
      <c r="G600" s="249" t="n"/>
      <c r="H600" s="249" t="n"/>
      <c r="I600" s="249" t="n"/>
      <c r="J600" s="249" t="n"/>
      <c r="K600" s="249" t="n"/>
      <c r="L600" s="249" t="n"/>
    </row>
    <row r="601" ht="13" customHeight="1" s="250">
      <c r="A601" s="249" t="n"/>
      <c r="B601" s="249" t="n"/>
      <c r="C601" s="249" t="n"/>
      <c r="D601" s="249" t="n"/>
      <c r="E601" s="249" t="n"/>
      <c r="F601" s="249" t="n"/>
      <c r="G601" s="249" t="n"/>
      <c r="H601" s="249" t="n"/>
      <c r="I601" s="249" t="n"/>
      <c r="J601" s="249" t="n"/>
      <c r="K601" s="249" t="n"/>
      <c r="L601" s="249" t="n"/>
    </row>
    <row r="602" ht="13" customHeight="1" s="250">
      <c r="A602" s="249" t="n"/>
      <c r="B602" s="249" t="n"/>
      <c r="C602" s="249" t="n"/>
      <c r="D602" s="249" t="n"/>
      <c r="E602" s="249" t="n"/>
      <c r="F602" s="249" t="n"/>
      <c r="G602" s="249" t="n"/>
      <c r="H602" s="249" t="n"/>
      <c r="I602" s="249" t="n"/>
      <c r="J602" s="249" t="n"/>
      <c r="K602" s="249" t="n"/>
      <c r="L602" s="249" t="n"/>
    </row>
    <row r="603" ht="13" customHeight="1" s="250">
      <c r="A603" s="249" t="n"/>
      <c r="B603" s="249" t="n"/>
      <c r="C603" s="249" t="n"/>
      <c r="D603" s="249" t="n"/>
      <c r="E603" s="249" t="n"/>
      <c r="F603" s="249" t="n"/>
      <c r="G603" s="249" t="n"/>
      <c r="H603" s="249" t="n"/>
      <c r="I603" s="249" t="n"/>
      <c r="J603" s="249" t="n"/>
      <c r="K603" s="249" t="n"/>
      <c r="L603" s="249" t="n"/>
    </row>
    <row r="604" ht="13" customHeight="1" s="250">
      <c r="A604" s="249" t="n"/>
      <c r="B604" s="249" t="n"/>
      <c r="C604" s="249" t="n"/>
      <c r="D604" s="249" t="n"/>
      <c r="E604" s="249" t="n"/>
      <c r="F604" s="249" t="n"/>
      <c r="G604" s="249" t="n"/>
      <c r="H604" s="249" t="n"/>
      <c r="I604" s="249" t="n"/>
      <c r="J604" s="249" t="n"/>
      <c r="K604" s="249" t="n"/>
      <c r="L604" s="249" t="n"/>
    </row>
    <row r="605" ht="13" customHeight="1" s="250">
      <c r="A605" s="249" t="n"/>
      <c r="B605" s="249" t="n"/>
      <c r="C605" s="249" t="n"/>
      <c r="D605" s="249" t="n"/>
      <c r="E605" s="249" t="n"/>
      <c r="F605" s="249" t="n"/>
      <c r="G605" s="249" t="n"/>
      <c r="H605" s="249" t="n"/>
      <c r="I605" s="249" t="n"/>
      <c r="J605" s="249" t="n"/>
      <c r="K605" s="249" t="n"/>
      <c r="L605" s="249" t="n"/>
    </row>
    <row r="606" ht="13" customHeight="1" s="250">
      <c r="A606" s="249" t="n"/>
      <c r="B606" s="249" t="n"/>
      <c r="C606" s="249" t="n"/>
      <c r="D606" s="249" t="n"/>
      <c r="E606" s="249" t="n"/>
      <c r="F606" s="249" t="n"/>
      <c r="G606" s="249" t="n"/>
      <c r="H606" s="249" t="n"/>
      <c r="I606" s="249" t="n"/>
      <c r="J606" s="249" t="n"/>
      <c r="K606" s="249" t="n"/>
      <c r="L606" s="249" t="n"/>
    </row>
    <row r="607" ht="13" customHeight="1" s="250">
      <c r="A607" s="249" t="n"/>
      <c r="B607" s="249" t="n"/>
      <c r="C607" s="249" t="n"/>
      <c r="D607" s="249" t="n"/>
      <c r="E607" s="249" t="n"/>
      <c r="F607" s="249" t="n"/>
      <c r="G607" s="249" t="n"/>
      <c r="H607" s="249" t="n"/>
      <c r="I607" s="249" t="n"/>
      <c r="J607" s="249" t="n"/>
      <c r="K607" s="249" t="n"/>
      <c r="L607" s="249" t="n"/>
    </row>
    <row r="608" ht="13" customHeight="1" s="250">
      <c r="A608" s="249" t="n"/>
      <c r="B608" s="249" t="n"/>
      <c r="C608" s="249" t="n"/>
      <c r="D608" s="249" t="n"/>
      <c r="E608" s="249" t="n"/>
      <c r="F608" s="249" t="n"/>
      <c r="G608" s="249" t="n"/>
      <c r="H608" s="249" t="n"/>
      <c r="I608" s="249" t="n"/>
      <c r="J608" s="249" t="n"/>
      <c r="K608" s="249" t="n"/>
      <c r="L608" s="249" t="n"/>
    </row>
    <row r="609" ht="13" customHeight="1" s="250">
      <c r="A609" s="249" t="n"/>
      <c r="B609" s="249" t="n"/>
      <c r="C609" s="249" t="n"/>
      <c r="D609" s="249" t="n"/>
      <c r="E609" s="249" t="n"/>
      <c r="F609" s="249" t="n"/>
      <c r="G609" s="249" t="n"/>
      <c r="H609" s="249" t="n"/>
      <c r="I609" s="249" t="n"/>
      <c r="J609" s="249" t="n"/>
      <c r="K609" s="249" t="n"/>
      <c r="L609" s="249" t="n"/>
    </row>
    <row r="610" ht="13" customHeight="1" s="250">
      <c r="A610" s="249" t="n"/>
      <c r="B610" s="249" t="n"/>
      <c r="C610" s="249" t="n"/>
      <c r="D610" s="249" t="n"/>
      <c r="E610" s="249" t="n"/>
      <c r="F610" s="249" t="n"/>
      <c r="G610" s="249" t="n"/>
      <c r="H610" s="249" t="n"/>
      <c r="I610" s="249" t="n"/>
      <c r="J610" s="249" t="n"/>
      <c r="K610" s="249" t="n"/>
      <c r="L610" s="249" t="n"/>
    </row>
    <row r="611" ht="13" customHeight="1" s="250">
      <c r="A611" s="249" t="n"/>
      <c r="B611" s="249" t="n"/>
      <c r="C611" s="249" t="n"/>
      <c r="D611" s="249" t="n"/>
      <c r="E611" s="249" t="n"/>
      <c r="F611" s="249" t="n"/>
      <c r="G611" s="249" t="n"/>
      <c r="H611" s="249" t="n"/>
      <c r="I611" s="249" t="n"/>
      <c r="J611" s="249" t="n"/>
      <c r="K611" s="249" t="n"/>
      <c r="L611" s="249" t="n"/>
    </row>
    <row r="612" ht="13" customHeight="1" s="250">
      <c r="A612" s="249" t="n"/>
      <c r="B612" s="249" t="n"/>
      <c r="C612" s="249" t="n"/>
      <c r="D612" s="249" t="n"/>
      <c r="E612" s="249" t="n"/>
      <c r="F612" s="249" t="n"/>
      <c r="G612" s="249" t="n"/>
      <c r="H612" s="249" t="n"/>
      <c r="I612" s="249" t="n"/>
      <c r="J612" s="249" t="n"/>
      <c r="K612" s="249" t="n"/>
      <c r="L612" s="249" t="n"/>
    </row>
    <row r="613" ht="13" customHeight="1" s="250">
      <c r="A613" s="249" t="n"/>
      <c r="B613" s="249" t="n"/>
      <c r="C613" s="249" t="n"/>
      <c r="D613" s="249" t="n"/>
      <c r="E613" s="249" t="n"/>
      <c r="F613" s="249" t="n"/>
      <c r="G613" s="249" t="n"/>
      <c r="H613" s="249" t="n"/>
      <c r="I613" s="249" t="n"/>
      <c r="J613" s="249" t="n"/>
      <c r="K613" s="249" t="n"/>
      <c r="L613" s="249" t="n"/>
    </row>
    <row r="614" ht="13" customHeight="1" s="250">
      <c r="A614" s="249" t="n"/>
      <c r="B614" s="249" t="n"/>
      <c r="C614" s="249" t="n"/>
      <c r="D614" s="249" t="n"/>
      <c r="E614" s="249" t="n"/>
      <c r="F614" s="249" t="n"/>
      <c r="G614" s="249" t="n"/>
      <c r="H614" s="249" t="n"/>
      <c r="I614" s="249" t="n"/>
      <c r="J614" s="249" t="n"/>
      <c r="K614" s="249" t="n"/>
      <c r="L614" s="249" t="n"/>
    </row>
    <row r="615" ht="13" customHeight="1" s="250">
      <c r="A615" s="249" t="n"/>
      <c r="B615" s="249" t="n"/>
      <c r="C615" s="249" t="n"/>
      <c r="D615" s="249" t="n"/>
      <c r="E615" s="249" t="n"/>
      <c r="F615" s="249" t="n"/>
      <c r="G615" s="249" t="n"/>
      <c r="H615" s="249" t="n"/>
      <c r="I615" s="249" t="n"/>
      <c r="J615" s="249" t="n"/>
      <c r="K615" s="249" t="n"/>
      <c r="L615" s="249" t="n"/>
    </row>
    <row r="616" ht="13" customHeight="1" s="250">
      <c r="A616" s="249" t="n"/>
      <c r="B616" s="249" t="n"/>
      <c r="C616" s="249" t="n"/>
      <c r="D616" s="249" t="n"/>
      <c r="E616" s="249" t="n"/>
      <c r="F616" s="249" t="n"/>
      <c r="G616" s="249" t="n"/>
      <c r="H616" s="249" t="n"/>
      <c r="I616" s="249" t="n"/>
      <c r="J616" s="249" t="n"/>
      <c r="K616" s="249" t="n"/>
      <c r="L616" s="249" t="n"/>
    </row>
    <row r="617" ht="13" customHeight="1" s="250">
      <c r="A617" s="249" t="n"/>
      <c r="B617" s="249" t="n"/>
      <c r="C617" s="249" t="n"/>
      <c r="D617" s="249" t="n"/>
      <c r="E617" s="249" t="n"/>
      <c r="F617" s="249" t="n"/>
      <c r="G617" s="249" t="n"/>
      <c r="H617" s="249" t="n"/>
      <c r="I617" s="249" t="n"/>
      <c r="J617" s="249" t="n"/>
      <c r="K617" s="249" t="n"/>
      <c r="L617" s="249" t="n"/>
    </row>
    <row r="618" ht="13" customHeight="1" s="250">
      <c r="A618" s="249" t="n"/>
      <c r="B618" s="249" t="n"/>
      <c r="C618" s="249" t="n"/>
      <c r="D618" s="249" t="n"/>
      <c r="E618" s="249" t="n"/>
      <c r="F618" s="249" t="n"/>
      <c r="G618" s="249" t="n"/>
      <c r="H618" s="249" t="n"/>
      <c r="I618" s="249" t="n"/>
      <c r="J618" s="249" t="n"/>
      <c r="K618" s="249" t="n"/>
      <c r="L618" s="249" t="n"/>
    </row>
    <row r="619" ht="13" customHeight="1" s="250">
      <c r="A619" s="249" t="n"/>
      <c r="B619" s="249" t="n"/>
      <c r="C619" s="249" t="n"/>
      <c r="D619" s="249" t="n"/>
      <c r="E619" s="249" t="n"/>
      <c r="F619" s="249" t="n"/>
      <c r="G619" s="249" t="n"/>
      <c r="H619" s="249" t="n"/>
      <c r="I619" s="249" t="n"/>
      <c r="J619" s="249" t="n"/>
      <c r="K619" s="249" t="n"/>
      <c r="L619" s="249" t="n"/>
    </row>
    <row r="620" ht="13" customHeight="1" s="250">
      <c r="A620" s="249" t="n"/>
      <c r="B620" s="249" t="n"/>
      <c r="C620" s="249" t="n"/>
      <c r="D620" s="249" t="n"/>
      <c r="E620" s="249" t="n"/>
      <c r="F620" s="249" t="n"/>
      <c r="G620" s="249" t="n"/>
      <c r="H620" s="249" t="n"/>
      <c r="I620" s="249" t="n"/>
      <c r="J620" s="249" t="n"/>
      <c r="K620" s="249" t="n"/>
      <c r="L620" s="249" t="n"/>
    </row>
    <row r="621" ht="13" customHeight="1" s="250">
      <c r="A621" s="249" t="n"/>
      <c r="B621" s="249" t="n"/>
      <c r="C621" s="249" t="n"/>
      <c r="D621" s="249" t="n"/>
      <c r="E621" s="249" t="n"/>
      <c r="F621" s="249" t="n"/>
      <c r="G621" s="249" t="n"/>
      <c r="H621" s="249" t="n"/>
      <c r="I621" s="249" t="n"/>
      <c r="J621" s="249" t="n"/>
      <c r="K621" s="249" t="n"/>
      <c r="L621" s="249" t="n"/>
    </row>
    <row r="622" ht="13" customHeight="1" s="250">
      <c r="A622" s="249" t="n"/>
      <c r="B622" s="249" t="n"/>
      <c r="C622" s="249" t="n"/>
      <c r="D622" s="249" t="n"/>
      <c r="E622" s="249" t="n"/>
      <c r="F622" s="249" t="n"/>
      <c r="G622" s="249" t="n"/>
      <c r="H622" s="249" t="n"/>
      <c r="I622" s="249" t="n"/>
      <c r="J622" s="249" t="n"/>
      <c r="K622" s="249" t="n"/>
      <c r="L622" s="249" t="n"/>
    </row>
    <row r="623" ht="13" customHeight="1" s="250">
      <c r="A623" s="249" t="n"/>
      <c r="B623" s="249" t="n"/>
      <c r="C623" s="249" t="n"/>
      <c r="D623" s="249" t="n"/>
      <c r="E623" s="249" t="n"/>
      <c r="F623" s="249" t="n"/>
      <c r="G623" s="249" t="n"/>
      <c r="H623" s="249" t="n"/>
      <c r="I623" s="249" t="n"/>
      <c r="J623" s="249" t="n"/>
      <c r="K623" s="249" t="n"/>
      <c r="L623" s="249" t="n"/>
    </row>
    <row r="624" ht="13" customHeight="1" s="250">
      <c r="A624" s="249" t="n"/>
      <c r="B624" s="249" t="n"/>
      <c r="C624" s="249" t="n"/>
      <c r="D624" s="249" t="n"/>
      <c r="E624" s="249" t="n"/>
      <c r="F624" s="249" t="n"/>
      <c r="G624" s="249" t="n"/>
      <c r="H624" s="249" t="n"/>
      <c r="I624" s="249" t="n"/>
      <c r="J624" s="249" t="n"/>
      <c r="K624" s="249" t="n"/>
      <c r="L624" s="249" t="n"/>
    </row>
    <row r="625" ht="13" customHeight="1" s="250">
      <c r="A625" s="249" t="n"/>
      <c r="B625" s="249" t="n"/>
      <c r="C625" s="249" t="n"/>
      <c r="D625" s="249" t="n"/>
      <c r="E625" s="249" t="n"/>
      <c r="F625" s="249" t="n"/>
      <c r="G625" s="249" t="n"/>
      <c r="H625" s="249" t="n"/>
      <c r="I625" s="249" t="n"/>
      <c r="J625" s="249" t="n"/>
      <c r="K625" s="249" t="n"/>
      <c r="L625" s="249" t="n"/>
    </row>
    <row r="626" ht="13" customHeight="1" s="250">
      <c r="A626" s="249" t="n"/>
      <c r="B626" s="249" t="n"/>
      <c r="C626" s="249" t="n"/>
      <c r="D626" s="249" t="n"/>
      <c r="E626" s="249" t="n"/>
      <c r="F626" s="249" t="n"/>
      <c r="G626" s="249" t="n"/>
      <c r="H626" s="249" t="n"/>
      <c r="I626" s="249" t="n"/>
      <c r="J626" s="249" t="n"/>
      <c r="K626" s="249" t="n"/>
      <c r="L626" s="249" t="n"/>
    </row>
    <row r="627" ht="13" customHeight="1" s="250">
      <c r="A627" s="249" t="n"/>
      <c r="B627" s="249" t="n"/>
      <c r="C627" s="249" t="n"/>
      <c r="D627" s="249" t="n"/>
      <c r="E627" s="249" t="n"/>
      <c r="F627" s="249" t="n"/>
      <c r="G627" s="249" t="n"/>
      <c r="H627" s="249" t="n"/>
      <c r="I627" s="249" t="n"/>
      <c r="J627" s="249" t="n"/>
      <c r="K627" s="249" t="n"/>
      <c r="L627" s="249" t="n"/>
    </row>
    <row r="628" ht="13" customHeight="1" s="250">
      <c r="A628" s="249" t="n"/>
      <c r="B628" s="249" t="n"/>
      <c r="C628" s="249" t="n"/>
      <c r="D628" s="249" t="n"/>
      <c r="E628" s="249" t="n"/>
      <c r="F628" s="249" t="n"/>
      <c r="G628" s="249" t="n"/>
      <c r="H628" s="249" t="n"/>
      <c r="I628" s="249" t="n"/>
      <c r="J628" s="249" t="n"/>
      <c r="K628" s="249" t="n"/>
      <c r="L628" s="249" t="n"/>
    </row>
    <row r="629" ht="13" customHeight="1" s="250">
      <c r="A629" s="249" t="n"/>
      <c r="B629" s="249" t="n"/>
      <c r="C629" s="249" t="n"/>
      <c r="D629" s="249" t="n"/>
      <c r="E629" s="249" t="n"/>
      <c r="F629" s="249" t="n"/>
      <c r="G629" s="249" t="n"/>
      <c r="H629" s="249" t="n"/>
      <c r="I629" s="249" t="n"/>
      <c r="J629" s="249" t="n"/>
      <c r="K629" s="249" t="n"/>
      <c r="L629" s="249" t="n"/>
    </row>
    <row r="630" ht="13" customHeight="1" s="250">
      <c r="A630" s="249" t="n"/>
      <c r="B630" s="249" t="n"/>
      <c r="C630" s="249" t="n"/>
      <c r="D630" s="249" t="n"/>
      <c r="E630" s="249" t="n"/>
      <c r="F630" s="249" t="n"/>
      <c r="G630" s="249" t="n"/>
      <c r="H630" s="249" t="n"/>
      <c r="I630" s="249" t="n"/>
      <c r="J630" s="249" t="n"/>
      <c r="K630" s="249" t="n"/>
      <c r="L630" s="249" t="n"/>
    </row>
    <row r="631" ht="13" customHeight="1" s="250">
      <c r="A631" s="249" t="n"/>
      <c r="B631" s="249" t="n"/>
      <c r="C631" s="249" t="n"/>
      <c r="D631" s="249" t="n"/>
      <c r="E631" s="249" t="n"/>
      <c r="F631" s="249" t="n"/>
      <c r="G631" s="249" t="n"/>
      <c r="H631" s="249" t="n"/>
      <c r="I631" s="249" t="n"/>
      <c r="J631" s="249" t="n"/>
      <c r="K631" s="249" t="n"/>
      <c r="L631" s="249" t="n"/>
    </row>
    <row r="632" ht="13" customHeight="1" s="250">
      <c r="A632" s="249" t="n"/>
      <c r="B632" s="249" t="n"/>
      <c r="C632" s="249" t="n"/>
      <c r="D632" s="249" t="n"/>
      <c r="E632" s="249" t="n"/>
      <c r="F632" s="249" t="n"/>
      <c r="G632" s="249" t="n"/>
      <c r="H632" s="249" t="n"/>
      <c r="I632" s="249" t="n"/>
      <c r="J632" s="249" t="n"/>
      <c r="K632" s="249" t="n"/>
      <c r="L632" s="249" t="n"/>
    </row>
    <row r="633" ht="13" customHeight="1" s="250">
      <c r="A633" s="249" t="n"/>
      <c r="B633" s="249" t="n"/>
      <c r="C633" s="249" t="n"/>
      <c r="D633" s="249" t="n"/>
      <c r="E633" s="249" t="n"/>
      <c r="F633" s="249" t="n"/>
      <c r="G633" s="249" t="n"/>
      <c r="H633" s="249" t="n"/>
      <c r="I633" s="249" t="n"/>
      <c r="J633" s="249" t="n"/>
      <c r="K633" s="249" t="n"/>
      <c r="L633" s="249" t="n"/>
    </row>
    <row r="634" ht="13" customHeight="1" s="250">
      <c r="A634" s="249" t="n"/>
      <c r="B634" s="249" t="n"/>
      <c r="C634" s="249" t="n"/>
      <c r="D634" s="249" t="n"/>
      <c r="E634" s="249" t="n"/>
      <c r="F634" s="249" t="n"/>
      <c r="G634" s="249" t="n"/>
      <c r="H634" s="249" t="n"/>
      <c r="I634" s="249" t="n"/>
      <c r="J634" s="249" t="n"/>
      <c r="K634" s="249" t="n"/>
      <c r="L634" s="249" t="n"/>
    </row>
    <row r="635" ht="13" customHeight="1" s="250">
      <c r="A635" s="249" t="n"/>
      <c r="B635" s="249" t="n"/>
      <c r="C635" s="249" t="n"/>
      <c r="D635" s="249" t="n"/>
      <c r="E635" s="249" t="n"/>
      <c r="F635" s="249" t="n"/>
      <c r="G635" s="249" t="n"/>
      <c r="H635" s="249" t="n"/>
      <c r="I635" s="249" t="n"/>
      <c r="J635" s="249" t="n"/>
      <c r="K635" s="249" t="n"/>
      <c r="L635" s="249" t="n"/>
    </row>
    <row r="636" ht="13" customHeight="1" s="250">
      <c r="A636" s="249" t="n"/>
      <c r="B636" s="249" t="n"/>
      <c r="C636" s="249" t="n"/>
      <c r="D636" s="249" t="n"/>
      <c r="E636" s="249" t="n"/>
      <c r="F636" s="249" t="n"/>
      <c r="G636" s="249" t="n"/>
      <c r="H636" s="249" t="n"/>
      <c r="I636" s="249" t="n"/>
      <c r="J636" s="249" t="n"/>
      <c r="K636" s="249" t="n"/>
      <c r="L636" s="249" t="n"/>
    </row>
    <row r="637" ht="13" customHeight="1" s="250">
      <c r="A637" s="249" t="n"/>
      <c r="B637" s="249" t="n"/>
      <c r="C637" s="249" t="n"/>
      <c r="D637" s="249" t="n"/>
      <c r="E637" s="249" t="n"/>
      <c r="F637" s="249" t="n"/>
      <c r="G637" s="249" t="n"/>
      <c r="H637" s="249" t="n"/>
      <c r="I637" s="249" t="n"/>
      <c r="J637" s="249" t="n"/>
      <c r="K637" s="249" t="n"/>
      <c r="L637" s="249" t="n"/>
    </row>
    <row r="638" ht="13" customHeight="1" s="250">
      <c r="A638" s="249" t="n"/>
      <c r="B638" s="249" t="n"/>
      <c r="C638" s="249" t="n"/>
      <c r="D638" s="249" t="n"/>
      <c r="E638" s="249" t="n"/>
      <c r="F638" s="249" t="n"/>
      <c r="G638" s="249" t="n"/>
      <c r="H638" s="249" t="n"/>
      <c r="I638" s="249" t="n"/>
      <c r="J638" s="249" t="n"/>
      <c r="K638" s="249" t="n"/>
      <c r="L638" s="249" t="n"/>
    </row>
    <row r="639" ht="13" customHeight="1" s="250">
      <c r="A639" s="249" t="n"/>
      <c r="B639" s="249" t="n"/>
      <c r="C639" s="249" t="n"/>
      <c r="D639" s="249" t="n"/>
      <c r="E639" s="249" t="n"/>
      <c r="F639" s="249" t="n"/>
      <c r="G639" s="249" t="n"/>
      <c r="H639" s="249" t="n"/>
      <c r="I639" s="249" t="n"/>
      <c r="J639" s="249" t="n"/>
      <c r="K639" s="249" t="n"/>
      <c r="L639" s="249" t="n"/>
    </row>
    <row r="640" ht="13" customHeight="1" s="250">
      <c r="A640" s="249" t="n"/>
      <c r="B640" s="249" t="n"/>
      <c r="C640" s="249" t="n"/>
      <c r="D640" s="249" t="n"/>
      <c r="E640" s="249" t="n"/>
      <c r="F640" s="249" t="n"/>
      <c r="G640" s="249" t="n"/>
      <c r="H640" s="249" t="n"/>
      <c r="I640" s="249" t="n"/>
      <c r="J640" s="249" t="n"/>
      <c r="K640" s="249" t="n"/>
      <c r="L640" s="249" t="n"/>
    </row>
    <row r="641" ht="13" customHeight="1" s="250">
      <c r="A641" s="249" t="n"/>
      <c r="B641" s="249" t="n"/>
      <c r="C641" s="249" t="n"/>
      <c r="D641" s="249" t="n"/>
      <c r="E641" s="249" t="n"/>
      <c r="F641" s="249" t="n"/>
      <c r="G641" s="249" t="n"/>
      <c r="H641" s="249" t="n"/>
      <c r="I641" s="249" t="n"/>
      <c r="J641" s="249" t="n"/>
      <c r="K641" s="249" t="n"/>
      <c r="L641" s="249" t="n"/>
    </row>
    <row r="642" ht="13" customHeight="1" s="250">
      <c r="A642" s="249" t="n"/>
      <c r="B642" s="249" t="n"/>
      <c r="C642" s="249" t="n"/>
      <c r="D642" s="249" t="n"/>
      <c r="E642" s="249" t="n"/>
      <c r="F642" s="249" t="n"/>
      <c r="G642" s="249" t="n"/>
      <c r="H642" s="249" t="n"/>
      <c r="I642" s="249" t="n"/>
      <c r="J642" s="249" t="n"/>
      <c r="K642" s="249" t="n"/>
      <c r="L642" s="249" t="n"/>
    </row>
    <row r="643" ht="13" customHeight="1" s="250">
      <c r="A643" s="249" t="n"/>
      <c r="B643" s="249" t="n"/>
      <c r="C643" s="249" t="n"/>
      <c r="D643" s="249" t="n"/>
      <c r="E643" s="249" t="n"/>
      <c r="F643" s="249" t="n"/>
      <c r="G643" s="249" t="n"/>
      <c r="H643" s="249" t="n"/>
      <c r="I643" s="249" t="n"/>
      <c r="J643" s="249" t="n"/>
      <c r="K643" s="249" t="n"/>
      <c r="L643" s="249" t="n"/>
    </row>
    <row r="644" ht="13" customHeight="1" s="250">
      <c r="A644" s="249" t="n"/>
      <c r="B644" s="249" t="n"/>
      <c r="C644" s="249" t="n"/>
      <c r="D644" s="249" t="n"/>
      <c r="E644" s="249" t="n"/>
      <c r="F644" s="249" t="n"/>
      <c r="G644" s="249" t="n"/>
      <c r="H644" s="249" t="n"/>
      <c r="I644" s="249" t="n"/>
      <c r="J644" s="249" t="n"/>
      <c r="K644" s="249" t="n"/>
      <c r="L644" s="249" t="n"/>
    </row>
    <row r="645" ht="13" customHeight="1" s="250">
      <c r="A645" s="249" t="n"/>
      <c r="B645" s="249" t="n"/>
      <c r="C645" s="249" t="n"/>
      <c r="D645" s="249" t="n"/>
      <c r="E645" s="249" t="n"/>
      <c r="F645" s="249" t="n"/>
      <c r="G645" s="249" t="n"/>
      <c r="H645" s="249" t="n"/>
      <c r="I645" s="249" t="n"/>
      <c r="J645" s="249" t="n"/>
      <c r="K645" s="249" t="n"/>
      <c r="L645" s="249" t="n"/>
    </row>
    <row r="646" ht="13" customHeight="1" s="250">
      <c r="A646" s="249" t="n"/>
      <c r="B646" s="249" t="n"/>
      <c r="C646" s="249" t="n"/>
      <c r="D646" s="249" t="n"/>
      <c r="E646" s="249" t="n"/>
      <c r="F646" s="249" t="n"/>
      <c r="G646" s="249" t="n"/>
      <c r="H646" s="249" t="n"/>
      <c r="I646" s="249" t="n"/>
      <c r="J646" s="249" t="n"/>
      <c r="K646" s="249" t="n"/>
      <c r="L646" s="249" t="n"/>
    </row>
    <row r="647" ht="13" customHeight="1" s="250">
      <c r="A647" s="249" t="n"/>
      <c r="B647" s="249" t="n"/>
      <c r="C647" s="249" t="n"/>
      <c r="D647" s="249" t="n"/>
      <c r="E647" s="249" t="n"/>
      <c r="F647" s="249" t="n"/>
      <c r="G647" s="249" t="n"/>
      <c r="H647" s="249" t="n"/>
      <c r="I647" s="249" t="n"/>
      <c r="J647" s="249" t="n"/>
      <c r="K647" s="249" t="n"/>
      <c r="L647" s="249" t="n"/>
    </row>
    <row r="648" ht="13" customHeight="1" s="250">
      <c r="A648" s="249" t="n"/>
      <c r="B648" s="249" t="n"/>
      <c r="C648" s="249" t="n"/>
      <c r="D648" s="249" t="n"/>
      <c r="E648" s="249" t="n"/>
      <c r="F648" s="249" t="n"/>
      <c r="G648" s="249" t="n"/>
      <c r="H648" s="249" t="n"/>
      <c r="I648" s="249" t="n"/>
      <c r="J648" s="249" t="n"/>
      <c r="K648" s="249" t="n"/>
      <c r="L648" s="249" t="n"/>
    </row>
    <row r="649" ht="13" customHeight="1" s="250">
      <c r="A649" s="249" t="n"/>
      <c r="B649" s="249" t="n"/>
      <c r="C649" s="249" t="n"/>
      <c r="D649" s="249" t="n"/>
      <c r="E649" s="249" t="n"/>
      <c r="F649" s="249" t="n"/>
      <c r="G649" s="249" t="n"/>
      <c r="H649" s="249" t="n"/>
      <c r="I649" s="249" t="n"/>
      <c r="J649" s="249" t="n"/>
      <c r="K649" s="249" t="n"/>
      <c r="L649" s="249" t="n"/>
    </row>
    <row r="650" ht="13" customHeight="1" s="250">
      <c r="A650" s="249" t="n"/>
      <c r="B650" s="249" t="n"/>
      <c r="C650" s="249" t="n"/>
      <c r="D650" s="249" t="n"/>
      <c r="E650" s="249" t="n"/>
      <c r="F650" s="249" t="n"/>
      <c r="G650" s="249" t="n"/>
      <c r="H650" s="249" t="n"/>
      <c r="I650" s="249" t="n"/>
      <c r="J650" s="249" t="n"/>
      <c r="K650" s="249" t="n"/>
      <c r="L650" s="249" t="n"/>
    </row>
    <row r="651" ht="13" customHeight="1" s="250">
      <c r="A651" s="249" t="n"/>
      <c r="B651" s="249" t="n"/>
      <c r="C651" s="249" t="n"/>
      <c r="D651" s="249" t="n"/>
      <c r="E651" s="249" t="n"/>
      <c r="F651" s="249" t="n"/>
      <c r="G651" s="249" t="n"/>
      <c r="H651" s="249" t="n"/>
      <c r="I651" s="249" t="n"/>
      <c r="J651" s="249" t="n"/>
      <c r="K651" s="249" t="n"/>
      <c r="L651" s="249" t="n"/>
    </row>
    <row r="652" ht="13" customHeight="1" s="250">
      <c r="A652" s="249" t="n"/>
      <c r="B652" s="249" t="n"/>
      <c r="C652" s="249" t="n"/>
      <c r="D652" s="249" t="n"/>
      <c r="E652" s="249" t="n"/>
      <c r="F652" s="249" t="n"/>
      <c r="G652" s="249" t="n"/>
      <c r="H652" s="249" t="n"/>
      <c r="I652" s="249" t="n"/>
      <c r="J652" s="249" t="n"/>
      <c r="K652" s="249" t="n"/>
      <c r="L652" s="249" t="n"/>
    </row>
    <row r="653" ht="13" customHeight="1" s="250">
      <c r="A653" s="249" t="n"/>
      <c r="B653" s="249" t="n"/>
      <c r="C653" s="249" t="n"/>
      <c r="D653" s="249" t="n"/>
      <c r="E653" s="249" t="n"/>
      <c r="F653" s="249" t="n"/>
      <c r="G653" s="249" t="n"/>
      <c r="H653" s="249" t="n"/>
      <c r="I653" s="249" t="n"/>
      <c r="J653" s="249" t="n"/>
      <c r="K653" s="249" t="n"/>
      <c r="L653" s="249" t="n"/>
    </row>
    <row r="654" ht="13" customHeight="1" s="250">
      <c r="A654" s="249" t="n"/>
      <c r="B654" s="249" t="n"/>
      <c r="C654" s="249" t="n"/>
      <c r="D654" s="249" t="n"/>
      <c r="E654" s="249" t="n"/>
      <c r="F654" s="249" t="n"/>
      <c r="G654" s="249" t="n"/>
      <c r="H654" s="249" t="n"/>
      <c r="I654" s="249" t="n"/>
      <c r="J654" s="249" t="n"/>
      <c r="K654" s="249" t="n"/>
      <c r="L654" s="249" t="n"/>
    </row>
    <row r="655" ht="13" customHeight="1" s="250">
      <c r="A655" s="249" t="n"/>
      <c r="B655" s="249" t="n"/>
      <c r="C655" s="249" t="n"/>
      <c r="D655" s="249" t="n"/>
      <c r="E655" s="249" t="n"/>
      <c r="F655" s="249" t="n"/>
      <c r="G655" s="249" t="n"/>
      <c r="H655" s="249" t="n"/>
      <c r="I655" s="249" t="n"/>
      <c r="J655" s="249" t="n"/>
      <c r="K655" s="249" t="n"/>
      <c r="L655" s="249" t="n"/>
    </row>
    <row r="656" ht="13" customHeight="1" s="250">
      <c r="A656" s="249" t="n"/>
      <c r="B656" s="249" t="n"/>
      <c r="C656" s="249" t="n"/>
      <c r="D656" s="249" t="n"/>
      <c r="E656" s="249" t="n"/>
      <c r="F656" s="249" t="n"/>
      <c r="G656" s="249" t="n"/>
      <c r="H656" s="249" t="n"/>
      <c r="I656" s="249" t="n"/>
      <c r="J656" s="249" t="n"/>
      <c r="K656" s="249" t="n"/>
      <c r="L656" s="249" t="n"/>
    </row>
    <row r="657" ht="13" customHeight="1" s="250">
      <c r="A657" s="249" t="n"/>
      <c r="B657" s="249" t="n"/>
      <c r="C657" s="249" t="n"/>
      <c r="D657" s="249" t="n"/>
      <c r="E657" s="249" t="n"/>
      <c r="F657" s="249" t="n"/>
      <c r="G657" s="249" t="n"/>
      <c r="H657" s="249" t="n"/>
      <c r="I657" s="249" t="n"/>
      <c r="J657" s="249" t="n"/>
      <c r="K657" s="249" t="n"/>
      <c r="L657" s="249" t="n"/>
    </row>
    <row r="658" ht="13" customHeight="1" s="250">
      <c r="A658" s="249" t="n"/>
      <c r="B658" s="249" t="n"/>
      <c r="C658" s="249" t="n"/>
      <c r="D658" s="249" t="n"/>
      <c r="E658" s="249" t="n"/>
      <c r="F658" s="249" t="n"/>
      <c r="G658" s="249" t="n"/>
      <c r="H658" s="249" t="n"/>
      <c r="I658" s="249" t="n"/>
      <c r="J658" s="249" t="n"/>
      <c r="K658" s="249" t="n"/>
      <c r="L658" s="249" t="n"/>
    </row>
    <row r="659" ht="13" customHeight="1" s="250">
      <c r="A659" s="249" t="n"/>
      <c r="B659" s="249" t="n"/>
      <c r="C659" s="249" t="n"/>
      <c r="D659" s="249" t="n"/>
      <c r="E659" s="249" t="n"/>
      <c r="F659" s="249" t="n"/>
      <c r="G659" s="249" t="n"/>
      <c r="H659" s="249" t="n"/>
      <c r="I659" s="249" t="n"/>
      <c r="J659" s="249" t="n"/>
      <c r="K659" s="249" t="n"/>
      <c r="L659" s="249" t="n"/>
    </row>
    <row r="660" ht="13" customHeight="1" s="250">
      <c r="A660" s="249" t="n"/>
      <c r="B660" s="249" t="n"/>
      <c r="C660" s="249" t="n"/>
      <c r="D660" s="249" t="n"/>
      <c r="E660" s="249" t="n"/>
      <c r="F660" s="249" t="n"/>
      <c r="G660" s="249" t="n"/>
      <c r="H660" s="249" t="n"/>
      <c r="I660" s="249" t="n"/>
      <c r="J660" s="249" t="n"/>
      <c r="K660" s="249" t="n"/>
      <c r="L660" s="249" t="n"/>
    </row>
    <row r="661" ht="13" customHeight="1" s="250">
      <c r="A661" s="249" t="n"/>
      <c r="B661" s="249" t="n"/>
      <c r="C661" s="249" t="n"/>
      <c r="D661" s="249" t="n"/>
      <c r="E661" s="249" t="n"/>
      <c r="F661" s="249" t="n"/>
      <c r="G661" s="249" t="n"/>
      <c r="H661" s="249" t="n"/>
      <c r="I661" s="249" t="n"/>
      <c r="J661" s="249" t="n"/>
      <c r="K661" s="249" t="n"/>
      <c r="L661" s="249" t="n"/>
    </row>
    <row r="662" ht="13" customHeight="1" s="250">
      <c r="A662" s="249" t="n"/>
      <c r="B662" s="249" t="n"/>
      <c r="C662" s="249" t="n"/>
      <c r="D662" s="249" t="n"/>
      <c r="E662" s="249" t="n"/>
      <c r="F662" s="249" t="n"/>
      <c r="G662" s="249" t="n"/>
      <c r="H662" s="249" t="n"/>
      <c r="I662" s="249" t="n"/>
      <c r="J662" s="249" t="n"/>
      <c r="K662" s="249" t="n"/>
      <c r="L662" s="249" t="n"/>
    </row>
    <row r="663" ht="13" customHeight="1" s="250">
      <c r="A663" s="249" t="n"/>
      <c r="B663" s="249" t="n"/>
      <c r="C663" s="249" t="n"/>
      <c r="D663" s="249" t="n"/>
      <c r="E663" s="249" t="n"/>
      <c r="F663" s="249" t="n"/>
      <c r="G663" s="249" t="n"/>
      <c r="H663" s="249" t="n"/>
      <c r="I663" s="249" t="n"/>
      <c r="J663" s="249" t="n"/>
      <c r="K663" s="249" t="n"/>
      <c r="L663" s="249" t="n"/>
    </row>
    <row r="664" ht="13" customHeight="1" s="250">
      <c r="A664" s="249" t="n"/>
      <c r="B664" s="249" t="n"/>
      <c r="C664" s="249" t="n"/>
      <c r="D664" s="249" t="n"/>
      <c r="E664" s="249" t="n"/>
      <c r="F664" s="249" t="n"/>
      <c r="G664" s="249" t="n"/>
      <c r="H664" s="249" t="n"/>
      <c r="I664" s="249" t="n"/>
      <c r="J664" s="249" t="n"/>
      <c r="K664" s="249" t="n"/>
      <c r="L664" s="249" t="n"/>
    </row>
    <row r="665" ht="13" customHeight="1" s="250">
      <c r="A665" s="249" t="n"/>
      <c r="B665" s="249" t="n"/>
      <c r="C665" s="249" t="n"/>
      <c r="D665" s="249" t="n"/>
      <c r="E665" s="249" t="n"/>
      <c r="F665" s="249" t="n"/>
      <c r="G665" s="249" t="n"/>
      <c r="H665" s="249" t="n"/>
      <c r="I665" s="249" t="n"/>
      <c r="J665" s="249" t="n"/>
      <c r="K665" s="249" t="n"/>
      <c r="L665" s="249" t="n"/>
    </row>
    <row r="666" ht="13" customHeight="1" s="250">
      <c r="A666" s="249" t="n"/>
      <c r="B666" s="249" t="n"/>
      <c r="C666" s="249" t="n"/>
      <c r="D666" s="249" t="n"/>
      <c r="E666" s="249" t="n"/>
      <c r="F666" s="249" t="n"/>
      <c r="G666" s="249" t="n"/>
      <c r="H666" s="249" t="n"/>
      <c r="I666" s="249" t="n"/>
      <c r="J666" s="249" t="n"/>
      <c r="K666" s="249" t="n"/>
      <c r="L666" s="249" t="n"/>
    </row>
    <row r="667" ht="13" customHeight="1" s="250">
      <c r="A667" s="249" t="n"/>
      <c r="B667" s="249" t="n"/>
      <c r="C667" s="249" t="n"/>
      <c r="D667" s="249" t="n"/>
      <c r="E667" s="249" t="n"/>
      <c r="F667" s="249" t="n"/>
      <c r="G667" s="249" t="n"/>
      <c r="H667" s="249" t="n"/>
      <c r="I667" s="249" t="n"/>
      <c r="J667" s="249" t="n"/>
      <c r="K667" s="249" t="n"/>
      <c r="L667" s="249" t="n"/>
    </row>
    <row r="668" ht="13" customHeight="1" s="250">
      <c r="A668" s="249" t="n"/>
      <c r="B668" s="249" t="n"/>
      <c r="C668" s="249" t="n"/>
      <c r="D668" s="249" t="n"/>
      <c r="E668" s="249" t="n"/>
      <c r="F668" s="249" t="n"/>
      <c r="G668" s="249" t="n"/>
      <c r="H668" s="249" t="n"/>
      <c r="I668" s="249" t="n"/>
      <c r="J668" s="249" t="n"/>
      <c r="K668" s="249" t="n"/>
      <c r="L668" s="249" t="n"/>
    </row>
    <row r="669" ht="13" customHeight="1" s="250">
      <c r="A669" s="249" t="n"/>
      <c r="B669" s="249" t="n"/>
      <c r="C669" s="249" t="n"/>
      <c r="D669" s="249" t="n"/>
      <c r="E669" s="249" t="n"/>
      <c r="F669" s="249" t="n"/>
      <c r="G669" s="249" t="n"/>
      <c r="H669" s="249" t="n"/>
      <c r="I669" s="249" t="n"/>
      <c r="J669" s="249" t="n"/>
      <c r="K669" s="249" t="n"/>
      <c r="L669" s="249" t="n"/>
    </row>
    <row r="670" ht="13" customHeight="1" s="250">
      <c r="A670" s="249" t="n"/>
      <c r="B670" s="249" t="n"/>
      <c r="C670" s="249" t="n"/>
      <c r="D670" s="249" t="n"/>
      <c r="E670" s="249" t="n"/>
      <c r="F670" s="249" t="n"/>
      <c r="G670" s="249" t="n"/>
      <c r="H670" s="249" t="n"/>
      <c r="I670" s="249" t="n"/>
      <c r="J670" s="249" t="n"/>
      <c r="K670" s="249" t="n"/>
      <c r="L670" s="249" t="n"/>
    </row>
    <row r="671" ht="13" customHeight="1" s="250">
      <c r="A671" s="249" t="n"/>
      <c r="B671" s="249" t="n"/>
      <c r="C671" s="249" t="n"/>
      <c r="D671" s="249" t="n"/>
      <c r="E671" s="249" t="n"/>
      <c r="F671" s="249" t="n"/>
      <c r="G671" s="249" t="n"/>
      <c r="H671" s="249" t="n"/>
      <c r="I671" s="249" t="n"/>
      <c r="J671" s="249" t="n"/>
      <c r="K671" s="249" t="n"/>
      <c r="L671" s="249" t="n"/>
    </row>
    <row r="672" ht="13" customHeight="1" s="250">
      <c r="A672" s="249" t="n"/>
      <c r="B672" s="249" t="n"/>
      <c r="C672" s="249" t="n"/>
      <c r="D672" s="249" t="n"/>
      <c r="E672" s="249" t="n"/>
      <c r="F672" s="249" t="n"/>
      <c r="G672" s="249" t="n"/>
      <c r="H672" s="249" t="n"/>
      <c r="I672" s="249" t="n"/>
      <c r="J672" s="249" t="n"/>
      <c r="K672" s="249" t="n"/>
      <c r="L672" s="249" t="n"/>
    </row>
    <row r="673" ht="13" customHeight="1" s="250">
      <c r="A673" s="249" t="n"/>
      <c r="B673" s="249" t="n"/>
      <c r="C673" s="249" t="n"/>
      <c r="D673" s="249" t="n"/>
      <c r="E673" s="249" t="n"/>
      <c r="F673" s="249" t="n"/>
      <c r="G673" s="249" t="n"/>
      <c r="H673" s="249" t="n"/>
      <c r="I673" s="249" t="n"/>
      <c r="J673" s="249" t="n"/>
      <c r="K673" s="249" t="n"/>
      <c r="L673" s="249" t="n"/>
    </row>
    <row r="674" ht="13" customHeight="1" s="250">
      <c r="A674" s="249" t="n"/>
      <c r="B674" s="249" t="n"/>
      <c r="C674" s="249" t="n"/>
      <c r="D674" s="249" t="n"/>
      <c r="E674" s="249" t="n"/>
      <c r="F674" s="249" t="n"/>
      <c r="G674" s="249" t="n"/>
      <c r="H674" s="249" t="n"/>
      <c r="I674" s="249" t="n"/>
      <c r="J674" s="249" t="n"/>
      <c r="K674" s="249" t="n"/>
      <c r="L674" s="249" t="n"/>
    </row>
    <row r="675" ht="13" customHeight="1" s="250">
      <c r="A675" s="249" t="n"/>
      <c r="B675" s="249" t="n"/>
      <c r="C675" s="249" t="n"/>
      <c r="D675" s="249" t="n"/>
      <c r="E675" s="249" t="n"/>
      <c r="F675" s="249" t="n"/>
      <c r="G675" s="249" t="n"/>
      <c r="H675" s="249" t="n"/>
      <c r="I675" s="249" t="n"/>
      <c r="J675" s="249" t="n"/>
      <c r="K675" s="249" t="n"/>
      <c r="L675" s="249" t="n"/>
    </row>
    <row r="676" ht="13" customHeight="1" s="250">
      <c r="A676" s="249" t="n"/>
      <c r="B676" s="249" t="n"/>
      <c r="C676" s="249" t="n"/>
      <c r="D676" s="249" t="n"/>
      <c r="E676" s="249" t="n"/>
      <c r="F676" s="249" t="n"/>
      <c r="G676" s="249" t="n"/>
      <c r="H676" s="249" t="n"/>
      <c r="I676" s="249" t="n"/>
      <c r="J676" s="249" t="n"/>
      <c r="K676" s="249" t="n"/>
      <c r="L676" s="249" t="n"/>
    </row>
    <row r="677" ht="13" customHeight="1" s="250">
      <c r="A677" s="249" t="n"/>
      <c r="B677" s="249" t="n"/>
      <c r="C677" s="249" t="n"/>
      <c r="D677" s="249" t="n"/>
      <c r="E677" s="249" t="n"/>
      <c r="F677" s="249" t="n"/>
      <c r="G677" s="249" t="n"/>
      <c r="H677" s="249" t="n"/>
      <c r="I677" s="249" t="n"/>
      <c r="J677" s="249" t="n"/>
      <c r="K677" s="249" t="n"/>
      <c r="L677" s="249" t="n"/>
    </row>
    <row r="678" ht="13" customHeight="1" s="250">
      <c r="A678" s="249" t="n"/>
      <c r="B678" s="249" t="n"/>
      <c r="C678" s="249" t="n"/>
      <c r="D678" s="249" t="n"/>
      <c r="E678" s="249" t="n"/>
      <c r="F678" s="249" t="n"/>
      <c r="G678" s="249" t="n"/>
      <c r="H678" s="249" t="n"/>
      <c r="I678" s="249" t="n"/>
      <c r="J678" s="249" t="n"/>
      <c r="K678" s="249" t="n"/>
      <c r="L678" s="249" t="n"/>
    </row>
    <row r="679" ht="13" customHeight="1" s="250">
      <c r="A679" s="249" t="n"/>
      <c r="B679" s="249" t="n"/>
      <c r="C679" s="249" t="n"/>
      <c r="D679" s="249" t="n"/>
      <c r="E679" s="249" t="n"/>
      <c r="F679" s="249" t="n"/>
      <c r="G679" s="249" t="n"/>
      <c r="H679" s="249" t="n"/>
      <c r="I679" s="249" t="n"/>
      <c r="J679" s="249" t="n"/>
      <c r="K679" s="249" t="n"/>
      <c r="L679" s="249" t="n"/>
    </row>
    <row r="680" ht="13" customHeight="1" s="250">
      <c r="A680" s="249" t="n"/>
      <c r="B680" s="249" t="n"/>
      <c r="C680" s="249" t="n"/>
      <c r="D680" s="249" t="n"/>
      <c r="E680" s="249" t="n"/>
      <c r="F680" s="249" t="n"/>
      <c r="G680" s="249" t="n"/>
      <c r="H680" s="249" t="n"/>
      <c r="I680" s="249" t="n"/>
      <c r="J680" s="249" t="n"/>
      <c r="K680" s="249" t="n"/>
      <c r="L680" s="249" t="n"/>
    </row>
    <row r="681" ht="13" customHeight="1" s="250">
      <c r="A681" s="249" t="n"/>
      <c r="B681" s="249" t="n"/>
      <c r="C681" s="249" t="n"/>
      <c r="D681" s="249" t="n"/>
      <c r="E681" s="249" t="n"/>
      <c r="F681" s="249" t="n"/>
      <c r="G681" s="249" t="n"/>
      <c r="H681" s="249" t="n"/>
      <c r="I681" s="249" t="n"/>
      <c r="J681" s="249" t="n"/>
      <c r="K681" s="249" t="n"/>
      <c r="L681" s="249" t="n"/>
    </row>
    <row r="682" ht="13" customHeight="1" s="250">
      <c r="A682" s="249" t="n"/>
      <c r="B682" s="249" t="n"/>
      <c r="C682" s="249" t="n"/>
      <c r="D682" s="249" t="n"/>
      <c r="E682" s="249" t="n"/>
      <c r="F682" s="249" t="n"/>
      <c r="G682" s="249" t="n"/>
      <c r="H682" s="249" t="n"/>
      <c r="I682" s="249" t="n"/>
      <c r="J682" s="249" t="n"/>
      <c r="K682" s="249" t="n"/>
      <c r="L682" s="249" t="n"/>
    </row>
    <row r="683" ht="13" customHeight="1" s="250">
      <c r="A683" s="249" t="n"/>
      <c r="B683" s="249" t="n"/>
      <c r="C683" s="249" t="n"/>
      <c r="D683" s="249" t="n"/>
      <c r="E683" s="249" t="n"/>
      <c r="F683" s="249" t="n"/>
      <c r="G683" s="249" t="n"/>
      <c r="H683" s="249" t="n"/>
      <c r="I683" s="249" t="n"/>
      <c r="J683" s="249" t="n"/>
      <c r="K683" s="249" t="n"/>
      <c r="L683" s="249" t="n"/>
    </row>
    <row r="684" ht="13" customHeight="1" s="250">
      <c r="A684" s="249" t="n"/>
      <c r="B684" s="249" t="n"/>
      <c r="C684" s="249" t="n"/>
      <c r="D684" s="249" t="n"/>
      <c r="E684" s="249" t="n"/>
      <c r="F684" s="249" t="n"/>
      <c r="G684" s="249" t="n"/>
      <c r="H684" s="249" t="n"/>
      <c r="I684" s="249" t="n"/>
      <c r="J684" s="249" t="n"/>
      <c r="K684" s="249" t="n"/>
      <c r="L684" s="249" t="n"/>
    </row>
    <row r="685" ht="13" customHeight="1" s="250">
      <c r="A685" s="249" t="n"/>
      <c r="B685" s="249" t="n"/>
      <c r="C685" s="249" t="n"/>
      <c r="D685" s="249" t="n"/>
      <c r="E685" s="249" t="n"/>
      <c r="F685" s="249" t="n"/>
      <c r="G685" s="249" t="n"/>
      <c r="H685" s="249" t="n"/>
      <c r="I685" s="249" t="n"/>
      <c r="J685" s="249" t="n"/>
      <c r="K685" s="249" t="n"/>
      <c r="L685" s="249" t="n"/>
    </row>
    <row r="686" ht="13" customHeight="1" s="250">
      <c r="A686" s="249" t="n"/>
      <c r="B686" s="249" t="n"/>
      <c r="C686" s="249" t="n"/>
      <c r="D686" s="249" t="n"/>
      <c r="E686" s="249" t="n"/>
      <c r="F686" s="249" t="n"/>
      <c r="G686" s="249" t="n"/>
      <c r="H686" s="249" t="n"/>
      <c r="I686" s="249" t="n"/>
      <c r="J686" s="249" t="n"/>
      <c r="K686" s="249" t="n"/>
      <c r="L686" s="249" t="n"/>
    </row>
    <row r="687" ht="13" customHeight="1" s="250">
      <c r="A687" s="249" t="n"/>
      <c r="B687" s="249" t="n"/>
      <c r="C687" s="249" t="n"/>
      <c r="D687" s="249" t="n"/>
      <c r="E687" s="249" t="n"/>
      <c r="F687" s="249" t="n"/>
      <c r="G687" s="249" t="n"/>
      <c r="H687" s="249" t="n"/>
      <c r="I687" s="249" t="n"/>
      <c r="J687" s="249" t="n"/>
      <c r="K687" s="249" t="n"/>
      <c r="L687" s="249" t="n"/>
    </row>
    <row r="688" ht="13" customHeight="1" s="250">
      <c r="A688" s="249" t="n"/>
      <c r="B688" s="249" t="n"/>
      <c r="C688" s="249" t="n"/>
      <c r="D688" s="249" t="n"/>
      <c r="E688" s="249" t="n"/>
      <c r="F688" s="249" t="n"/>
      <c r="G688" s="249" t="n"/>
      <c r="H688" s="249" t="n"/>
      <c r="I688" s="249" t="n"/>
      <c r="J688" s="249" t="n"/>
      <c r="K688" s="249" t="n"/>
      <c r="L688" s="249" t="n"/>
    </row>
    <row r="689" ht="13" customHeight="1" s="250">
      <c r="A689" s="249" t="n"/>
      <c r="B689" s="249" t="n"/>
      <c r="C689" s="249" t="n"/>
      <c r="D689" s="249" t="n"/>
      <c r="E689" s="249" t="n"/>
      <c r="F689" s="249" t="n"/>
      <c r="G689" s="249" t="n"/>
      <c r="H689" s="249" t="n"/>
      <c r="I689" s="249" t="n"/>
      <c r="J689" s="249" t="n"/>
      <c r="K689" s="249" t="n"/>
      <c r="L689" s="249" t="n"/>
    </row>
    <row r="690" ht="13" customHeight="1" s="250">
      <c r="A690" s="249" t="n"/>
      <c r="B690" s="249" t="n"/>
      <c r="C690" s="249" t="n"/>
      <c r="D690" s="249" t="n"/>
      <c r="E690" s="249" t="n"/>
      <c r="F690" s="249" t="n"/>
      <c r="G690" s="249" t="n"/>
      <c r="H690" s="249" t="n"/>
      <c r="I690" s="249" t="n"/>
      <c r="J690" s="249" t="n"/>
      <c r="K690" s="249" t="n"/>
      <c r="L690" s="249" t="n"/>
    </row>
    <row r="691" ht="13" customHeight="1" s="250">
      <c r="A691" s="249" t="n"/>
      <c r="B691" s="249" t="n"/>
      <c r="C691" s="249" t="n"/>
      <c r="D691" s="249" t="n"/>
      <c r="E691" s="249" t="n"/>
      <c r="F691" s="249" t="n"/>
      <c r="G691" s="249" t="n"/>
      <c r="H691" s="249" t="n"/>
      <c r="I691" s="249" t="n"/>
      <c r="J691" s="249" t="n"/>
      <c r="K691" s="249" t="n"/>
      <c r="L691" s="249" t="n"/>
    </row>
    <row r="692" ht="13" customHeight="1" s="250">
      <c r="A692" s="249" t="n"/>
      <c r="B692" s="249" t="n"/>
      <c r="C692" s="249" t="n"/>
      <c r="D692" s="249" t="n"/>
      <c r="E692" s="249" t="n"/>
      <c r="F692" s="249" t="n"/>
      <c r="G692" s="249" t="n"/>
      <c r="H692" s="249" t="n"/>
      <c r="I692" s="249" t="n"/>
      <c r="J692" s="249" t="n"/>
      <c r="K692" s="249" t="n"/>
      <c r="L692" s="249" t="n"/>
    </row>
    <row r="693" ht="13" customHeight="1" s="250">
      <c r="A693" s="249" t="n"/>
      <c r="B693" s="249" t="n"/>
      <c r="C693" s="249" t="n"/>
      <c r="D693" s="249" t="n"/>
      <c r="E693" s="249" t="n"/>
      <c r="F693" s="249" t="n"/>
      <c r="G693" s="249" t="n"/>
      <c r="H693" s="249" t="n"/>
      <c r="I693" s="249" t="n"/>
      <c r="J693" s="249" t="n"/>
      <c r="K693" s="249" t="n"/>
      <c r="L693" s="249" t="n"/>
    </row>
    <row r="694" ht="13" customHeight="1" s="250">
      <c r="A694" s="249" t="n"/>
      <c r="B694" s="249" t="n"/>
      <c r="C694" s="249" t="n"/>
      <c r="D694" s="249" t="n"/>
      <c r="E694" s="249" t="n"/>
      <c r="F694" s="249" t="n"/>
      <c r="G694" s="249" t="n"/>
      <c r="H694" s="249" t="n"/>
      <c r="I694" s="249" t="n"/>
      <c r="J694" s="249" t="n"/>
      <c r="K694" s="249" t="n"/>
      <c r="L694" s="249" t="n"/>
    </row>
    <row r="695" ht="13" customHeight="1" s="250">
      <c r="A695" s="249" t="n"/>
      <c r="B695" s="249" t="n"/>
      <c r="C695" s="249" t="n"/>
      <c r="D695" s="249" t="n"/>
      <c r="E695" s="249" t="n"/>
      <c r="F695" s="249" t="n"/>
      <c r="G695" s="249" t="n"/>
      <c r="H695" s="249" t="n"/>
      <c r="I695" s="249" t="n"/>
      <c r="J695" s="249" t="n"/>
      <c r="K695" s="249" t="n"/>
      <c r="L695" s="249" t="n"/>
    </row>
    <row r="696" ht="13" customHeight="1" s="250">
      <c r="A696" s="249" t="n"/>
      <c r="B696" s="249" t="n"/>
      <c r="C696" s="249" t="n"/>
      <c r="D696" s="249" t="n"/>
      <c r="E696" s="249" t="n"/>
      <c r="F696" s="249" t="n"/>
      <c r="G696" s="249" t="n"/>
      <c r="H696" s="249" t="n"/>
      <c r="I696" s="249" t="n"/>
      <c r="J696" s="249" t="n"/>
      <c r="K696" s="249" t="n"/>
      <c r="L696" s="249" t="n"/>
    </row>
    <row r="697" ht="13" customHeight="1" s="250">
      <c r="A697" s="249" t="n"/>
      <c r="B697" s="249" t="n"/>
      <c r="C697" s="249" t="n"/>
      <c r="D697" s="249" t="n"/>
      <c r="E697" s="249" t="n"/>
      <c r="F697" s="249" t="n"/>
      <c r="G697" s="249" t="n"/>
      <c r="H697" s="249" t="n"/>
      <c r="I697" s="249" t="n"/>
      <c r="J697" s="249" t="n"/>
      <c r="K697" s="249" t="n"/>
      <c r="L697" s="249" t="n"/>
    </row>
    <row r="698" ht="13" customHeight="1" s="250">
      <c r="A698" s="249" t="n"/>
      <c r="B698" s="249" t="n"/>
      <c r="C698" s="249" t="n"/>
      <c r="D698" s="249" t="n"/>
      <c r="E698" s="249" t="n"/>
      <c r="F698" s="249" t="n"/>
      <c r="G698" s="249" t="n"/>
      <c r="H698" s="249" t="n"/>
      <c r="I698" s="249" t="n"/>
      <c r="J698" s="249" t="n"/>
      <c r="K698" s="249" t="n"/>
      <c r="L698" s="249" t="n"/>
    </row>
    <row r="699" ht="13" customHeight="1" s="250">
      <c r="A699" s="249" t="n"/>
      <c r="B699" s="249" t="n"/>
      <c r="C699" s="249" t="n"/>
      <c r="D699" s="249" t="n"/>
      <c r="E699" s="249" t="n"/>
      <c r="F699" s="249" t="n"/>
      <c r="G699" s="249" t="n"/>
      <c r="H699" s="249" t="n"/>
      <c r="I699" s="249" t="n"/>
      <c r="J699" s="249" t="n"/>
      <c r="K699" s="249" t="n"/>
      <c r="L699" s="249" t="n"/>
    </row>
    <row r="700" ht="13" customHeight="1" s="250">
      <c r="A700" s="249" t="n"/>
      <c r="B700" s="249" t="n"/>
      <c r="C700" s="249" t="n"/>
      <c r="D700" s="249" t="n"/>
      <c r="E700" s="249" t="n"/>
      <c r="F700" s="249" t="n"/>
      <c r="G700" s="249" t="n"/>
      <c r="H700" s="249" t="n"/>
      <c r="I700" s="249" t="n"/>
      <c r="J700" s="249" t="n"/>
      <c r="K700" s="249" t="n"/>
      <c r="L700" s="249" t="n"/>
    </row>
    <row r="701" ht="13" customHeight="1" s="250">
      <c r="A701" s="249" t="n"/>
      <c r="B701" s="249" t="n"/>
      <c r="C701" s="249" t="n"/>
      <c r="D701" s="249" t="n"/>
      <c r="E701" s="249" t="n"/>
      <c r="F701" s="249" t="n"/>
      <c r="G701" s="249" t="n"/>
      <c r="H701" s="249" t="n"/>
      <c r="I701" s="249" t="n"/>
      <c r="J701" s="249" t="n"/>
      <c r="K701" s="249" t="n"/>
      <c r="L701" s="249" t="n"/>
    </row>
    <row r="702" ht="13" customHeight="1" s="250">
      <c r="A702" s="249" t="n"/>
      <c r="B702" s="249" t="n"/>
      <c r="C702" s="249" t="n"/>
      <c r="D702" s="249" t="n"/>
      <c r="E702" s="249" t="n"/>
      <c r="F702" s="249" t="n"/>
      <c r="G702" s="249" t="n"/>
      <c r="H702" s="249" t="n"/>
      <c r="I702" s="249" t="n"/>
      <c r="J702" s="249" t="n"/>
      <c r="K702" s="249" t="n"/>
      <c r="L702" s="249" t="n"/>
    </row>
    <row r="703" ht="13" customHeight="1" s="250">
      <c r="A703" s="249" t="n"/>
      <c r="B703" s="249" t="n"/>
      <c r="C703" s="249" t="n"/>
      <c r="D703" s="249" t="n"/>
      <c r="E703" s="249" t="n"/>
      <c r="F703" s="249" t="n"/>
      <c r="G703" s="249" t="n"/>
      <c r="H703" s="249" t="n"/>
      <c r="I703" s="249" t="n"/>
      <c r="J703" s="249" t="n"/>
      <c r="K703" s="249" t="n"/>
      <c r="L703" s="249" t="n"/>
    </row>
    <row r="704" ht="13" customHeight="1" s="250">
      <c r="A704" s="249" t="n"/>
      <c r="B704" s="249" t="n"/>
      <c r="C704" s="249" t="n"/>
      <c r="D704" s="249" t="n"/>
      <c r="E704" s="249" t="n"/>
      <c r="F704" s="249" t="n"/>
      <c r="G704" s="249" t="n"/>
      <c r="H704" s="249" t="n"/>
      <c r="I704" s="249" t="n"/>
      <c r="J704" s="249" t="n"/>
      <c r="K704" s="249" t="n"/>
      <c r="L704" s="249" t="n"/>
    </row>
    <row r="705" ht="13" customHeight="1" s="250">
      <c r="A705" s="249" t="n"/>
      <c r="B705" s="249" t="n"/>
      <c r="C705" s="249" t="n"/>
      <c r="D705" s="249" t="n"/>
      <c r="E705" s="249" t="n"/>
      <c r="F705" s="249" t="n"/>
      <c r="G705" s="249" t="n"/>
      <c r="H705" s="249" t="n"/>
      <c r="I705" s="249" t="n"/>
      <c r="J705" s="249" t="n"/>
      <c r="K705" s="249" t="n"/>
      <c r="L705" s="249" t="n"/>
    </row>
    <row r="706" ht="13" customHeight="1" s="250">
      <c r="A706" s="249" t="n"/>
      <c r="B706" s="249" t="n"/>
      <c r="C706" s="249" t="n"/>
      <c r="D706" s="249" t="n"/>
      <c r="E706" s="249" t="n"/>
      <c r="F706" s="249" t="n"/>
      <c r="G706" s="249" t="n"/>
      <c r="H706" s="249" t="n"/>
      <c r="I706" s="249" t="n"/>
      <c r="J706" s="249" t="n"/>
      <c r="K706" s="249" t="n"/>
      <c r="L706" s="249" t="n"/>
    </row>
    <row r="707" ht="13" customHeight="1" s="250">
      <c r="A707" s="249" t="n"/>
      <c r="B707" s="249" t="n"/>
      <c r="C707" s="249" t="n"/>
      <c r="D707" s="249" t="n"/>
      <c r="E707" s="249" t="n"/>
      <c r="F707" s="249" t="n"/>
      <c r="G707" s="249" t="n"/>
      <c r="H707" s="249" t="n"/>
      <c r="I707" s="249" t="n"/>
      <c r="J707" s="249" t="n"/>
      <c r="K707" s="249" t="n"/>
      <c r="L707" s="249" t="n"/>
    </row>
    <row r="708" ht="13" customHeight="1" s="250">
      <c r="A708" s="249" t="n"/>
      <c r="B708" s="249" t="n"/>
      <c r="C708" s="249" t="n"/>
      <c r="D708" s="249" t="n"/>
      <c r="E708" s="249" t="n"/>
      <c r="F708" s="249" t="n"/>
      <c r="G708" s="249" t="n"/>
      <c r="H708" s="249" t="n"/>
      <c r="I708" s="249" t="n"/>
      <c r="J708" s="249" t="n"/>
      <c r="K708" s="249" t="n"/>
      <c r="L708" s="249" t="n"/>
    </row>
    <row r="709" ht="13" customHeight="1" s="250">
      <c r="A709" s="249" t="n"/>
      <c r="B709" s="249" t="n"/>
      <c r="C709" s="249" t="n"/>
      <c r="D709" s="249" t="n"/>
      <c r="E709" s="249" t="n"/>
      <c r="F709" s="249" t="n"/>
      <c r="G709" s="249" t="n"/>
      <c r="H709" s="249" t="n"/>
      <c r="I709" s="249" t="n"/>
      <c r="J709" s="249" t="n"/>
      <c r="K709" s="249" t="n"/>
      <c r="L709" s="249" t="n"/>
    </row>
    <row r="710" ht="13" customHeight="1" s="250">
      <c r="A710" s="249" t="n"/>
      <c r="B710" s="249" t="n"/>
      <c r="C710" s="249" t="n"/>
      <c r="D710" s="249" t="n"/>
      <c r="E710" s="249" t="n"/>
      <c r="F710" s="249" t="n"/>
      <c r="G710" s="249" t="n"/>
      <c r="H710" s="249" t="n"/>
      <c r="I710" s="249" t="n"/>
      <c r="J710" s="249" t="n"/>
      <c r="K710" s="249" t="n"/>
      <c r="L710" s="249" t="n"/>
    </row>
    <row r="711" ht="13" customHeight="1" s="250">
      <c r="A711" s="249" t="n"/>
      <c r="B711" s="249" t="n"/>
      <c r="C711" s="249" t="n"/>
      <c r="D711" s="249" t="n"/>
      <c r="E711" s="249" t="n"/>
      <c r="F711" s="249" t="n"/>
      <c r="G711" s="249" t="n"/>
      <c r="H711" s="249" t="n"/>
      <c r="I711" s="249" t="n"/>
      <c r="J711" s="249" t="n"/>
      <c r="K711" s="249" t="n"/>
      <c r="L711" s="249" t="n"/>
    </row>
    <row r="712" ht="13" customHeight="1" s="250">
      <c r="A712" s="249" t="n"/>
      <c r="B712" s="249" t="n"/>
      <c r="C712" s="249" t="n"/>
      <c r="D712" s="249" t="n"/>
      <c r="E712" s="249" t="n"/>
      <c r="F712" s="249" t="n"/>
      <c r="G712" s="249" t="n"/>
      <c r="H712" s="249" t="n"/>
      <c r="I712" s="249" t="n"/>
      <c r="J712" s="249" t="n"/>
      <c r="K712" s="249" t="n"/>
      <c r="L712" s="249" t="n"/>
    </row>
    <row r="713" ht="13" customHeight="1" s="250">
      <c r="A713" s="249" t="n"/>
      <c r="B713" s="249" t="n"/>
      <c r="C713" s="249" t="n"/>
      <c r="D713" s="249" t="n"/>
      <c r="E713" s="249" t="n"/>
      <c r="F713" s="249" t="n"/>
      <c r="G713" s="249" t="n"/>
      <c r="H713" s="249" t="n"/>
      <c r="I713" s="249" t="n"/>
      <c r="J713" s="249" t="n"/>
      <c r="K713" s="249" t="n"/>
      <c r="L713" s="249" t="n"/>
    </row>
    <row r="714" ht="13" customHeight="1" s="250">
      <c r="A714" s="249" t="n"/>
      <c r="B714" s="249" t="n"/>
      <c r="C714" s="249" t="n"/>
      <c r="D714" s="249" t="n"/>
      <c r="E714" s="249" t="n"/>
      <c r="F714" s="249" t="n"/>
      <c r="G714" s="249" t="n"/>
      <c r="H714" s="249" t="n"/>
      <c r="I714" s="249" t="n"/>
      <c r="J714" s="249" t="n"/>
      <c r="K714" s="249" t="n"/>
      <c r="L714" s="249" t="n"/>
    </row>
    <row r="715" ht="13" customHeight="1" s="250">
      <c r="A715" s="249" t="n"/>
      <c r="B715" s="249" t="n"/>
      <c r="C715" s="249" t="n"/>
      <c r="D715" s="249" t="n"/>
      <c r="E715" s="249" t="n"/>
      <c r="F715" s="249" t="n"/>
      <c r="G715" s="249" t="n"/>
      <c r="H715" s="249" t="n"/>
      <c r="I715" s="249" t="n"/>
      <c r="J715" s="249" t="n"/>
      <c r="K715" s="249" t="n"/>
      <c r="L715" s="249" t="n"/>
    </row>
    <row r="716" ht="13" customHeight="1" s="250">
      <c r="A716" s="249" t="n"/>
      <c r="B716" s="249" t="n"/>
      <c r="C716" s="249" t="n"/>
      <c r="D716" s="249" t="n"/>
      <c r="E716" s="249" t="n"/>
      <c r="F716" s="249" t="n"/>
      <c r="G716" s="249" t="n"/>
      <c r="H716" s="249" t="n"/>
      <c r="I716" s="249" t="n"/>
      <c r="J716" s="249" t="n"/>
      <c r="K716" s="249" t="n"/>
      <c r="L716" s="249" t="n"/>
    </row>
    <row r="717" ht="13" customHeight="1" s="250">
      <c r="A717" s="249" t="n"/>
      <c r="B717" s="249" t="n"/>
      <c r="C717" s="249" t="n"/>
      <c r="D717" s="249" t="n"/>
      <c r="E717" s="249" t="n"/>
      <c r="F717" s="249" t="n"/>
      <c r="G717" s="249" t="n"/>
      <c r="H717" s="249" t="n"/>
      <c r="I717" s="249" t="n"/>
      <c r="J717" s="249" t="n"/>
      <c r="K717" s="249" t="n"/>
      <c r="L717" s="249" t="n"/>
    </row>
    <row r="718" ht="13" customHeight="1" s="250">
      <c r="A718" s="249" t="n"/>
      <c r="B718" s="249" t="n"/>
      <c r="C718" s="249" t="n"/>
      <c r="D718" s="249" t="n"/>
      <c r="E718" s="249" t="n"/>
      <c r="F718" s="249" t="n"/>
      <c r="G718" s="249" t="n"/>
      <c r="H718" s="249" t="n"/>
      <c r="I718" s="249" t="n"/>
      <c r="J718" s="249" t="n"/>
      <c r="K718" s="249" t="n"/>
      <c r="L718" s="249" t="n"/>
    </row>
    <row r="719" ht="13" customHeight="1" s="250">
      <c r="A719" s="249" t="n"/>
      <c r="B719" s="249" t="n"/>
      <c r="C719" s="249" t="n"/>
      <c r="D719" s="249" t="n"/>
      <c r="E719" s="249" t="n"/>
      <c r="F719" s="249" t="n"/>
      <c r="G719" s="249" t="n"/>
      <c r="H719" s="249" t="n"/>
      <c r="I719" s="249" t="n"/>
      <c r="J719" s="249" t="n"/>
      <c r="K719" s="249" t="n"/>
      <c r="L719" s="249" t="n"/>
    </row>
    <row r="720" ht="13" customHeight="1" s="250">
      <c r="A720" s="249" t="n"/>
      <c r="B720" s="249" t="n"/>
      <c r="C720" s="249" t="n"/>
      <c r="D720" s="249" t="n"/>
      <c r="E720" s="249" t="n"/>
      <c r="F720" s="249" t="n"/>
      <c r="G720" s="249" t="n"/>
      <c r="H720" s="249" t="n"/>
      <c r="I720" s="249" t="n"/>
      <c r="J720" s="249" t="n"/>
      <c r="K720" s="249" t="n"/>
      <c r="L720" s="249" t="n"/>
    </row>
    <row r="721" ht="13" customHeight="1" s="250">
      <c r="A721" s="249" t="n"/>
      <c r="B721" s="249" t="n"/>
      <c r="C721" s="249" t="n"/>
      <c r="D721" s="249" t="n"/>
      <c r="E721" s="249" t="n"/>
      <c r="F721" s="249" t="n"/>
      <c r="G721" s="249" t="n"/>
      <c r="H721" s="249" t="n"/>
      <c r="I721" s="249" t="n"/>
      <c r="J721" s="249" t="n"/>
      <c r="K721" s="249" t="n"/>
      <c r="L721" s="249" t="n"/>
    </row>
    <row r="722" ht="13" customHeight="1" s="250">
      <c r="A722" s="249" t="n"/>
      <c r="B722" s="249" t="n"/>
      <c r="C722" s="249" t="n"/>
      <c r="D722" s="249" t="n"/>
      <c r="E722" s="249" t="n"/>
      <c r="F722" s="249" t="n"/>
      <c r="G722" s="249" t="n"/>
      <c r="H722" s="249" t="n"/>
      <c r="I722" s="249" t="n"/>
      <c r="J722" s="249" t="n"/>
      <c r="K722" s="249" t="n"/>
      <c r="L722" s="249" t="n"/>
    </row>
    <row r="723" ht="13" customHeight="1" s="250">
      <c r="A723" s="249" t="n"/>
      <c r="B723" s="249" t="n"/>
      <c r="C723" s="249" t="n"/>
      <c r="D723" s="249" t="n"/>
      <c r="E723" s="249" t="n"/>
      <c r="F723" s="249" t="n"/>
      <c r="G723" s="249" t="n"/>
      <c r="H723" s="249" t="n"/>
      <c r="I723" s="249" t="n"/>
      <c r="J723" s="249" t="n"/>
      <c r="K723" s="249" t="n"/>
      <c r="L723" s="249" t="n"/>
    </row>
    <row r="724" ht="13" customHeight="1" s="250">
      <c r="A724" s="249" t="n"/>
      <c r="B724" s="249" t="n"/>
      <c r="C724" s="249" t="n"/>
      <c r="D724" s="249" t="n"/>
      <c r="E724" s="249" t="n"/>
      <c r="F724" s="249" t="n"/>
      <c r="G724" s="249" t="n"/>
      <c r="H724" s="249" t="n"/>
      <c r="I724" s="249" t="n"/>
      <c r="J724" s="249" t="n"/>
      <c r="K724" s="249" t="n"/>
      <c r="L724" s="249" t="n"/>
    </row>
    <row r="725" ht="13" customHeight="1" s="250">
      <c r="A725" s="249" t="n"/>
      <c r="B725" s="249" t="n"/>
      <c r="C725" s="249" t="n"/>
      <c r="D725" s="249" t="n"/>
      <c r="E725" s="249" t="n"/>
      <c r="F725" s="249" t="n"/>
      <c r="G725" s="249" t="n"/>
      <c r="H725" s="249" t="n"/>
      <c r="I725" s="249" t="n"/>
      <c r="J725" s="249" t="n"/>
      <c r="K725" s="249" t="n"/>
      <c r="L725" s="249" t="n"/>
    </row>
    <row r="726" ht="13" customHeight="1" s="250">
      <c r="A726" s="249" t="n"/>
      <c r="B726" s="249" t="n"/>
      <c r="C726" s="249" t="n"/>
      <c r="D726" s="249" t="n"/>
      <c r="E726" s="249" t="n"/>
      <c r="F726" s="249" t="n"/>
      <c r="G726" s="249" t="n"/>
      <c r="H726" s="249" t="n"/>
      <c r="I726" s="249" t="n"/>
      <c r="J726" s="249" t="n"/>
      <c r="K726" s="249" t="n"/>
      <c r="L726" s="249" t="n"/>
    </row>
    <row r="727" ht="13" customHeight="1" s="250">
      <c r="A727" s="249" t="n"/>
      <c r="B727" s="249" t="n"/>
      <c r="C727" s="249" t="n"/>
      <c r="D727" s="249" t="n"/>
      <c r="E727" s="249" t="n"/>
      <c r="F727" s="249" t="n"/>
      <c r="G727" s="249" t="n"/>
      <c r="H727" s="249" t="n"/>
      <c r="I727" s="249" t="n"/>
      <c r="J727" s="249" t="n"/>
      <c r="K727" s="249" t="n"/>
      <c r="L727" s="249" t="n"/>
    </row>
    <row r="728" ht="13" customHeight="1" s="250">
      <c r="A728" s="249" t="n"/>
      <c r="B728" s="249" t="n"/>
      <c r="C728" s="249" t="n"/>
      <c r="D728" s="249" t="n"/>
      <c r="E728" s="249" t="n"/>
      <c r="F728" s="249" t="n"/>
      <c r="G728" s="249" t="n"/>
      <c r="H728" s="249" t="n"/>
      <c r="I728" s="249" t="n"/>
      <c r="J728" s="249" t="n"/>
      <c r="K728" s="249" t="n"/>
      <c r="L728" s="249" t="n"/>
    </row>
    <row r="729" ht="13" customHeight="1" s="250">
      <c r="A729" s="249" t="n"/>
      <c r="B729" s="249" t="n"/>
      <c r="C729" s="249" t="n"/>
      <c r="D729" s="249" t="n"/>
      <c r="E729" s="249" t="n"/>
      <c r="F729" s="249" t="n"/>
      <c r="G729" s="249" t="n"/>
      <c r="H729" s="249" t="n"/>
      <c r="I729" s="249" t="n"/>
      <c r="J729" s="249" t="n"/>
      <c r="K729" s="249" t="n"/>
      <c r="L729" s="249" t="n"/>
    </row>
    <row r="730" ht="13" customHeight="1" s="250">
      <c r="A730" s="249" t="n"/>
      <c r="B730" s="249" t="n"/>
      <c r="C730" s="249" t="n"/>
      <c r="D730" s="249" t="n"/>
      <c r="E730" s="249" t="n"/>
      <c r="F730" s="249" t="n"/>
      <c r="G730" s="249" t="n"/>
      <c r="H730" s="249" t="n"/>
      <c r="I730" s="249" t="n"/>
      <c r="J730" s="249" t="n"/>
      <c r="K730" s="249" t="n"/>
      <c r="L730" s="249" t="n"/>
    </row>
    <row r="731" ht="13" customHeight="1" s="250">
      <c r="A731" s="249" t="n"/>
      <c r="B731" s="249" t="n"/>
      <c r="C731" s="249" t="n"/>
      <c r="D731" s="249" t="n"/>
      <c r="E731" s="249" t="n"/>
      <c r="F731" s="249" t="n"/>
      <c r="G731" s="249" t="n"/>
      <c r="H731" s="249" t="n"/>
      <c r="I731" s="249" t="n"/>
      <c r="J731" s="249" t="n"/>
      <c r="K731" s="249" t="n"/>
      <c r="L731" s="249" t="n"/>
    </row>
    <row r="732" ht="13" customHeight="1" s="250">
      <c r="A732" s="249" t="n"/>
      <c r="B732" s="249" t="n"/>
      <c r="C732" s="249" t="n"/>
      <c r="D732" s="249" t="n"/>
      <c r="E732" s="249" t="n"/>
      <c r="F732" s="249" t="n"/>
      <c r="G732" s="249" t="n"/>
      <c r="H732" s="249" t="n"/>
      <c r="I732" s="249" t="n"/>
      <c r="J732" s="249" t="n"/>
      <c r="K732" s="249" t="n"/>
      <c r="L732" s="249" t="n"/>
    </row>
    <row r="733" ht="13" customHeight="1" s="250">
      <c r="A733" s="249" t="n"/>
      <c r="B733" s="249" t="n"/>
      <c r="C733" s="249" t="n"/>
      <c r="D733" s="249" t="n"/>
      <c r="E733" s="249" t="n"/>
      <c r="F733" s="249" t="n"/>
      <c r="G733" s="249" t="n"/>
      <c r="H733" s="249" t="n"/>
      <c r="I733" s="249" t="n"/>
      <c r="J733" s="249" t="n"/>
      <c r="K733" s="249" t="n"/>
      <c r="L733" s="249" t="n"/>
    </row>
    <row r="734" ht="13" customHeight="1" s="250">
      <c r="A734" s="249" t="n"/>
      <c r="B734" s="249" t="n"/>
      <c r="C734" s="249" t="n"/>
      <c r="D734" s="249" t="n"/>
      <c r="E734" s="249" t="n"/>
      <c r="F734" s="249" t="n"/>
      <c r="G734" s="249" t="n"/>
      <c r="H734" s="249" t="n"/>
      <c r="I734" s="249" t="n"/>
      <c r="J734" s="249" t="n"/>
      <c r="K734" s="249" t="n"/>
      <c r="L734" s="249" t="n"/>
    </row>
    <row r="735" ht="13" customHeight="1" s="250">
      <c r="A735" s="249" t="n"/>
      <c r="B735" s="249" t="n"/>
      <c r="C735" s="249" t="n"/>
      <c r="D735" s="249" t="n"/>
      <c r="E735" s="249" t="n"/>
      <c r="F735" s="249" t="n"/>
      <c r="G735" s="249" t="n"/>
      <c r="H735" s="249" t="n"/>
      <c r="I735" s="249" t="n"/>
      <c r="J735" s="249" t="n"/>
      <c r="K735" s="249" t="n"/>
      <c r="L735" s="249" t="n"/>
    </row>
    <row r="736" ht="13" customHeight="1" s="250">
      <c r="A736" s="249" t="n"/>
      <c r="B736" s="249" t="n"/>
      <c r="C736" s="249" t="n"/>
      <c r="D736" s="249" t="n"/>
      <c r="E736" s="249" t="n"/>
      <c r="F736" s="249" t="n"/>
      <c r="G736" s="249" t="n"/>
      <c r="H736" s="249" t="n"/>
      <c r="I736" s="249" t="n"/>
      <c r="J736" s="249" t="n"/>
      <c r="K736" s="249" t="n"/>
      <c r="L736" s="249" t="n"/>
    </row>
    <row r="737" ht="13" customHeight="1" s="250">
      <c r="A737" s="249" t="n"/>
      <c r="B737" s="249" t="n"/>
      <c r="C737" s="249" t="n"/>
      <c r="D737" s="249" t="n"/>
      <c r="E737" s="249" t="n"/>
      <c r="F737" s="249" t="n"/>
      <c r="G737" s="249" t="n"/>
      <c r="H737" s="249" t="n"/>
      <c r="I737" s="249" t="n"/>
      <c r="J737" s="249" t="n"/>
      <c r="K737" s="249" t="n"/>
      <c r="L737" s="249" t="n"/>
    </row>
    <row r="738" ht="13" customHeight="1" s="250">
      <c r="A738" s="249" t="n"/>
      <c r="B738" s="249" t="n"/>
      <c r="C738" s="249" t="n"/>
      <c r="D738" s="249" t="n"/>
      <c r="E738" s="249" t="n"/>
      <c r="F738" s="249" t="n"/>
      <c r="G738" s="249" t="n"/>
      <c r="H738" s="249" t="n"/>
      <c r="I738" s="249" t="n"/>
      <c r="J738" s="249" t="n"/>
      <c r="K738" s="249" t="n"/>
      <c r="L738" s="249" t="n"/>
    </row>
    <row r="739" ht="13" customHeight="1" s="250">
      <c r="A739" s="249" t="n"/>
      <c r="B739" s="249" t="n"/>
      <c r="C739" s="249" t="n"/>
      <c r="D739" s="249" t="n"/>
      <c r="E739" s="249" t="n"/>
      <c r="F739" s="249" t="n"/>
      <c r="G739" s="249" t="n"/>
      <c r="H739" s="249" t="n"/>
      <c r="I739" s="249" t="n"/>
      <c r="J739" s="249" t="n"/>
      <c r="K739" s="249" t="n"/>
      <c r="L739" s="249" t="n"/>
    </row>
    <row r="740" ht="13" customHeight="1" s="250">
      <c r="A740" s="249" t="n"/>
      <c r="B740" s="249" t="n"/>
      <c r="C740" s="249" t="n"/>
      <c r="D740" s="249" t="n"/>
      <c r="E740" s="249" t="n"/>
      <c r="F740" s="249" t="n"/>
      <c r="G740" s="249" t="n"/>
      <c r="H740" s="249" t="n"/>
      <c r="I740" s="249" t="n"/>
      <c r="J740" s="249" t="n"/>
      <c r="K740" s="249" t="n"/>
      <c r="L740" s="249" t="n"/>
    </row>
    <row r="741" ht="13" customHeight="1" s="250">
      <c r="A741" s="249" t="n"/>
      <c r="B741" s="249" t="n"/>
      <c r="C741" s="249" t="n"/>
      <c r="D741" s="249" t="n"/>
      <c r="E741" s="249" t="n"/>
      <c r="F741" s="249" t="n"/>
      <c r="G741" s="249" t="n"/>
      <c r="H741" s="249" t="n"/>
      <c r="I741" s="249" t="n"/>
      <c r="J741" s="249" t="n"/>
      <c r="K741" s="249" t="n"/>
      <c r="L741" s="249" t="n"/>
    </row>
    <row r="742" ht="13" customHeight="1" s="250">
      <c r="A742" s="249" t="n"/>
      <c r="B742" s="249" t="n"/>
      <c r="C742" s="249" t="n"/>
      <c r="D742" s="249" t="n"/>
      <c r="E742" s="249" t="n"/>
      <c r="F742" s="249" t="n"/>
      <c r="G742" s="249" t="n"/>
      <c r="H742" s="249" t="n"/>
      <c r="I742" s="249" t="n"/>
      <c r="J742" s="249" t="n"/>
      <c r="K742" s="249" t="n"/>
      <c r="L742" s="249" t="n"/>
    </row>
    <row r="743" ht="13" customHeight="1" s="250">
      <c r="A743" s="249" t="n"/>
      <c r="B743" s="249" t="n"/>
      <c r="C743" s="249" t="n"/>
      <c r="D743" s="249" t="n"/>
      <c r="E743" s="249" t="n"/>
      <c r="F743" s="249" t="n"/>
      <c r="G743" s="249" t="n"/>
      <c r="H743" s="249" t="n"/>
      <c r="I743" s="249" t="n"/>
      <c r="J743" s="249" t="n"/>
      <c r="K743" s="249" t="n"/>
      <c r="L743" s="249" t="n"/>
    </row>
    <row r="744" ht="13" customHeight="1" s="250">
      <c r="A744" s="249" t="n"/>
      <c r="B744" s="249" t="n"/>
      <c r="C744" s="249" t="n"/>
      <c r="D744" s="249" t="n"/>
      <c r="E744" s="249" t="n"/>
      <c r="F744" s="249" t="n"/>
      <c r="G744" s="249" t="n"/>
      <c r="H744" s="249" t="n"/>
      <c r="I744" s="249" t="n"/>
      <c r="J744" s="249" t="n"/>
      <c r="K744" s="249" t="n"/>
      <c r="L744" s="249" t="n"/>
    </row>
    <row r="745" ht="13" customHeight="1" s="250">
      <c r="A745" s="249" t="n"/>
      <c r="B745" s="249" t="n"/>
      <c r="C745" s="249" t="n"/>
      <c r="D745" s="249" t="n"/>
      <c r="E745" s="249" t="n"/>
      <c r="F745" s="249" t="n"/>
      <c r="G745" s="249" t="n"/>
      <c r="H745" s="249" t="n"/>
      <c r="I745" s="249" t="n"/>
      <c r="J745" s="249" t="n"/>
      <c r="K745" s="249" t="n"/>
      <c r="L745" s="249" t="n"/>
    </row>
    <row r="746" ht="13" customHeight="1" s="250">
      <c r="A746" s="249" t="n"/>
      <c r="B746" s="249" t="n"/>
      <c r="C746" s="249" t="n"/>
      <c r="D746" s="249" t="n"/>
      <c r="E746" s="249" t="n"/>
      <c r="F746" s="249" t="n"/>
      <c r="G746" s="249" t="n"/>
      <c r="H746" s="249" t="n"/>
      <c r="I746" s="249" t="n"/>
      <c r="J746" s="249" t="n"/>
      <c r="K746" s="249" t="n"/>
      <c r="L746" s="249" t="n"/>
    </row>
    <row r="747" ht="13" customHeight="1" s="250">
      <c r="A747" s="249" t="n"/>
      <c r="B747" s="249" t="n"/>
      <c r="C747" s="249" t="n"/>
      <c r="D747" s="249" t="n"/>
      <c r="E747" s="249" t="n"/>
      <c r="F747" s="249" t="n"/>
      <c r="G747" s="249" t="n"/>
      <c r="H747" s="249" t="n"/>
      <c r="I747" s="249" t="n"/>
      <c r="J747" s="249" t="n"/>
      <c r="K747" s="249" t="n"/>
      <c r="L747" s="249" t="n"/>
    </row>
    <row r="748" ht="13" customHeight="1" s="250">
      <c r="A748" s="249" t="n"/>
      <c r="B748" s="249" t="n"/>
      <c r="C748" s="249" t="n"/>
      <c r="D748" s="249" t="n"/>
      <c r="E748" s="249" t="n"/>
      <c r="F748" s="249" t="n"/>
      <c r="G748" s="249" t="n"/>
      <c r="H748" s="249" t="n"/>
      <c r="I748" s="249" t="n"/>
      <c r="J748" s="249" t="n"/>
      <c r="K748" s="249" t="n"/>
      <c r="L748" s="249" t="n"/>
    </row>
    <row r="749" ht="13" customHeight="1" s="250">
      <c r="A749" s="249" t="n"/>
      <c r="B749" s="249" t="n"/>
      <c r="C749" s="249" t="n"/>
      <c r="D749" s="249" t="n"/>
      <c r="E749" s="249" t="n"/>
      <c r="F749" s="249" t="n"/>
      <c r="G749" s="249" t="n"/>
      <c r="H749" s="249" t="n"/>
      <c r="I749" s="249" t="n"/>
      <c r="J749" s="249" t="n"/>
      <c r="K749" s="249" t="n"/>
      <c r="L749" s="249" t="n"/>
    </row>
    <row r="750" ht="13" customHeight="1" s="250">
      <c r="A750" s="249" t="n"/>
      <c r="B750" s="249" t="n"/>
      <c r="C750" s="249" t="n"/>
      <c r="D750" s="249" t="n"/>
      <c r="E750" s="249" t="n"/>
      <c r="F750" s="249" t="n"/>
      <c r="G750" s="249" t="n"/>
      <c r="H750" s="249" t="n"/>
      <c r="I750" s="249" t="n"/>
      <c r="J750" s="249" t="n"/>
      <c r="K750" s="249" t="n"/>
      <c r="L750" s="249" t="n"/>
    </row>
    <row r="751" ht="13" customHeight="1" s="250">
      <c r="A751" s="249" t="n"/>
      <c r="B751" s="249" t="n"/>
      <c r="C751" s="249" t="n"/>
      <c r="D751" s="249" t="n"/>
      <c r="E751" s="249" t="n"/>
      <c r="F751" s="249" t="n"/>
      <c r="G751" s="249" t="n"/>
      <c r="H751" s="249" t="n"/>
      <c r="I751" s="249" t="n"/>
      <c r="J751" s="249" t="n"/>
      <c r="K751" s="249" t="n"/>
      <c r="L751" s="249" t="n"/>
    </row>
    <row r="752" ht="13" customHeight="1" s="250">
      <c r="A752" s="249" t="n"/>
      <c r="B752" s="249" t="n"/>
      <c r="C752" s="249" t="n"/>
      <c r="D752" s="249" t="n"/>
      <c r="E752" s="249" t="n"/>
      <c r="F752" s="249" t="n"/>
      <c r="G752" s="249" t="n"/>
      <c r="H752" s="249" t="n"/>
      <c r="I752" s="249" t="n"/>
      <c r="J752" s="249" t="n"/>
      <c r="K752" s="249" t="n"/>
      <c r="L752" s="249" t="n"/>
    </row>
    <row r="753" ht="13" customHeight="1" s="250">
      <c r="A753" s="249" t="n"/>
      <c r="B753" s="249" t="n"/>
      <c r="C753" s="249" t="n"/>
      <c r="D753" s="249" t="n"/>
      <c r="E753" s="249" t="n"/>
      <c r="F753" s="249" t="n"/>
      <c r="G753" s="249" t="n"/>
      <c r="H753" s="249" t="n"/>
      <c r="I753" s="249" t="n"/>
      <c r="J753" s="249" t="n"/>
      <c r="K753" s="249" t="n"/>
      <c r="L753" s="249" t="n"/>
    </row>
    <row r="754" ht="13" customHeight="1" s="250">
      <c r="A754" s="249" t="n"/>
      <c r="B754" s="249" t="n"/>
      <c r="C754" s="249" t="n"/>
      <c r="D754" s="249" t="n"/>
      <c r="E754" s="249" t="n"/>
      <c r="F754" s="249" t="n"/>
      <c r="G754" s="249" t="n"/>
      <c r="H754" s="249" t="n"/>
      <c r="I754" s="249" t="n"/>
      <c r="J754" s="249" t="n"/>
      <c r="K754" s="249" t="n"/>
      <c r="L754" s="249" t="n"/>
    </row>
    <row r="755" ht="13" customHeight="1" s="250">
      <c r="A755" s="249" t="n"/>
      <c r="B755" s="249" t="n"/>
      <c r="C755" s="249" t="n"/>
      <c r="D755" s="249" t="n"/>
      <c r="E755" s="249" t="n"/>
      <c r="F755" s="249" t="n"/>
      <c r="G755" s="249" t="n"/>
      <c r="H755" s="249" t="n"/>
      <c r="I755" s="249" t="n"/>
      <c r="J755" s="249" t="n"/>
      <c r="K755" s="249" t="n"/>
      <c r="L755" s="249" t="n"/>
    </row>
    <row r="756" ht="13" customHeight="1" s="250">
      <c r="A756" s="249" t="n"/>
      <c r="B756" s="249" t="n"/>
      <c r="C756" s="249" t="n"/>
      <c r="D756" s="249" t="n"/>
      <c r="E756" s="249" t="n"/>
      <c r="F756" s="249" t="n"/>
      <c r="G756" s="249" t="n"/>
      <c r="H756" s="249" t="n"/>
      <c r="I756" s="249" t="n"/>
      <c r="J756" s="249" t="n"/>
      <c r="K756" s="249" t="n"/>
      <c r="L756" s="249" t="n"/>
    </row>
    <row r="757" ht="13" customHeight="1" s="250">
      <c r="A757" s="249" t="n"/>
      <c r="B757" s="249" t="n"/>
      <c r="C757" s="249" t="n"/>
      <c r="D757" s="249" t="n"/>
      <c r="E757" s="249" t="n"/>
      <c r="F757" s="249" t="n"/>
      <c r="G757" s="249" t="n"/>
      <c r="H757" s="249" t="n"/>
      <c r="I757" s="249" t="n"/>
      <c r="J757" s="249" t="n"/>
      <c r="K757" s="249" t="n"/>
      <c r="L757" s="249" t="n"/>
    </row>
    <row r="758" ht="13" customHeight="1" s="250">
      <c r="A758" s="249" t="n"/>
      <c r="B758" s="249" t="n"/>
      <c r="C758" s="249" t="n"/>
      <c r="D758" s="249" t="n"/>
      <c r="E758" s="249" t="n"/>
      <c r="F758" s="249" t="n"/>
      <c r="G758" s="249" t="n"/>
      <c r="H758" s="249" t="n"/>
      <c r="I758" s="249" t="n"/>
      <c r="J758" s="249" t="n"/>
      <c r="K758" s="249" t="n"/>
      <c r="L758" s="249" t="n"/>
    </row>
    <row r="759" ht="13" customHeight="1" s="250">
      <c r="A759" s="249" t="n"/>
      <c r="B759" s="249" t="n"/>
      <c r="C759" s="249" t="n"/>
      <c r="D759" s="249" t="n"/>
      <c r="E759" s="249" t="n"/>
      <c r="F759" s="249" t="n"/>
      <c r="G759" s="249" t="n"/>
      <c r="H759" s="249" t="n"/>
      <c r="I759" s="249" t="n"/>
      <c r="J759" s="249" t="n"/>
      <c r="K759" s="249" t="n"/>
      <c r="L759" s="249" t="n"/>
    </row>
    <row r="760" ht="13" customHeight="1" s="250">
      <c r="A760" s="249" t="n"/>
      <c r="B760" s="249" t="n"/>
      <c r="C760" s="249" t="n"/>
      <c r="D760" s="249" t="n"/>
      <c r="E760" s="249" t="n"/>
      <c r="F760" s="249" t="n"/>
      <c r="G760" s="249" t="n"/>
      <c r="H760" s="249" t="n"/>
      <c r="I760" s="249" t="n"/>
      <c r="J760" s="249" t="n"/>
      <c r="K760" s="249" t="n"/>
      <c r="L760" s="249" t="n"/>
    </row>
    <row r="761" ht="13" customHeight="1" s="250">
      <c r="A761" s="249" t="n"/>
      <c r="B761" s="249" t="n"/>
      <c r="C761" s="249" t="n"/>
      <c r="D761" s="249" t="n"/>
      <c r="E761" s="249" t="n"/>
      <c r="F761" s="249" t="n"/>
      <c r="G761" s="249" t="n"/>
      <c r="H761" s="249" t="n"/>
      <c r="I761" s="249" t="n"/>
      <c r="J761" s="249" t="n"/>
      <c r="K761" s="249" t="n"/>
      <c r="L761" s="249" t="n"/>
    </row>
    <row r="762" ht="13" customHeight="1" s="250">
      <c r="A762" s="249" t="n"/>
      <c r="B762" s="249" t="n"/>
      <c r="C762" s="249" t="n"/>
      <c r="D762" s="249" t="n"/>
      <c r="E762" s="249" t="n"/>
      <c r="F762" s="249" t="n"/>
      <c r="G762" s="249" t="n"/>
      <c r="H762" s="249" t="n"/>
      <c r="I762" s="249" t="n"/>
      <c r="J762" s="249" t="n"/>
      <c r="K762" s="249" t="n"/>
      <c r="L762" s="249" t="n"/>
    </row>
    <row r="763" ht="13" customHeight="1" s="250">
      <c r="A763" s="249" t="n"/>
      <c r="B763" s="249" t="n"/>
      <c r="C763" s="249" t="n"/>
      <c r="D763" s="249" t="n"/>
      <c r="E763" s="249" t="n"/>
      <c r="F763" s="249" t="n"/>
      <c r="G763" s="249" t="n"/>
      <c r="H763" s="249" t="n"/>
      <c r="I763" s="249" t="n"/>
      <c r="J763" s="249" t="n"/>
      <c r="K763" s="249" t="n"/>
      <c r="L763" s="249" t="n"/>
    </row>
    <row r="764" ht="13" customHeight="1" s="250">
      <c r="A764" s="249" t="n"/>
      <c r="B764" s="249" t="n"/>
      <c r="C764" s="249" t="n"/>
      <c r="D764" s="249" t="n"/>
      <c r="E764" s="249" t="n"/>
      <c r="F764" s="249" t="n"/>
      <c r="G764" s="249" t="n"/>
      <c r="H764" s="249" t="n"/>
      <c r="I764" s="249" t="n"/>
      <c r="J764" s="249" t="n"/>
      <c r="K764" s="249" t="n"/>
      <c r="L764" s="249" t="n"/>
    </row>
    <row r="765" ht="13" customHeight="1" s="250">
      <c r="A765" s="249" t="n"/>
      <c r="B765" s="249" t="n"/>
      <c r="C765" s="249" t="n"/>
      <c r="D765" s="249" t="n"/>
      <c r="E765" s="249" t="n"/>
      <c r="F765" s="249" t="n"/>
      <c r="G765" s="249" t="n"/>
      <c r="H765" s="249" t="n"/>
      <c r="I765" s="249" t="n"/>
      <c r="J765" s="249" t="n"/>
      <c r="K765" s="249" t="n"/>
      <c r="L765" s="249" t="n"/>
    </row>
    <row r="766" ht="13" customHeight="1" s="250">
      <c r="A766" s="249" t="n"/>
      <c r="B766" s="249" t="n"/>
      <c r="C766" s="249" t="n"/>
      <c r="D766" s="249" t="n"/>
      <c r="E766" s="249" t="n"/>
      <c r="F766" s="249" t="n"/>
      <c r="G766" s="249" t="n"/>
      <c r="H766" s="249" t="n"/>
      <c r="I766" s="249" t="n"/>
      <c r="J766" s="249" t="n"/>
      <c r="K766" s="249" t="n"/>
      <c r="L766" s="249" t="n"/>
    </row>
    <row r="767" ht="13" customHeight="1" s="250">
      <c r="A767" s="249" t="n"/>
      <c r="B767" s="249" t="n"/>
      <c r="C767" s="249" t="n"/>
      <c r="D767" s="249" t="n"/>
      <c r="E767" s="249" t="n"/>
      <c r="F767" s="249" t="n"/>
      <c r="G767" s="249" t="n"/>
      <c r="H767" s="249" t="n"/>
      <c r="I767" s="249" t="n"/>
      <c r="J767" s="249" t="n"/>
      <c r="K767" s="249" t="n"/>
      <c r="L767" s="249" t="n"/>
    </row>
    <row r="768" ht="13" customHeight="1" s="250">
      <c r="A768" s="249" t="n"/>
      <c r="B768" s="249" t="n"/>
      <c r="C768" s="249" t="n"/>
      <c r="D768" s="249" t="n"/>
      <c r="E768" s="249" t="n"/>
      <c r="F768" s="249" t="n"/>
      <c r="G768" s="249" t="n"/>
      <c r="H768" s="249" t="n"/>
      <c r="I768" s="249" t="n"/>
      <c r="J768" s="249" t="n"/>
      <c r="K768" s="249" t="n"/>
      <c r="L768" s="249" t="n"/>
    </row>
    <row r="769" ht="13" customHeight="1" s="250">
      <c r="A769" s="249" t="n"/>
      <c r="B769" s="249" t="n"/>
      <c r="C769" s="249" t="n"/>
      <c r="D769" s="249" t="n"/>
      <c r="E769" s="249" t="n"/>
      <c r="F769" s="249" t="n"/>
      <c r="G769" s="249" t="n"/>
      <c r="H769" s="249" t="n"/>
      <c r="I769" s="249" t="n"/>
      <c r="J769" s="249" t="n"/>
      <c r="K769" s="249" t="n"/>
      <c r="L769" s="249" t="n"/>
    </row>
    <row r="770" ht="13" customHeight="1" s="250">
      <c r="A770" s="249" t="n"/>
      <c r="B770" s="249" t="n"/>
      <c r="C770" s="249" t="n"/>
      <c r="D770" s="249" t="n"/>
      <c r="E770" s="249" t="n"/>
      <c r="F770" s="249" t="n"/>
      <c r="G770" s="249" t="n"/>
      <c r="H770" s="249" t="n"/>
      <c r="I770" s="249" t="n"/>
      <c r="J770" s="249" t="n"/>
      <c r="K770" s="249" t="n"/>
      <c r="L770" s="249" t="n"/>
    </row>
    <row r="771" ht="13" customHeight="1" s="250">
      <c r="A771" s="249" t="n"/>
      <c r="B771" s="249" t="n"/>
      <c r="C771" s="249" t="n"/>
      <c r="D771" s="249" t="n"/>
      <c r="E771" s="249" t="n"/>
      <c r="F771" s="249" t="n"/>
      <c r="G771" s="249" t="n"/>
      <c r="H771" s="249" t="n"/>
      <c r="I771" s="249" t="n"/>
      <c r="J771" s="249" t="n"/>
      <c r="K771" s="249" t="n"/>
      <c r="L771" s="249" t="n"/>
    </row>
    <row r="772" ht="13" customHeight="1" s="250">
      <c r="A772" s="249" t="n"/>
      <c r="B772" s="249" t="n"/>
      <c r="C772" s="249" t="n"/>
      <c r="D772" s="249" t="n"/>
      <c r="E772" s="249" t="n"/>
      <c r="F772" s="249" t="n"/>
      <c r="G772" s="249" t="n"/>
      <c r="H772" s="249" t="n"/>
      <c r="I772" s="249" t="n"/>
      <c r="J772" s="249" t="n"/>
      <c r="K772" s="249" t="n"/>
      <c r="L772" s="249" t="n"/>
    </row>
    <row r="773" ht="13" customHeight="1" s="250">
      <c r="A773" s="249" t="n"/>
      <c r="B773" s="249" t="n"/>
      <c r="C773" s="249" t="n"/>
      <c r="D773" s="249" t="n"/>
      <c r="E773" s="249" t="n"/>
      <c r="F773" s="249" t="n"/>
      <c r="G773" s="249" t="n"/>
      <c r="H773" s="249" t="n"/>
      <c r="I773" s="249" t="n"/>
      <c r="J773" s="249" t="n"/>
      <c r="K773" s="249" t="n"/>
      <c r="L773" s="249" t="n"/>
    </row>
    <row r="774" ht="13" customHeight="1" s="250">
      <c r="A774" s="249" t="n"/>
      <c r="B774" s="249" t="n"/>
      <c r="C774" s="249" t="n"/>
      <c r="D774" s="249" t="n"/>
      <c r="E774" s="249" t="n"/>
      <c r="F774" s="249" t="n"/>
      <c r="G774" s="249" t="n"/>
      <c r="H774" s="249" t="n"/>
      <c r="I774" s="249" t="n"/>
      <c r="J774" s="249" t="n"/>
      <c r="K774" s="249" t="n"/>
      <c r="L774" s="249" t="n"/>
    </row>
    <row r="775" ht="13" customHeight="1" s="250">
      <c r="A775" s="249" t="n"/>
      <c r="B775" s="249" t="n"/>
      <c r="C775" s="249" t="n"/>
      <c r="D775" s="249" t="n"/>
      <c r="E775" s="249" t="n"/>
      <c r="F775" s="249" t="n"/>
      <c r="G775" s="249" t="n"/>
      <c r="H775" s="249" t="n"/>
      <c r="I775" s="249" t="n"/>
      <c r="J775" s="249" t="n"/>
      <c r="K775" s="249" t="n"/>
      <c r="L775" s="249" t="n"/>
    </row>
    <row r="776" ht="13" customHeight="1" s="250">
      <c r="A776" s="249" t="n"/>
      <c r="B776" s="249" t="n"/>
      <c r="C776" s="249" t="n"/>
      <c r="D776" s="249" t="n"/>
      <c r="E776" s="249" t="n"/>
      <c r="F776" s="249" t="n"/>
      <c r="G776" s="249" t="n"/>
      <c r="H776" s="249" t="n"/>
      <c r="I776" s="249" t="n"/>
      <c r="J776" s="249" t="n"/>
      <c r="K776" s="249" t="n"/>
      <c r="L776" s="249" t="n"/>
    </row>
    <row r="777" ht="13" customHeight="1" s="250">
      <c r="A777" s="249" t="n"/>
      <c r="B777" s="249" t="n"/>
      <c r="C777" s="249" t="n"/>
      <c r="D777" s="249" t="n"/>
      <c r="E777" s="249" t="n"/>
      <c r="F777" s="249" t="n"/>
      <c r="G777" s="249" t="n"/>
      <c r="H777" s="249" t="n"/>
      <c r="I777" s="249" t="n"/>
      <c r="J777" s="249" t="n"/>
      <c r="K777" s="249" t="n"/>
      <c r="L777" s="249" t="n"/>
    </row>
    <row r="778" ht="13" customHeight="1" s="250">
      <c r="A778" s="249" t="n"/>
      <c r="B778" s="249" t="n"/>
      <c r="C778" s="249" t="n"/>
      <c r="D778" s="249" t="n"/>
      <c r="E778" s="249" t="n"/>
      <c r="F778" s="249" t="n"/>
      <c r="G778" s="249" t="n"/>
      <c r="H778" s="249" t="n"/>
      <c r="I778" s="249" t="n"/>
      <c r="J778" s="249" t="n"/>
      <c r="K778" s="249" t="n"/>
      <c r="L778" s="249" t="n"/>
    </row>
    <row r="779" ht="13" customHeight="1" s="250">
      <c r="A779" s="249" t="n"/>
      <c r="B779" s="249" t="n"/>
      <c r="C779" s="249" t="n"/>
      <c r="D779" s="249" t="n"/>
      <c r="E779" s="249" t="n"/>
      <c r="F779" s="249" t="n"/>
      <c r="G779" s="249" t="n"/>
      <c r="H779" s="249" t="n"/>
      <c r="I779" s="249" t="n"/>
      <c r="J779" s="249" t="n"/>
      <c r="K779" s="249" t="n"/>
      <c r="L779" s="249" t="n"/>
    </row>
    <row r="780" ht="13" customHeight="1" s="250">
      <c r="A780" s="249" t="n"/>
      <c r="B780" s="249" t="n"/>
      <c r="C780" s="249" t="n"/>
      <c r="D780" s="249" t="n"/>
      <c r="E780" s="249" t="n"/>
      <c r="F780" s="249" t="n"/>
      <c r="G780" s="249" t="n"/>
      <c r="H780" s="249" t="n"/>
      <c r="I780" s="249" t="n"/>
      <c r="J780" s="249" t="n"/>
      <c r="K780" s="249" t="n"/>
      <c r="L780" s="249" t="n"/>
    </row>
    <row r="781" ht="13" customHeight="1" s="250">
      <c r="A781" s="249" t="n"/>
      <c r="B781" s="249" t="n"/>
      <c r="C781" s="249" t="n"/>
      <c r="D781" s="249" t="n"/>
      <c r="E781" s="249" t="n"/>
      <c r="F781" s="249" t="n"/>
      <c r="G781" s="249" t="n"/>
      <c r="H781" s="249" t="n"/>
      <c r="I781" s="249" t="n"/>
      <c r="J781" s="249" t="n"/>
      <c r="K781" s="249" t="n"/>
      <c r="L781" s="249" t="n"/>
    </row>
    <row r="782" ht="13" customHeight="1" s="250">
      <c r="A782" s="249" t="n"/>
      <c r="B782" s="249" t="n"/>
      <c r="C782" s="249" t="n"/>
      <c r="D782" s="249" t="n"/>
      <c r="E782" s="249" t="n"/>
      <c r="F782" s="249" t="n"/>
      <c r="G782" s="249" t="n"/>
      <c r="H782" s="249" t="n"/>
      <c r="I782" s="249" t="n"/>
      <c r="J782" s="249" t="n"/>
      <c r="K782" s="249" t="n"/>
      <c r="L782" s="249" t="n"/>
    </row>
    <row r="783" ht="13" customHeight="1" s="250">
      <c r="A783" s="249" t="n"/>
      <c r="B783" s="249" t="n"/>
      <c r="C783" s="249" t="n"/>
      <c r="D783" s="249" t="n"/>
      <c r="E783" s="249" t="n"/>
      <c r="F783" s="249" t="n"/>
      <c r="G783" s="249" t="n"/>
      <c r="H783" s="249" t="n"/>
      <c r="I783" s="249" t="n"/>
      <c r="J783" s="249" t="n"/>
      <c r="K783" s="249" t="n"/>
      <c r="L783" s="249" t="n"/>
    </row>
    <row r="784" ht="13" customHeight="1" s="250">
      <c r="A784" s="249" t="n"/>
      <c r="B784" s="249" t="n"/>
      <c r="C784" s="249" t="n"/>
      <c r="D784" s="249" t="n"/>
      <c r="E784" s="249" t="n"/>
      <c r="F784" s="249" t="n"/>
      <c r="G784" s="249" t="n"/>
      <c r="H784" s="249" t="n"/>
      <c r="I784" s="249" t="n"/>
      <c r="J784" s="249" t="n"/>
      <c r="K784" s="249" t="n"/>
      <c r="L784" s="249" t="n"/>
    </row>
    <row r="785" ht="13" customHeight="1" s="250">
      <c r="A785" s="249" t="n"/>
      <c r="B785" s="249" t="n"/>
      <c r="C785" s="249" t="n"/>
      <c r="D785" s="249" t="n"/>
      <c r="E785" s="249" t="n"/>
      <c r="F785" s="249" t="n"/>
      <c r="G785" s="249" t="n"/>
      <c r="H785" s="249" t="n"/>
      <c r="I785" s="249" t="n"/>
      <c r="J785" s="249" t="n"/>
      <c r="K785" s="249" t="n"/>
      <c r="L785" s="249" t="n"/>
    </row>
    <row r="786" ht="13" customHeight="1" s="250">
      <c r="A786" s="249" t="n"/>
      <c r="B786" s="249" t="n"/>
      <c r="C786" s="249" t="n"/>
      <c r="D786" s="249" t="n"/>
      <c r="E786" s="249" t="n"/>
      <c r="F786" s="249" t="n"/>
      <c r="G786" s="249" t="n"/>
      <c r="H786" s="249" t="n"/>
      <c r="I786" s="249" t="n"/>
      <c r="J786" s="249" t="n"/>
      <c r="K786" s="249" t="n"/>
      <c r="L786" s="249" t="n"/>
    </row>
    <row r="787" ht="13" customHeight="1" s="250">
      <c r="A787" s="249" t="n"/>
      <c r="B787" s="249" t="n"/>
      <c r="C787" s="249" t="n"/>
      <c r="D787" s="249" t="n"/>
      <c r="E787" s="249" t="n"/>
      <c r="F787" s="249" t="n"/>
      <c r="G787" s="249" t="n"/>
      <c r="H787" s="249" t="n"/>
      <c r="I787" s="249" t="n"/>
      <c r="J787" s="249" t="n"/>
      <c r="K787" s="249" t="n"/>
      <c r="L787" s="249" t="n"/>
    </row>
    <row r="788" ht="13" customHeight="1" s="250">
      <c r="A788" s="249" t="n"/>
      <c r="B788" s="249" t="n"/>
      <c r="C788" s="249" t="n"/>
      <c r="D788" s="249" t="n"/>
      <c r="E788" s="249" t="n"/>
      <c r="F788" s="249" t="n"/>
      <c r="G788" s="249" t="n"/>
      <c r="H788" s="249" t="n"/>
      <c r="I788" s="249" t="n"/>
      <c r="J788" s="249" t="n"/>
      <c r="K788" s="249" t="n"/>
      <c r="L788" s="249" t="n"/>
    </row>
    <row r="789" ht="13" customHeight="1" s="250">
      <c r="A789" s="249" t="n"/>
      <c r="B789" s="249" t="n"/>
      <c r="C789" s="249" t="n"/>
      <c r="D789" s="249" t="n"/>
      <c r="E789" s="249" t="n"/>
      <c r="F789" s="249" t="n"/>
      <c r="G789" s="249" t="n"/>
      <c r="H789" s="249" t="n"/>
      <c r="I789" s="249" t="n"/>
      <c r="J789" s="249" t="n"/>
      <c r="K789" s="249" t="n"/>
      <c r="L789" s="249" t="n"/>
    </row>
    <row r="790" ht="13" customHeight="1" s="250">
      <c r="A790" s="249" t="n"/>
      <c r="B790" s="249" t="n"/>
      <c r="C790" s="249" t="n"/>
      <c r="D790" s="249" t="n"/>
      <c r="E790" s="249" t="n"/>
      <c r="F790" s="249" t="n"/>
      <c r="G790" s="249" t="n"/>
      <c r="H790" s="249" t="n"/>
      <c r="I790" s="249" t="n"/>
      <c r="J790" s="249" t="n"/>
      <c r="K790" s="249" t="n"/>
      <c r="L790" s="249" t="n"/>
    </row>
    <row r="791" ht="13" customHeight="1" s="250">
      <c r="A791" s="249" t="n"/>
      <c r="B791" s="249" t="n"/>
      <c r="C791" s="249" t="n"/>
      <c r="D791" s="249" t="n"/>
      <c r="E791" s="249" t="n"/>
      <c r="F791" s="249" t="n"/>
      <c r="G791" s="249" t="n"/>
      <c r="H791" s="249" t="n"/>
      <c r="I791" s="249" t="n"/>
      <c r="J791" s="249" t="n"/>
      <c r="K791" s="249" t="n"/>
      <c r="L791" s="249" t="n"/>
    </row>
    <row r="792" ht="13" customHeight="1" s="250">
      <c r="A792" s="249" t="n"/>
      <c r="B792" s="249" t="n"/>
      <c r="C792" s="249" t="n"/>
      <c r="D792" s="249" t="n"/>
      <c r="E792" s="249" t="n"/>
      <c r="F792" s="249" t="n"/>
      <c r="G792" s="249" t="n"/>
      <c r="H792" s="249" t="n"/>
      <c r="I792" s="249" t="n"/>
      <c r="J792" s="249" t="n"/>
      <c r="K792" s="249" t="n"/>
      <c r="L792" s="249" t="n"/>
    </row>
    <row r="793" ht="13" customHeight="1" s="250">
      <c r="A793" s="249" t="n"/>
      <c r="B793" s="249" t="n"/>
      <c r="C793" s="249" t="n"/>
      <c r="D793" s="249" t="n"/>
      <c r="E793" s="249" t="n"/>
      <c r="F793" s="249" t="n"/>
      <c r="G793" s="249" t="n"/>
      <c r="H793" s="249" t="n"/>
      <c r="I793" s="249" t="n"/>
      <c r="J793" s="249" t="n"/>
      <c r="K793" s="249" t="n"/>
      <c r="L793" s="249" t="n"/>
    </row>
    <row r="794" ht="13" customHeight="1" s="250">
      <c r="A794" s="249" t="n"/>
      <c r="B794" s="249" t="n"/>
      <c r="C794" s="249" t="n"/>
      <c r="D794" s="249" t="n"/>
      <c r="E794" s="249" t="n"/>
      <c r="F794" s="249" t="n"/>
      <c r="G794" s="249" t="n"/>
      <c r="H794" s="249" t="n"/>
      <c r="I794" s="249" t="n"/>
      <c r="J794" s="249" t="n"/>
      <c r="K794" s="249" t="n"/>
      <c r="L794" s="249" t="n"/>
    </row>
    <row r="795" ht="13" customHeight="1" s="250">
      <c r="A795" s="249" t="n"/>
      <c r="B795" s="249" t="n"/>
      <c r="C795" s="249" t="n"/>
      <c r="D795" s="249" t="n"/>
      <c r="E795" s="249" t="n"/>
      <c r="F795" s="249" t="n"/>
      <c r="G795" s="249" t="n"/>
      <c r="H795" s="249" t="n"/>
      <c r="I795" s="249" t="n"/>
      <c r="J795" s="249" t="n"/>
      <c r="K795" s="249" t="n"/>
      <c r="L795" s="249" t="n"/>
    </row>
    <row r="796" ht="13" customHeight="1" s="250">
      <c r="A796" s="249" t="n"/>
      <c r="B796" s="249" t="n"/>
      <c r="C796" s="249" t="n"/>
      <c r="D796" s="249" t="n"/>
      <c r="E796" s="249" t="n"/>
      <c r="F796" s="249" t="n"/>
      <c r="G796" s="249" t="n"/>
      <c r="H796" s="249" t="n"/>
      <c r="I796" s="249" t="n"/>
      <c r="J796" s="249" t="n"/>
      <c r="K796" s="249" t="n"/>
      <c r="L796" s="249" t="n"/>
    </row>
    <row r="797" ht="13" customHeight="1" s="250">
      <c r="A797" s="249" t="n"/>
      <c r="B797" s="249" t="n"/>
      <c r="C797" s="249" t="n"/>
      <c r="D797" s="249" t="n"/>
      <c r="E797" s="249" t="n"/>
      <c r="F797" s="249" t="n"/>
      <c r="G797" s="249" t="n"/>
      <c r="H797" s="249" t="n"/>
      <c r="I797" s="249" t="n"/>
      <c r="J797" s="249" t="n"/>
      <c r="K797" s="249" t="n"/>
      <c r="L797" s="249" t="n"/>
    </row>
    <row r="798" ht="13" customHeight="1" s="250">
      <c r="A798" s="249" t="n"/>
      <c r="B798" s="249" t="n"/>
      <c r="C798" s="249" t="n"/>
      <c r="D798" s="249" t="n"/>
      <c r="E798" s="249" t="n"/>
      <c r="F798" s="249" t="n"/>
      <c r="G798" s="249" t="n"/>
      <c r="H798" s="249" t="n"/>
      <c r="I798" s="249" t="n"/>
      <c r="J798" s="249" t="n"/>
      <c r="K798" s="249" t="n"/>
      <c r="L798" s="249" t="n"/>
    </row>
    <row r="799" ht="13" customHeight="1" s="250">
      <c r="A799" s="249" t="n"/>
      <c r="B799" s="249" t="n"/>
      <c r="C799" s="249" t="n"/>
      <c r="D799" s="249" t="n"/>
      <c r="E799" s="249" t="n"/>
      <c r="F799" s="249" t="n"/>
      <c r="G799" s="249" t="n"/>
      <c r="H799" s="249" t="n"/>
      <c r="I799" s="249" t="n"/>
      <c r="J799" s="249" t="n"/>
      <c r="K799" s="249" t="n"/>
      <c r="L799" s="249" t="n"/>
    </row>
    <row r="800" ht="13" customHeight="1" s="250">
      <c r="A800" s="249" t="n"/>
      <c r="B800" s="249" t="n"/>
      <c r="C800" s="249" t="n"/>
      <c r="D800" s="249" t="n"/>
      <c r="E800" s="249" t="n"/>
      <c r="F800" s="249" t="n"/>
      <c r="G800" s="249" t="n"/>
      <c r="H800" s="249" t="n"/>
      <c r="I800" s="249" t="n"/>
      <c r="J800" s="249" t="n"/>
      <c r="K800" s="249" t="n"/>
      <c r="L800" s="249" t="n"/>
    </row>
    <row r="801" ht="13" customHeight="1" s="250">
      <c r="A801" s="249" t="n"/>
      <c r="B801" s="249" t="n"/>
      <c r="C801" s="249" t="n"/>
      <c r="D801" s="249" t="n"/>
      <c r="E801" s="249" t="n"/>
      <c r="F801" s="249" t="n"/>
      <c r="G801" s="249" t="n"/>
      <c r="H801" s="249" t="n"/>
      <c r="I801" s="249" t="n"/>
      <c r="J801" s="249" t="n"/>
      <c r="K801" s="249" t="n"/>
      <c r="L801" s="249" t="n"/>
    </row>
    <row r="802" ht="13" customHeight="1" s="250">
      <c r="A802" s="249" t="n"/>
      <c r="B802" s="249" t="n"/>
      <c r="C802" s="249" t="n"/>
      <c r="D802" s="249" t="n"/>
      <c r="E802" s="249" t="n"/>
      <c r="F802" s="249" t="n"/>
      <c r="G802" s="249" t="n"/>
      <c r="H802" s="249" t="n"/>
      <c r="I802" s="249" t="n"/>
      <c r="J802" s="249" t="n"/>
      <c r="K802" s="249" t="n"/>
      <c r="L802" s="249" t="n"/>
    </row>
    <row r="803" ht="13" customHeight="1" s="250">
      <c r="A803" s="249" t="n"/>
      <c r="B803" s="249" t="n"/>
      <c r="C803" s="249" t="n"/>
      <c r="D803" s="249" t="n"/>
      <c r="E803" s="249" t="n"/>
      <c r="F803" s="249" t="n"/>
      <c r="G803" s="249" t="n"/>
      <c r="H803" s="249" t="n"/>
      <c r="I803" s="249" t="n"/>
      <c r="J803" s="249" t="n"/>
      <c r="K803" s="249" t="n"/>
      <c r="L803" s="249" t="n"/>
    </row>
    <row r="804" ht="13" customHeight="1" s="250">
      <c r="A804" s="249" t="n"/>
      <c r="B804" s="249" t="n"/>
      <c r="C804" s="249" t="n"/>
      <c r="D804" s="249" t="n"/>
      <c r="E804" s="249" t="n"/>
      <c r="F804" s="249" t="n"/>
      <c r="G804" s="249" t="n"/>
      <c r="H804" s="249" t="n"/>
      <c r="I804" s="249" t="n"/>
      <c r="J804" s="249" t="n"/>
      <c r="K804" s="249" t="n"/>
      <c r="L804" s="249" t="n"/>
    </row>
    <row r="805" ht="13" customHeight="1" s="250">
      <c r="A805" s="249" t="n"/>
      <c r="B805" s="249" t="n"/>
      <c r="C805" s="249" t="n"/>
      <c r="D805" s="249" t="n"/>
      <c r="E805" s="249" t="n"/>
      <c r="F805" s="249" t="n"/>
      <c r="G805" s="249" t="n"/>
      <c r="H805" s="249" t="n"/>
      <c r="I805" s="249" t="n"/>
      <c r="J805" s="249" t="n"/>
      <c r="K805" s="249" t="n"/>
      <c r="L805" s="249" t="n"/>
    </row>
    <row r="806" ht="13" customHeight="1" s="250">
      <c r="A806" s="249" t="n"/>
      <c r="B806" s="249" t="n"/>
      <c r="C806" s="249" t="n"/>
      <c r="D806" s="249" t="n"/>
      <c r="E806" s="249" t="n"/>
      <c r="F806" s="249" t="n"/>
      <c r="G806" s="249" t="n"/>
      <c r="H806" s="249" t="n"/>
      <c r="I806" s="249" t="n"/>
      <c r="J806" s="249" t="n"/>
      <c r="K806" s="249" t="n"/>
      <c r="L806" s="249" t="n"/>
    </row>
    <row r="807" ht="13" customHeight="1" s="250">
      <c r="A807" s="249" t="n"/>
      <c r="B807" s="249" t="n"/>
      <c r="C807" s="249" t="n"/>
      <c r="D807" s="249" t="n"/>
      <c r="E807" s="249" t="n"/>
      <c r="F807" s="249" t="n"/>
      <c r="G807" s="249" t="n"/>
      <c r="H807" s="249" t="n"/>
      <c r="I807" s="249" t="n"/>
      <c r="J807" s="249" t="n"/>
      <c r="K807" s="249" t="n"/>
      <c r="L807" s="249" t="n"/>
    </row>
    <row r="808" ht="13" customHeight="1" s="250">
      <c r="A808" s="249" t="n"/>
      <c r="B808" s="249" t="n"/>
      <c r="C808" s="249" t="n"/>
      <c r="D808" s="249" t="n"/>
      <c r="E808" s="249" t="n"/>
      <c r="F808" s="249" t="n"/>
      <c r="G808" s="249" t="n"/>
      <c r="H808" s="249" t="n"/>
      <c r="I808" s="249" t="n"/>
      <c r="J808" s="249" t="n"/>
      <c r="K808" s="249" t="n"/>
      <c r="L808" s="249" t="n"/>
    </row>
    <row r="809" ht="13" customHeight="1" s="250">
      <c r="A809" s="249" t="n"/>
      <c r="B809" s="249" t="n"/>
      <c r="C809" s="249" t="n"/>
      <c r="D809" s="249" t="n"/>
      <c r="E809" s="249" t="n"/>
      <c r="F809" s="249" t="n"/>
      <c r="G809" s="249" t="n"/>
      <c r="H809" s="249" t="n"/>
      <c r="I809" s="249" t="n"/>
      <c r="J809" s="249" t="n"/>
      <c r="K809" s="249" t="n"/>
      <c r="L809" s="249" t="n"/>
    </row>
    <row r="810" ht="13" customHeight="1" s="250">
      <c r="A810" s="249" t="n"/>
      <c r="B810" s="249" t="n"/>
      <c r="C810" s="249" t="n"/>
      <c r="D810" s="249" t="n"/>
      <c r="E810" s="249" t="n"/>
      <c r="F810" s="249" t="n"/>
      <c r="G810" s="249" t="n"/>
      <c r="H810" s="249" t="n"/>
      <c r="I810" s="249" t="n"/>
      <c r="J810" s="249" t="n"/>
      <c r="K810" s="249" t="n"/>
      <c r="L810" s="249" t="n"/>
    </row>
    <row r="811" ht="13" customHeight="1" s="250">
      <c r="A811" s="249" t="n"/>
      <c r="B811" s="249" t="n"/>
      <c r="C811" s="249" t="n"/>
      <c r="D811" s="249" t="n"/>
      <c r="E811" s="249" t="n"/>
      <c r="F811" s="249" t="n"/>
      <c r="G811" s="249" t="n"/>
      <c r="H811" s="249" t="n"/>
      <c r="I811" s="249" t="n"/>
      <c r="J811" s="249" t="n"/>
      <c r="K811" s="249" t="n"/>
      <c r="L811" s="249" t="n"/>
    </row>
    <row r="812" ht="13" customHeight="1" s="250">
      <c r="A812" s="249" t="n"/>
      <c r="B812" s="249" t="n"/>
      <c r="C812" s="249" t="n"/>
      <c r="D812" s="249" t="n"/>
      <c r="E812" s="249" t="n"/>
      <c r="F812" s="249" t="n"/>
      <c r="G812" s="249" t="n"/>
      <c r="H812" s="249" t="n"/>
      <c r="I812" s="249" t="n"/>
      <c r="J812" s="249" t="n"/>
      <c r="K812" s="249" t="n"/>
      <c r="L812" s="249" t="n"/>
    </row>
    <row r="813" ht="13" customHeight="1" s="250">
      <c r="A813" s="249" t="n"/>
      <c r="B813" s="249" t="n"/>
      <c r="C813" s="249" t="n"/>
      <c r="D813" s="249" t="n"/>
      <c r="E813" s="249" t="n"/>
      <c r="F813" s="249" t="n"/>
      <c r="G813" s="249" t="n"/>
      <c r="H813" s="249" t="n"/>
      <c r="I813" s="249" t="n"/>
      <c r="J813" s="249" t="n"/>
      <c r="K813" s="249" t="n"/>
      <c r="L813" s="249" t="n"/>
    </row>
    <row r="814" ht="13" customHeight="1" s="250">
      <c r="A814" s="249" t="n"/>
      <c r="B814" s="249" t="n"/>
      <c r="C814" s="249" t="n"/>
      <c r="D814" s="249" t="n"/>
      <c r="E814" s="249" t="n"/>
      <c r="F814" s="249" t="n"/>
      <c r="G814" s="249" t="n"/>
      <c r="H814" s="249" t="n"/>
      <c r="I814" s="249" t="n"/>
      <c r="J814" s="249" t="n"/>
      <c r="K814" s="249" t="n"/>
      <c r="L814" s="249" t="n"/>
    </row>
    <row r="815" ht="13" customHeight="1" s="250">
      <c r="A815" s="249" t="n"/>
      <c r="B815" s="249" t="n"/>
      <c r="C815" s="249" t="n"/>
      <c r="D815" s="249" t="n"/>
      <c r="E815" s="249" t="n"/>
      <c r="F815" s="249" t="n"/>
      <c r="G815" s="249" t="n"/>
      <c r="H815" s="249" t="n"/>
      <c r="I815" s="249" t="n"/>
      <c r="J815" s="249" t="n"/>
      <c r="K815" s="249" t="n"/>
      <c r="L815" s="249" t="n"/>
    </row>
    <row r="816" ht="13" customHeight="1" s="250">
      <c r="A816" s="249" t="n"/>
      <c r="B816" s="249" t="n"/>
      <c r="C816" s="249" t="n"/>
      <c r="D816" s="249" t="n"/>
      <c r="E816" s="249" t="n"/>
      <c r="F816" s="249" t="n"/>
      <c r="G816" s="249" t="n"/>
      <c r="H816" s="249" t="n"/>
      <c r="I816" s="249" t="n"/>
      <c r="J816" s="249" t="n"/>
      <c r="K816" s="249" t="n"/>
      <c r="L816" s="249" t="n"/>
    </row>
    <row r="817" ht="13" customHeight="1" s="250">
      <c r="A817" s="249" t="n"/>
      <c r="B817" s="249" t="n"/>
      <c r="C817" s="249" t="n"/>
      <c r="D817" s="249" t="n"/>
      <c r="E817" s="249" t="n"/>
      <c r="F817" s="249" t="n"/>
      <c r="G817" s="249" t="n"/>
      <c r="H817" s="249" t="n"/>
      <c r="I817" s="249" t="n"/>
      <c r="J817" s="249" t="n"/>
      <c r="K817" s="249" t="n"/>
      <c r="L817" s="249" t="n"/>
    </row>
    <row r="818" ht="13" customHeight="1" s="250">
      <c r="A818" s="249" t="n"/>
      <c r="B818" s="249" t="n"/>
      <c r="C818" s="249" t="n"/>
      <c r="D818" s="249" t="n"/>
      <c r="E818" s="249" t="n"/>
      <c r="F818" s="249" t="n"/>
      <c r="G818" s="249" t="n"/>
      <c r="H818" s="249" t="n"/>
      <c r="I818" s="249" t="n"/>
      <c r="J818" s="249" t="n"/>
      <c r="K818" s="249" t="n"/>
      <c r="L818" s="249" t="n"/>
    </row>
    <row r="819" ht="13" customHeight="1" s="250">
      <c r="A819" s="249" t="n"/>
      <c r="B819" s="249" t="n"/>
      <c r="C819" s="249" t="n"/>
      <c r="D819" s="249" t="n"/>
      <c r="E819" s="249" t="n"/>
      <c r="F819" s="249" t="n"/>
      <c r="G819" s="249" t="n"/>
      <c r="H819" s="249" t="n"/>
      <c r="I819" s="249" t="n"/>
      <c r="J819" s="249" t="n"/>
      <c r="K819" s="249" t="n"/>
      <c r="L819" s="249" t="n"/>
    </row>
    <row r="820" ht="13" customHeight="1" s="250">
      <c r="A820" s="249" t="n"/>
      <c r="B820" s="249" t="n"/>
      <c r="C820" s="249" t="n"/>
      <c r="D820" s="249" t="n"/>
      <c r="E820" s="249" t="n"/>
      <c r="F820" s="249" t="n"/>
      <c r="G820" s="249" t="n"/>
      <c r="H820" s="249" t="n"/>
      <c r="I820" s="249" t="n"/>
      <c r="J820" s="249" t="n"/>
      <c r="K820" s="249" t="n"/>
      <c r="L820" s="249" t="n"/>
    </row>
    <row r="821" ht="13" customHeight="1" s="250">
      <c r="A821" s="249" t="n"/>
      <c r="B821" s="249" t="n"/>
      <c r="C821" s="249" t="n"/>
      <c r="D821" s="249" t="n"/>
      <c r="E821" s="249" t="n"/>
      <c r="F821" s="249" t="n"/>
      <c r="G821" s="249" t="n"/>
      <c r="H821" s="249" t="n"/>
      <c r="I821" s="249" t="n"/>
      <c r="J821" s="249" t="n"/>
      <c r="K821" s="249" t="n"/>
      <c r="L821" s="249" t="n"/>
    </row>
    <row r="822" ht="13" customHeight="1" s="250">
      <c r="A822" s="249" t="n"/>
      <c r="B822" s="249" t="n"/>
      <c r="C822" s="249" t="n"/>
      <c r="D822" s="249" t="n"/>
      <c r="E822" s="249" t="n"/>
      <c r="F822" s="249" t="n"/>
      <c r="G822" s="249" t="n"/>
      <c r="H822" s="249" t="n"/>
      <c r="I822" s="249" t="n"/>
      <c r="J822" s="249" t="n"/>
      <c r="K822" s="249" t="n"/>
      <c r="L822" s="249" t="n"/>
    </row>
    <row r="823" ht="13" customHeight="1" s="250">
      <c r="A823" s="249" t="n"/>
      <c r="B823" s="249" t="n"/>
      <c r="C823" s="249" t="n"/>
      <c r="D823" s="249" t="n"/>
      <c r="E823" s="249" t="n"/>
      <c r="F823" s="249" t="n"/>
      <c r="G823" s="249" t="n"/>
      <c r="H823" s="249" t="n"/>
      <c r="I823" s="249" t="n"/>
      <c r="J823" s="249" t="n"/>
      <c r="K823" s="249" t="n"/>
      <c r="L823" s="249" t="n"/>
    </row>
    <row r="824" ht="13" customHeight="1" s="250">
      <c r="A824" s="249" t="n"/>
      <c r="B824" s="249" t="n"/>
      <c r="C824" s="249" t="n"/>
      <c r="D824" s="249" t="n"/>
      <c r="E824" s="249" t="n"/>
      <c r="F824" s="249" t="n"/>
      <c r="G824" s="249" t="n"/>
      <c r="H824" s="249" t="n"/>
      <c r="I824" s="249" t="n"/>
      <c r="J824" s="249" t="n"/>
      <c r="K824" s="249" t="n"/>
      <c r="L824" s="249" t="n"/>
    </row>
    <row r="825" ht="13" customHeight="1" s="250">
      <c r="A825" s="249" t="n"/>
      <c r="B825" s="249" t="n"/>
      <c r="C825" s="249" t="n"/>
      <c r="D825" s="249" t="n"/>
      <c r="E825" s="249" t="n"/>
      <c r="F825" s="249" t="n"/>
      <c r="G825" s="249" t="n"/>
      <c r="H825" s="249" t="n"/>
      <c r="I825" s="249" t="n"/>
      <c r="J825" s="249" t="n"/>
      <c r="K825" s="249" t="n"/>
      <c r="L825" s="249" t="n"/>
    </row>
    <row r="826" ht="13" customHeight="1" s="250">
      <c r="A826" s="249" t="n"/>
      <c r="B826" s="249" t="n"/>
      <c r="C826" s="249" t="n"/>
      <c r="D826" s="249" t="n"/>
      <c r="E826" s="249" t="n"/>
      <c r="F826" s="249" t="n"/>
      <c r="G826" s="249" t="n"/>
      <c r="H826" s="249" t="n"/>
      <c r="I826" s="249" t="n"/>
      <c r="J826" s="249" t="n"/>
      <c r="K826" s="249" t="n"/>
      <c r="L826" s="249" t="n"/>
    </row>
    <row r="827" ht="13" customHeight="1" s="250">
      <c r="A827" s="249" t="n"/>
      <c r="B827" s="249" t="n"/>
      <c r="C827" s="249" t="n"/>
      <c r="D827" s="249" t="n"/>
      <c r="E827" s="249" t="n"/>
      <c r="F827" s="249" t="n"/>
      <c r="G827" s="249" t="n"/>
      <c r="H827" s="249" t="n"/>
      <c r="I827" s="249" t="n"/>
      <c r="J827" s="249" t="n"/>
      <c r="K827" s="249" t="n"/>
      <c r="L827" s="249" t="n"/>
    </row>
    <row r="828" ht="13" customHeight="1" s="250">
      <c r="A828" s="249" t="n"/>
      <c r="B828" s="249" t="n"/>
      <c r="C828" s="249" t="n"/>
      <c r="D828" s="249" t="n"/>
      <c r="E828" s="249" t="n"/>
      <c r="F828" s="249" t="n"/>
      <c r="G828" s="249" t="n"/>
      <c r="H828" s="249" t="n"/>
      <c r="I828" s="249" t="n"/>
      <c r="J828" s="249" t="n"/>
      <c r="K828" s="249" t="n"/>
      <c r="L828" s="249" t="n"/>
    </row>
    <row r="829" ht="13" customHeight="1" s="250">
      <c r="A829" s="249" t="n"/>
      <c r="B829" s="249" t="n"/>
      <c r="C829" s="249" t="n"/>
      <c r="D829" s="249" t="n"/>
      <c r="E829" s="249" t="n"/>
      <c r="F829" s="249" t="n"/>
      <c r="G829" s="249" t="n"/>
      <c r="H829" s="249" t="n"/>
      <c r="I829" s="249" t="n"/>
      <c r="J829" s="249" t="n"/>
      <c r="K829" s="249" t="n"/>
      <c r="L829" s="249" t="n"/>
    </row>
    <row r="830" ht="13" customHeight="1" s="250">
      <c r="A830" s="249" t="n"/>
      <c r="B830" s="249" t="n"/>
      <c r="C830" s="249" t="n"/>
      <c r="D830" s="249" t="n"/>
      <c r="E830" s="249" t="n"/>
      <c r="F830" s="249" t="n"/>
      <c r="G830" s="249" t="n"/>
      <c r="H830" s="249" t="n"/>
      <c r="I830" s="249" t="n"/>
      <c r="J830" s="249" t="n"/>
      <c r="K830" s="249" t="n"/>
      <c r="L830" s="249" t="n"/>
    </row>
    <row r="831" ht="13" customHeight="1" s="250">
      <c r="A831" s="249" t="n"/>
      <c r="B831" s="249" t="n"/>
      <c r="C831" s="249" t="n"/>
      <c r="D831" s="249" t="n"/>
      <c r="E831" s="249" t="n"/>
      <c r="F831" s="249" t="n"/>
      <c r="G831" s="249" t="n"/>
      <c r="H831" s="249" t="n"/>
      <c r="I831" s="249" t="n"/>
      <c r="J831" s="249" t="n"/>
      <c r="K831" s="249" t="n"/>
      <c r="L831" s="249" t="n"/>
    </row>
    <row r="832" ht="13" customHeight="1" s="250">
      <c r="A832" s="249" t="n"/>
      <c r="B832" s="249" t="n"/>
      <c r="C832" s="249" t="n"/>
      <c r="D832" s="249" t="n"/>
      <c r="E832" s="249" t="n"/>
      <c r="F832" s="249" t="n"/>
      <c r="G832" s="249" t="n"/>
      <c r="H832" s="249" t="n"/>
      <c r="I832" s="249" t="n"/>
      <c r="J832" s="249" t="n"/>
      <c r="K832" s="249" t="n"/>
      <c r="L832" s="249" t="n"/>
    </row>
    <row r="833" ht="13" customHeight="1" s="250">
      <c r="A833" s="249" t="n"/>
      <c r="B833" s="249" t="n"/>
      <c r="C833" s="249" t="n"/>
      <c r="D833" s="249" t="n"/>
      <c r="E833" s="249" t="n"/>
      <c r="F833" s="249" t="n"/>
      <c r="G833" s="249" t="n"/>
      <c r="H833" s="249" t="n"/>
      <c r="I833" s="249" t="n"/>
      <c r="J833" s="249" t="n"/>
      <c r="K833" s="249" t="n"/>
      <c r="L833" s="249" t="n"/>
    </row>
    <row r="834" ht="13" customHeight="1" s="250">
      <c r="A834" s="249" t="n"/>
      <c r="B834" s="249" t="n"/>
      <c r="C834" s="249" t="n"/>
      <c r="D834" s="249" t="n"/>
      <c r="E834" s="249" t="n"/>
      <c r="F834" s="249" t="n"/>
      <c r="G834" s="249" t="n"/>
      <c r="H834" s="249" t="n"/>
      <c r="I834" s="249" t="n"/>
      <c r="J834" s="249" t="n"/>
      <c r="K834" s="249" t="n"/>
      <c r="L834" s="249" t="n"/>
    </row>
  </sheetData>
  <mergeCells count="2">
    <mergeCell ref="B1:I1"/>
    <mergeCell ref="B2:I2"/>
  </mergeCells>
  <hyperlinks>
    <hyperlink xmlns:r="http://schemas.openxmlformats.org/officeDocument/2006/relationships" ref="B26" r:id="rId1"/>
  </hyperlink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H958"/>
  <sheetViews>
    <sheetView zoomScale="130" zoomScaleNormal="130" workbookViewId="0">
      <selection activeCell="A1" sqref="A1"/>
    </sheetView>
  </sheetViews>
  <sheetFormatPr baseColWidth="10" defaultColWidth="12.6640625" defaultRowHeight="15.75" customHeight="1"/>
  <cols>
    <col width="2.6640625" customWidth="1" style="250" min="1" max="1"/>
    <col width="17.6640625" customWidth="1" style="250" min="2" max="2"/>
    <col width="18.1640625" customWidth="1" style="250" min="3" max="3"/>
    <col width="9.33203125" customWidth="1" style="250" min="6" max="6"/>
    <col width="69.6640625" customWidth="1" style="250" min="7" max="7"/>
  </cols>
  <sheetData>
    <row r="1" ht="39" customHeight="1" s="250" thickBot="1">
      <c r="A1" s="100" t="n"/>
      <c r="B1" s="248" t="inlineStr">
        <is>
          <t>List lookups</t>
        </is>
      </c>
      <c r="C1" s="263" t="n"/>
      <c r="D1" s="263" t="n"/>
      <c r="E1" s="263" t="n"/>
      <c r="F1" s="263" t="n"/>
      <c r="G1" s="263" t="n"/>
      <c r="H1" s="39" t="n"/>
    </row>
    <row r="2" ht="14" customHeight="1" s="250" thickBot="1">
      <c r="A2" s="39" t="n"/>
      <c r="B2" s="121" t="n"/>
      <c r="C2" s="121" t="n"/>
      <c r="D2" s="121" t="n"/>
      <c r="E2" s="121" t="n"/>
      <c r="F2" s="121" t="n"/>
      <c r="G2" s="121" t="n"/>
      <c r="H2" s="121" t="n"/>
    </row>
    <row r="3" ht="14" customHeight="1" s="250" thickBot="1">
      <c r="A3" s="39" t="n"/>
      <c r="B3" s="39" t="inlineStr">
        <is>
          <t>You can look up values from lists specified in the choices sheet, entity lists, attached CSVs, attached geoJSON files and attached XML files by using the instance function.</t>
        </is>
      </c>
      <c r="C3" s="39" t="n"/>
      <c r="D3" s="39" t="n"/>
      <c r="E3" s="39" t="n"/>
      <c r="F3" s="39" t="n"/>
      <c r="G3" s="39" t="n"/>
      <c r="H3" s="39" t="n"/>
    </row>
    <row r="4" ht="14" customHeight="1" s="250" thickBot="1">
      <c r="A4" s="39" t="n"/>
      <c r="B4" s="120" t="inlineStr">
        <is>
          <t>💡 Choice filters, used to filter lists of items for use in selects, are the same as filter expressions</t>
        </is>
      </c>
      <c r="C4" s="39" t="n"/>
      <c r="D4" s="39" t="n"/>
      <c r="E4" s="39" t="n"/>
      <c r="F4" s="39" t="n"/>
      <c r="G4" s="39" t="n"/>
      <c r="H4" s="39" t="n"/>
    </row>
    <row r="5" ht="14" customHeight="1" s="250" thickBot="1">
      <c r="A5" s="39" t="n"/>
      <c r="B5" s="242" t="inlineStr">
        <is>
          <t>💡 These queries use a subset of the XPath language. ${} expressions get translated to XPath to access fields in the form</t>
        </is>
      </c>
      <c r="C5" s="39" t="n"/>
      <c r="D5" s="39" t="n"/>
      <c r="E5" s="39" t="n"/>
      <c r="F5" s="39" t="n"/>
      <c r="G5" s="39" t="n"/>
      <c r="H5" s="39" t="n"/>
    </row>
    <row r="6" ht="14" customHeight="1" s="250" thickBot="1">
      <c r="A6" s="39" t="n"/>
      <c r="B6" s="42" t="n"/>
      <c r="C6" s="42" t="n"/>
      <c r="D6" s="42" t="n"/>
      <c r="E6" s="42" t="n"/>
      <c r="F6" s="42" t="n"/>
      <c r="G6" s="42" t="n"/>
      <c r="H6" s="39" t="n"/>
    </row>
    <row r="7" ht="18" customHeight="1" s="250" thickBot="1">
      <c r="A7" s="147" t="n"/>
      <c r="B7" s="148" t="inlineStr">
        <is>
          <t>instance('list_name')/root/item[filter expression]/desired_property</t>
        </is>
      </c>
      <c r="C7" s="149" t="n"/>
      <c r="D7" s="150" t="n"/>
      <c r="E7" s="150" t="n"/>
      <c r="F7" s="150" t="n"/>
      <c r="G7" s="150" t="n"/>
      <c r="H7" s="39" t="n"/>
    </row>
    <row r="8" ht="24.75" customHeight="1" s="250" thickBot="1">
      <c r="A8" s="120" t="n"/>
      <c r="B8" s="151" t="inlineStr">
        <is>
          <t>list_name</t>
        </is>
      </c>
      <c r="C8" s="152" t="inlineStr">
        <is>
          <t>The name of the list to get value(s) from</t>
        </is>
      </c>
      <c r="D8" s="152" t="n"/>
      <c r="E8" s="152" t="n"/>
      <c r="F8" s="152" t="n"/>
      <c r="G8" s="152" t="n"/>
      <c r="H8" s="39" t="n"/>
    </row>
    <row r="9" ht="14" customHeight="1" s="250" thickBot="1">
      <c r="A9" s="120" t="n"/>
      <c r="B9" s="153" t="inlineStr">
        <is>
          <t>filter expression</t>
        </is>
      </c>
      <c r="C9" s="154" t="inlineStr">
        <is>
          <t>An expression for filtering the items in the list. You can filter the list down to one single item or multiple. Filter expressions can use functions and any other logic.</t>
        </is>
      </c>
      <c r="D9" s="154" t="n"/>
      <c r="E9" s="154" t="n"/>
      <c r="F9" s="154" t="n"/>
      <c r="G9" s="154" t="n"/>
      <c r="H9" s="39" t="n"/>
    </row>
    <row r="10" ht="14" customHeight="1" s="250" thickBot="1">
      <c r="A10" s="120" t="n"/>
      <c r="B10" s="155" t="inlineStr">
        <is>
          <t>property</t>
        </is>
      </c>
      <c r="C10" s="154" t="inlineStr">
        <is>
          <t>The property you want to access for items that match the filter</t>
        </is>
      </c>
      <c r="D10" s="154" t="n"/>
      <c r="E10" s="154" t="n"/>
      <c r="F10" s="154" t="n"/>
      <c r="G10" s="154" t="n"/>
      <c r="H10" s="39" t="n"/>
    </row>
    <row r="11" ht="14" customHeight="1" s="250" thickBot="1">
      <c r="A11" s="39" t="n"/>
      <c r="B11" s="121" t="n"/>
      <c r="C11" s="242" t="n"/>
      <c r="D11" s="121" t="n"/>
      <c r="E11" s="121" t="n"/>
      <c r="F11" s="121" t="n"/>
      <c r="G11" s="121" t="n"/>
      <c r="H11" s="39" t="n"/>
    </row>
    <row r="12" ht="14" customHeight="1" s="250" thickBot="1">
      <c r="A12" s="39" t="n"/>
      <c r="B12" s="39" t="n"/>
      <c r="C12" s="39" t="n"/>
      <c r="D12" s="39" t="n"/>
      <c r="E12" s="39" t="n"/>
      <c r="F12" s="39" t="n"/>
      <c r="G12" s="39" t="n"/>
      <c r="H12" s="39" t="n"/>
    </row>
    <row r="13" ht="14" customHeight="1" s="250" thickBot="1">
      <c r="A13" s="39" t="n"/>
      <c r="B13" s="32" t="inlineStr">
        <is>
          <t>Common type of lookup</t>
        </is>
      </c>
      <c r="C13" s="39" t="n"/>
      <c r="D13" s="39" t="n"/>
      <c r="E13" s="39" t="n"/>
      <c r="F13" s="39" t="n"/>
      <c r="G13" s="39" t="n"/>
      <c r="H13" s="39" t="n"/>
    </row>
    <row r="14" ht="24.75" customHeight="1" s="250" thickBot="1">
      <c r="A14" s="42" t="n"/>
      <c r="B14" s="156" t="inlineStr">
        <is>
          <t>The most common type of query looks a single item up based on one property and gives back another property's value</t>
        </is>
      </c>
      <c r="C14" s="42" t="n"/>
      <c r="D14" s="42" t="n"/>
      <c r="E14" s="42" t="n"/>
      <c r="F14" s="42" t="n"/>
      <c r="G14" s="39" t="n"/>
      <c r="H14" s="39" t="n"/>
    </row>
    <row r="15" ht="18" customHeight="1" s="250" thickBot="1">
      <c r="A15" s="157" t="n"/>
      <c r="B15" s="158" t="inlineStr">
        <is>
          <t>instance('list_name')/root/item[match_property = ${q1}]/desired_property</t>
        </is>
      </c>
      <c r="C15" s="149" t="n"/>
      <c r="D15" s="150" t="n"/>
      <c r="E15" s="150" t="n"/>
      <c r="F15" s="48" t="n"/>
      <c r="G15" s="39" t="n"/>
      <c r="H15" s="39" t="n"/>
    </row>
    <row r="16" ht="23.25" customHeight="1" s="250" thickBot="1">
      <c r="A16" s="159" t="n"/>
      <c r="B16" s="160" t="inlineStr">
        <is>
          <t>list_name</t>
        </is>
      </c>
      <c r="C16" s="152" t="inlineStr">
        <is>
          <t>The name of the list to get value(s) from</t>
        </is>
      </c>
      <c r="D16" s="152" t="n"/>
      <c r="E16" s="152" t="n"/>
      <c r="F16" s="48" t="n"/>
      <c r="G16" s="39" t="n"/>
      <c r="H16" s="39" t="n"/>
    </row>
    <row r="17" ht="14" customHeight="1" s="250" thickBot="1">
      <c r="A17" s="159" t="n"/>
      <c r="B17" s="161" t="inlineStr">
        <is>
          <t>match_property</t>
        </is>
      </c>
      <c r="C17" s="154" t="inlineStr">
        <is>
          <t>The property used to look up an item</t>
        </is>
      </c>
      <c r="D17" s="154" t="n"/>
      <c r="E17" s="154" t="n"/>
      <c r="F17" s="48" t="n"/>
      <c r="G17" s="39" t="n"/>
      <c r="H17" s="39" t="n"/>
    </row>
    <row r="18" ht="14" customHeight="1" s="250" thickBot="1">
      <c r="A18" s="159" t="n"/>
      <c r="B18" s="162" t="inlineStr">
        <is>
          <t>${q1}</t>
        </is>
      </c>
      <c r="C18" s="154" t="inlineStr">
        <is>
          <t>A value used to look up the item (e.g., a unique id)</t>
        </is>
      </c>
      <c r="D18" s="154" t="n"/>
      <c r="E18" s="154" t="n"/>
      <c r="F18" s="48" t="n"/>
      <c r="G18" s="39" t="n"/>
      <c r="H18" s="42" t="n"/>
    </row>
    <row r="19" ht="14" customHeight="1" s="250" thickBot="1">
      <c r="A19" s="163" t="n"/>
      <c r="B19" s="164" t="inlineStr">
        <is>
          <t>desired_property</t>
        </is>
      </c>
      <c r="C19" s="154" t="inlineStr">
        <is>
          <t>The property whose value is returned</t>
        </is>
      </c>
      <c r="D19" s="154" t="n"/>
      <c r="E19" s="154" t="n"/>
      <c r="F19" s="48" t="n"/>
      <c r="G19" s="120" t="n"/>
      <c r="H19" s="14" t="n"/>
    </row>
    <row r="20" ht="13" customHeight="1" s="250">
      <c r="A20" s="165" t="n"/>
      <c r="B20" s="166" t="n"/>
      <c r="C20" s="166" t="n"/>
      <c r="D20" s="166" t="n"/>
      <c r="E20" s="166" t="n"/>
      <c r="F20" s="166" t="n"/>
      <c r="G20" s="166" t="n"/>
      <c r="H20" s="14" t="n"/>
    </row>
    <row r="21" ht="24.75" customHeight="1" s="250">
      <c r="A21" s="167" t="n"/>
      <c r="B21" s="168" t="inlineStr">
        <is>
          <t>Example query</t>
        </is>
      </c>
      <c r="C21" s="169" t="n"/>
      <c r="D21" s="169" t="n"/>
      <c r="E21" s="169" t="n"/>
      <c r="F21" s="169" t="n"/>
      <c r="G21" s="170" t="inlineStr">
        <is>
          <t>Description</t>
        </is>
      </c>
      <c r="H21" s="31" t="n"/>
    </row>
    <row r="22" ht="13" customHeight="1" s="250">
      <c r="A22" s="167" t="n"/>
      <c r="B22" s="251" t="inlineStr">
        <is>
          <t>instance('crops')/root/item[name = ${crop}]/average_yield</t>
        </is>
      </c>
      <c r="G22" s="171" t="inlineStr">
        <is>
          <t>In a list of crops, use a previously-entered crop name to look up that crop's average yield.</t>
        </is>
      </c>
      <c r="H22" s="31" t="n"/>
    </row>
    <row r="23" ht="26" customHeight="1" s="250">
      <c r="A23" s="167" t="n"/>
      <c r="B23" s="252" t="inlineStr">
        <is>
          <t>instance('days')/root/item[number = ${day_number}]/blood_pressure_needed</t>
        </is>
      </c>
      <c r="G23" s="172" t="inlineStr">
        <is>
          <t>In a list of days, use a previously-entered day number to look up whether or not blood pressure needs to be entered that day.</t>
        </is>
      </c>
      <c r="H23" s="31" t="n"/>
    </row>
    <row r="24" ht="26" customHeight="1" s="250">
      <c r="A24" s="167" t="n"/>
      <c r="B24" s="251" t="inlineStr">
        <is>
          <t>instance('data_collectors')/root/item[name = ${data_collector_id}]/visits_complete</t>
        </is>
      </c>
      <c r="G24" s="171" t="inlineStr">
        <is>
          <t>In a list of data collector, use a previously-entered data collector id to look up how many visits the data collector completed.</t>
        </is>
      </c>
      <c r="H24" s="31" t="n"/>
    </row>
    <row r="25" ht="26" customHeight="1" s="250">
      <c r="A25" s="173" t="n"/>
      <c r="B25" s="252" t="inlineStr">
        <is>
          <t>instance('houses')/root/item[name = ${hhid}]/geometry</t>
        </is>
      </c>
      <c r="G25" s="172" t="inlineStr">
        <is>
          <t>In a list of houses, use a previously-entered household id to look up the geometry (location) of that house.</t>
        </is>
      </c>
      <c r="H25" s="31" t="n"/>
    </row>
    <row r="26" ht="26" customHeight="1" s="250">
      <c r="A26" s="167" t="n"/>
      <c r="B26" s="251" t="inlineStr">
        <is>
          <t>count(instance('participants')/root/item[answered = 'no']/label)</t>
        </is>
      </c>
      <c r="G26" s="171" t="inlineStr">
        <is>
          <t>Filter a list of participants to only those who have not answered yet. Count the number of matches.</t>
        </is>
      </c>
      <c r="H26" s="31" t="n"/>
    </row>
    <row r="27" ht="39" customHeight="1" s="250">
      <c r="A27" s="167" t="n"/>
      <c r="B27" s="252" t="inlineStr">
        <is>
          <t>sum(instance('patients')/root/item[birth_year &gt; 1978][gender = 'female']/child_count)</t>
        </is>
      </c>
      <c r="G27" s="172" t="inlineStr">
        <is>
          <t>Filter a list of patients to only those with birth year greater than 1978, then filter that list to females only, then get the child count for each of them. The full expression computes the sum of all children of females born after 1978.</t>
        </is>
      </c>
      <c r="H27" s="31" t="n"/>
    </row>
    <row r="28" ht="26" customHeight="1" s="250">
      <c r="A28" s="167" t="n"/>
      <c r="B28" s="174" t="inlineStr">
        <is>
          <t>instance('children')/root/item[household = ${hhid}][number = position(..)]/first_name</t>
        </is>
      </c>
      <c r="C28" s="175" t="n"/>
      <c r="D28" s="175" t="n"/>
      <c r="E28" s="175" t="n"/>
      <c r="F28" s="175" t="n"/>
      <c r="G28" s="176" t="inlineStr">
        <is>
          <t>Get the first name of the Nth child in a household with id ${hhid} where N is the position of the current repeat in the list of all repeat instances.</t>
        </is>
      </c>
      <c r="H28" s="31" t="n"/>
    </row>
    <row r="29" ht="13" customHeight="1" s="250">
      <c r="A29" s="14" t="n"/>
      <c r="B29" s="166" t="n"/>
      <c r="C29" s="166" t="n"/>
      <c r="D29" s="166" t="n"/>
      <c r="E29" s="166" t="n"/>
      <c r="F29" s="166" t="n"/>
      <c r="G29" s="166" t="n"/>
      <c r="H29" s="28" t="n"/>
    </row>
    <row r="30" ht="13" customHeight="1" s="250">
      <c r="A30" s="17" t="n"/>
      <c r="B30" s="154" t="inlineStr">
        <is>
          <t xml:space="preserve">💡 You can use these expressions with repeats, too. For example, if ${repeat} is a repeat in your form, you can write </t>
        </is>
      </c>
      <c r="C30" s="154" t="n"/>
      <c r="D30" s="154" t="n"/>
      <c r="E30" s="154" t="n"/>
      <c r="F30" s="154" t="n"/>
      <c r="G30" s="154" t="n"/>
      <c r="H30" s="154" t="n"/>
    </row>
    <row r="31" ht="14" customHeight="1" s="250">
      <c r="A31" s="17" t="n"/>
      <c r="B31" s="154" t="inlineStr">
        <is>
          <t xml:space="preserve">      ${repeat}[filter expression]/desired_field to access a field in a repeat instance or sum(${repeat}[filter expression]/desired_field) to get the sum of all repeat instances that match the filter.</t>
        </is>
      </c>
      <c r="C31" s="154" t="n"/>
      <c r="D31" s="154" t="n"/>
      <c r="E31" s="154" t="n"/>
      <c r="F31" s="154" t="n"/>
      <c r="G31" s="154" t="n"/>
      <c r="H31" s="154" t="n"/>
    </row>
    <row r="32" ht="13" customHeight="1" s="250">
      <c r="A32" s="14" t="n"/>
      <c r="B32" s="249" t="n"/>
      <c r="C32" s="22" t="n"/>
      <c r="D32" s="22" t="n"/>
      <c r="E32" s="22" t="n"/>
      <c r="F32" s="22" t="n"/>
      <c r="G32" s="22" t="n"/>
      <c r="H32" s="22" t="n"/>
    </row>
    <row r="33" ht="14" customHeight="1" s="250">
      <c r="A33" s="14" t="n"/>
      <c r="B33" s="177" t="inlineStr">
        <is>
          <t>💡  If you are looking values up in an attached CSV, you can also use the pulldata function. In Collect, this may have better performance for lists with many tens of thousands of elements.</t>
        </is>
      </c>
      <c r="C33" s="177" t="n"/>
      <c r="D33" s="177" t="n"/>
      <c r="E33" s="177" t="n"/>
      <c r="F33" s="177" t="n"/>
      <c r="G33" s="177" t="n"/>
      <c r="H33" s="14" t="n"/>
    </row>
    <row r="34" ht="17" customHeight="1" s="250">
      <c r="A34" s="178" t="n"/>
      <c r="B34" s="154" t="inlineStr">
        <is>
          <t xml:space="preserve">        pulldata(list_name, desired_property, match_property, ${q1})</t>
        </is>
      </c>
      <c r="C34" s="154" t="n"/>
      <c r="D34" s="154" t="n"/>
      <c r="E34" s="14" t="n"/>
      <c r="F34" s="14" t="n"/>
      <c r="G34" s="14" t="n"/>
      <c r="H34" s="14" t="n"/>
    </row>
    <row r="35" ht="17" customHeight="1" s="250">
      <c r="A35" s="178" t="n"/>
      <c r="B35" s="14" t="n"/>
      <c r="C35" s="14" t="n"/>
      <c r="D35" s="14" t="n"/>
      <c r="E35" s="14" t="n"/>
      <c r="F35" s="179" t="n"/>
      <c r="G35" s="179" t="n"/>
      <c r="H35" s="14" t="n"/>
    </row>
    <row r="36" ht="13" customHeight="1" s="250">
      <c r="A36" s="14" t="n"/>
      <c r="B36" s="154" t="inlineStr">
        <is>
          <t xml:space="preserve">        The pulldata expression above is equivalent to:</t>
        </is>
      </c>
      <c r="C36" s="154" t="n"/>
      <c r="D36" s="154" t="n"/>
      <c r="E36" s="154" t="n"/>
      <c r="F36" s="14" t="n"/>
      <c r="G36" s="14" t="n"/>
      <c r="H36" s="14" t="n"/>
    </row>
    <row r="37" ht="17" customHeight="1" s="250">
      <c r="A37" s="178" t="n"/>
      <c r="B37" s="154" t="inlineStr">
        <is>
          <t xml:space="preserve">        instance('list_name')/root/item[match_property = ${q1}]/desired_property</t>
        </is>
      </c>
      <c r="C37" s="154" t="n"/>
      <c r="D37" s="154" t="n"/>
      <c r="E37" s="154" t="n"/>
      <c r="F37" s="14" t="n"/>
      <c r="G37" s="14" t="n"/>
      <c r="H37" s="14" t="n"/>
    </row>
    <row r="38" ht="13" customHeight="1" s="250">
      <c r="A38" s="14" t="n"/>
      <c r="B38" s="14" t="n"/>
      <c r="C38" s="14" t="n"/>
      <c r="D38" s="14" t="n"/>
      <c r="E38" s="14" t="n"/>
      <c r="F38" s="14" t="n"/>
      <c r="G38" s="14" t="n"/>
      <c r="H38" s="14" t="n"/>
    </row>
    <row r="39" ht="13" customHeight="1" s="250">
      <c r="A39" s="14" t="n"/>
      <c r="B39" s="14" t="n"/>
      <c r="C39" s="14" t="n"/>
      <c r="D39" s="14" t="n"/>
      <c r="E39" s="14" t="n"/>
      <c r="F39" s="14" t="n"/>
      <c r="G39" s="14" t="n"/>
      <c r="H39" s="14" t="n"/>
    </row>
    <row r="40" ht="13" customHeight="1" s="250">
      <c r="A40" s="249" t="n"/>
      <c r="B40" s="249" t="n"/>
      <c r="C40" s="249" t="n"/>
      <c r="D40" s="249" t="n"/>
      <c r="E40" s="249" t="n"/>
      <c r="F40" s="249" t="n"/>
      <c r="G40" s="249" t="n"/>
      <c r="H40" s="249" t="n"/>
    </row>
    <row r="41" ht="13" customHeight="1" s="250">
      <c r="A41" s="249" t="n"/>
      <c r="B41" s="249" t="n"/>
      <c r="C41" s="249" t="n"/>
      <c r="D41" s="249" t="n"/>
      <c r="E41" s="249" t="n"/>
      <c r="F41" s="249" t="n"/>
      <c r="G41" s="249" t="n"/>
      <c r="H41" s="249" t="n"/>
    </row>
    <row r="42" ht="13" customHeight="1" s="250">
      <c r="A42" s="249" t="n"/>
      <c r="B42" s="249" t="n"/>
      <c r="C42" s="249" t="n"/>
      <c r="D42" s="249" t="n"/>
      <c r="E42" s="249" t="n"/>
      <c r="F42" s="249" t="n"/>
      <c r="G42" s="249" t="n"/>
      <c r="H42" s="249" t="n"/>
    </row>
    <row r="43" ht="13" customHeight="1" s="250">
      <c r="A43" s="249" t="n"/>
      <c r="B43" s="249" t="n"/>
      <c r="C43" s="249" t="n"/>
      <c r="D43" s="249" t="n"/>
      <c r="E43" s="249" t="n"/>
      <c r="F43" s="249" t="n"/>
      <c r="G43" s="249" t="n"/>
      <c r="H43" s="249" t="n"/>
    </row>
    <row r="44" ht="13" customHeight="1" s="250">
      <c r="A44" s="249" t="n"/>
      <c r="B44" s="249" t="n"/>
      <c r="C44" s="249" t="n"/>
      <c r="D44" s="249" t="n"/>
      <c r="E44" s="249" t="n"/>
      <c r="F44" s="249" t="n"/>
      <c r="G44" s="249" t="n"/>
      <c r="H44" s="249" t="n"/>
    </row>
    <row r="45" ht="13" customHeight="1" s="250">
      <c r="A45" s="249" t="n"/>
      <c r="B45" s="249" t="n"/>
      <c r="C45" s="249" t="n"/>
      <c r="D45" s="249" t="n"/>
      <c r="E45" s="249" t="n"/>
      <c r="F45" s="249" t="n"/>
      <c r="G45" s="249" t="n"/>
      <c r="H45" s="249" t="n"/>
    </row>
    <row r="46" ht="13" customHeight="1" s="250">
      <c r="A46" s="249" t="n"/>
      <c r="B46" s="249" t="n"/>
      <c r="C46" s="249" t="n"/>
      <c r="D46" s="249" t="n"/>
      <c r="E46" s="249" t="n"/>
      <c r="F46" s="249" t="n"/>
      <c r="G46" s="249" t="n"/>
      <c r="H46" s="249" t="n"/>
    </row>
    <row r="47" ht="13" customHeight="1" s="250">
      <c r="A47" s="249" t="n"/>
      <c r="B47" s="249" t="n"/>
      <c r="C47" s="249" t="n"/>
      <c r="D47" s="249" t="n"/>
      <c r="E47" s="249" t="n"/>
      <c r="F47" s="249" t="n"/>
      <c r="G47" s="249" t="n"/>
      <c r="H47" s="249" t="n"/>
    </row>
    <row r="48" ht="13" customHeight="1" s="250">
      <c r="A48" s="249" t="n"/>
      <c r="B48" s="249" t="n"/>
      <c r="C48" s="249" t="n"/>
      <c r="D48" s="249" t="n"/>
      <c r="E48" s="249" t="n"/>
      <c r="F48" s="249" t="n"/>
      <c r="G48" s="249" t="n"/>
      <c r="H48" s="249" t="n"/>
    </row>
    <row r="49" ht="13" customHeight="1" s="250">
      <c r="A49" s="249" t="n"/>
      <c r="B49" s="249" t="n"/>
      <c r="C49" s="249" t="n"/>
      <c r="D49" s="249" t="n"/>
      <c r="E49" s="249" t="n"/>
      <c r="F49" s="249" t="n"/>
      <c r="G49" s="249" t="n"/>
      <c r="H49" s="249" t="n"/>
    </row>
    <row r="50" ht="13" customHeight="1" s="250">
      <c r="A50" s="249" t="n"/>
      <c r="B50" s="249" t="n"/>
      <c r="C50" s="249" t="n"/>
      <c r="D50" s="249" t="n"/>
      <c r="E50" s="249" t="n"/>
      <c r="F50" s="249" t="n"/>
      <c r="G50" s="249" t="n"/>
      <c r="H50" s="249" t="n"/>
    </row>
    <row r="51" ht="13" customHeight="1" s="250">
      <c r="A51" s="249" t="n"/>
      <c r="B51" s="249" t="n"/>
      <c r="C51" s="249" t="n"/>
      <c r="D51" s="249" t="n"/>
      <c r="E51" s="249" t="n"/>
      <c r="F51" s="249" t="n"/>
      <c r="G51" s="249" t="n"/>
      <c r="H51" s="249" t="n"/>
    </row>
    <row r="52" ht="13" customHeight="1" s="250">
      <c r="A52" s="249" t="n"/>
      <c r="B52" s="249" t="n"/>
      <c r="C52" s="249" t="n"/>
      <c r="D52" s="249" t="n"/>
      <c r="E52" s="249" t="n"/>
      <c r="F52" s="249" t="n"/>
      <c r="G52" s="249" t="n"/>
      <c r="H52" s="249" t="n"/>
    </row>
    <row r="53" ht="13" customHeight="1" s="250">
      <c r="A53" s="249" t="n"/>
      <c r="B53" s="249" t="n"/>
      <c r="C53" s="249" t="n"/>
      <c r="D53" s="249" t="n"/>
      <c r="E53" s="249" t="n"/>
      <c r="F53" s="249" t="n"/>
      <c r="G53" s="249" t="n"/>
      <c r="H53" s="249" t="n"/>
    </row>
    <row r="54" ht="13" customHeight="1" s="250">
      <c r="A54" s="249" t="n"/>
      <c r="B54" s="249" t="n"/>
      <c r="C54" s="249" t="n"/>
      <c r="D54" s="249" t="n"/>
      <c r="E54" s="249" t="n"/>
      <c r="F54" s="249" t="n"/>
      <c r="G54" s="249" t="n"/>
      <c r="H54" s="249" t="n"/>
    </row>
    <row r="55" ht="13" customHeight="1" s="250">
      <c r="A55" s="249" t="n"/>
      <c r="B55" s="249" t="n"/>
      <c r="C55" s="249" t="n"/>
      <c r="D55" s="249" t="n"/>
      <c r="E55" s="249" t="n"/>
      <c r="F55" s="249" t="n"/>
      <c r="G55" s="249" t="n"/>
      <c r="H55" s="249" t="n"/>
    </row>
    <row r="56" ht="13" customHeight="1" s="250">
      <c r="A56" s="249" t="n"/>
      <c r="B56" s="249" t="n"/>
      <c r="C56" s="249" t="n"/>
      <c r="D56" s="249" t="n"/>
      <c r="E56" s="249" t="n"/>
      <c r="F56" s="249" t="n"/>
      <c r="G56" s="249" t="n"/>
      <c r="H56" s="249" t="n"/>
    </row>
    <row r="57" ht="13" customHeight="1" s="250">
      <c r="A57" s="249" t="n"/>
      <c r="B57" s="249" t="n"/>
      <c r="C57" s="249" t="n"/>
      <c r="D57" s="249" t="n"/>
      <c r="E57" s="249" t="n"/>
      <c r="F57" s="249" t="n"/>
      <c r="G57" s="249" t="n"/>
      <c r="H57" s="249" t="n"/>
    </row>
    <row r="58" ht="13" customHeight="1" s="250">
      <c r="A58" s="249" t="n"/>
      <c r="B58" s="249" t="n"/>
      <c r="C58" s="249" t="n"/>
      <c r="D58" s="249" t="n"/>
      <c r="E58" s="249" t="n"/>
      <c r="F58" s="249" t="n"/>
      <c r="G58" s="249" t="n"/>
      <c r="H58" s="249" t="n"/>
    </row>
    <row r="59" ht="13" customHeight="1" s="250">
      <c r="A59" s="249" t="n"/>
      <c r="B59" s="249" t="n"/>
      <c r="C59" s="249" t="n"/>
      <c r="D59" s="249" t="n"/>
      <c r="E59" s="249" t="n"/>
      <c r="F59" s="249" t="n"/>
      <c r="G59" s="249" t="n"/>
      <c r="H59" s="249" t="n"/>
    </row>
    <row r="60" ht="13" customHeight="1" s="250">
      <c r="A60" s="249" t="n"/>
      <c r="B60" s="249" t="n"/>
      <c r="C60" s="249" t="n"/>
      <c r="D60" s="249" t="n"/>
      <c r="E60" s="249" t="n"/>
      <c r="F60" s="249" t="n"/>
      <c r="G60" s="249" t="n"/>
      <c r="H60" s="249" t="n"/>
    </row>
    <row r="61" ht="13" customHeight="1" s="250">
      <c r="A61" s="249" t="n"/>
      <c r="B61" s="249" t="n"/>
      <c r="C61" s="249" t="n"/>
      <c r="D61" s="249" t="n"/>
      <c r="E61" s="249" t="n"/>
      <c r="F61" s="249" t="n"/>
      <c r="G61" s="249" t="n"/>
      <c r="H61" s="249" t="n"/>
    </row>
    <row r="62" ht="13" customHeight="1" s="250">
      <c r="A62" s="249" t="n"/>
      <c r="B62" s="249" t="n"/>
      <c r="C62" s="249" t="n"/>
      <c r="D62" s="249" t="n"/>
      <c r="E62" s="249" t="n"/>
      <c r="F62" s="249" t="n"/>
      <c r="G62" s="249" t="n"/>
      <c r="H62" s="249" t="n"/>
    </row>
    <row r="63" ht="13" customHeight="1" s="250">
      <c r="A63" s="249" t="n"/>
      <c r="B63" s="249" t="n"/>
      <c r="C63" s="249" t="n"/>
      <c r="D63" s="249" t="n"/>
      <c r="E63" s="249" t="n"/>
      <c r="F63" s="249" t="n"/>
      <c r="G63" s="249" t="n"/>
      <c r="H63" s="249" t="n"/>
    </row>
    <row r="64" ht="13" customHeight="1" s="250">
      <c r="A64" s="249" t="n"/>
      <c r="B64" s="249" t="n"/>
      <c r="C64" s="249" t="n"/>
      <c r="D64" s="249" t="n"/>
      <c r="E64" s="249" t="n"/>
      <c r="F64" s="249" t="n"/>
      <c r="G64" s="249" t="n"/>
      <c r="H64" s="249" t="n"/>
    </row>
    <row r="65" ht="13" customHeight="1" s="250">
      <c r="A65" s="249" t="n"/>
      <c r="B65" s="249" t="n"/>
      <c r="C65" s="249" t="n"/>
      <c r="D65" s="249" t="n"/>
      <c r="E65" s="249" t="n"/>
      <c r="F65" s="249" t="n"/>
      <c r="G65" s="249" t="n"/>
      <c r="H65" s="249" t="n"/>
    </row>
    <row r="66" ht="13" customHeight="1" s="250">
      <c r="A66" s="249" t="n"/>
      <c r="B66" s="249" t="n"/>
      <c r="C66" s="249" t="n"/>
      <c r="D66" s="249" t="n"/>
      <c r="E66" s="249" t="n"/>
      <c r="F66" s="249" t="n"/>
      <c r="G66" s="249" t="n"/>
      <c r="H66" s="249" t="n"/>
    </row>
    <row r="67" ht="13" customHeight="1" s="250">
      <c r="A67" s="249" t="n"/>
      <c r="B67" s="249" t="n"/>
      <c r="C67" s="249" t="n"/>
      <c r="D67" s="249" t="n"/>
      <c r="E67" s="249" t="n"/>
      <c r="F67" s="249" t="n"/>
      <c r="G67" s="249" t="n"/>
      <c r="H67" s="249" t="n"/>
    </row>
    <row r="68" ht="13" customHeight="1" s="250">
      <c r="A68" s="249" t="n"/>
      <c r="B68" s="249" t="n"/>
      <c r="C68" s="249" t="n"/>
      <c r="D68" s="249" t="n"/>
      <c r="E68" s="249" t="n"/>
      <c r="F68" s="249" t="n"/>
      <c r="G68" s="249" t="n"/>
      <c r="H68" s="249" t="n"/>
    </row>
    <row r="69" ht="13" customHeight="1" s="250">
      <c r="A69" s="249" t="n"/>
      <c r="B69" s="249" t="n"/>
      <c r="C69" s="249" t="n"/>
      <c r="D69" s="249" t="n"/>
      <c r="E69" s="249" t="n"/>
      <c r="F69" s="249" t="n"/>
      <c r="G69" s="249" t="n"/>
      <c r="H69" s="249" t="n"/>
    </row>
    <row r="70" ht="13" customHeight="1" s="250">
      <c r="A70" s="249" t="n"/>
      <c r="B70" s="249" t="n"/>
      <c r="C70" s="249" t="n"/>
      <c r="D70" s="249" t="n"/>
      <c r="E70" s="249" t="n"/>
      <c r="F70" s="249" t="n"/>
      <c r="G70" s="249" t="n"/>
      <c r="H70" s="249" t="n"/>
    </row>
    <row r="71" ht="13" customHeight="1" s="250">
      <c r="A71" s="249" t="n"/>
      <c r="B71" s="249" t="n"/>
      <c r="C71" s="249" t="n"/>
      <c r="D71" s="249" t="n"/>
      <c r="E71" s="249" t="n"/>
      <c r="F71" s="249" t="n"/>
      <c r="G71" s="249" t="n"/>
      <c r="H71" s="249" t="n"/>
    </row>
    <row r="72" ht="13" customHeight="1" s="250">
      <c r="A72" s="249" t="n"/>
      <c r="B72" s="249" t="n"/>
      <c r="C72" s="249" t="n"/>
      <c r="D72" s="249" t="n"/>
      <c r="E72" s="249" t="n"/>
      <c r="F72" s="249" t="n"/>
      <c r="G72" s="249" t="n"/>
      <c r="H72" s="249" t="n"/>
    </row>
    <row r="73" ht="13" customHeight="1" s="250">
      <c r="A73" s="249" t="n"/>
      <c r="B73" s="249" t="n"/>
      <c r="C73" s="249" t="n"/>
      <c r="D73" s="249" t="n"/>
      <c r="E73" s="249" t="n"/>
      <c r="F73" s="249" t="n"/>
      <c r="G73" s="249" t="n"/>
      <c r="H73" s="249" t="n"/>
    </row>
    <row r="74" ht="13" customHeight="1" s="250">
      <c r="A74" s="249" t="n"/>
      <c r="B74" s="249" t="n"/>
      <c r="C74" s="249" t="n"/>
      <c r="D74" s="249" t="n"/>
      <c r="E74" s="249" t="n"/>
      <c r="F74" s="249" t="n"/>
      <c r="G74" s="249" t="n"/>
      <c r="H74" s="249" t="n"/>
    </row>
    <row r="75" ht="13" customHeight="1" s="250">
      <c r="A75" s="249" t="n"/>
      <c r="B75" s="249" t="n"/>
      <c r="C75" s="249" t="n"/>
      <c r="D75" s="249" t="n"/>
      <c r="E75" s="249" t="n"/>
      <c r="F75" s="249" t="n"/>
      <c r="G75" s="249" t="n"/>
      <c r="H75" s="249" t="n"/>
    </row>
    <row r="76" ht="13" customHeight="1" s="250">
      <c r="A76" s="249" t="n"/>
      <c r="B76" s="249" t="n"/>
      <c r="C76" s="249" t="n"/>
      <c r="D76" s="249" t="n"/>
      <c r="E76" s="249" t="n"/>
      <c r="F76" s="249" t="n"/>
      <c r="G76" s="249" t="n"/>
      <c r="H76" s="249" t="n"/>
    </row>
    <row r="77" ht="13" customHeight="1" s="250">
      <c r="A77" s="249" t="n"/>
      <c r="B77" s="249" t="n"/>
      <c r="C77" s="249" t="n"/>
      <c r="D77" s="249" t="n"/>
      <c r="E77" s="249" t="n"/>
      <c r="F77" s="249" t="n"/>
      <c r="G77" s="249" t="n"/>
      <c r="H77" s="249" t="n"/>
    </row>
    <row r="78" ht="13" customHeight="1" s="250">
      <c r="A78" s="249" t="n"/>
      <c r="B78" s="249" t="n"/>
      <c r="C78" s="249" t="n"/>
      <c r="D78" s="249" t="n"/>
      <c r="E78" s="249" t="n"/>
      <c r="F78" s="249" t="n"/>
      <c r="G78" s="249" t="n"/>
      <c r="H78" s="249" t="n"/>
    </row>
    <row r="79" ht="13" customHeight="1" s="250">
      <c r="A79" s="249" t="n"/>
      <c r="B79" s="249" t="n"/>
      <c r="C79" s="249" t="n"/>
      <c r="D79" s="249" t="n"/>
      <c r="E79" s="249" t="n"/>
      <c r="F79" s="249" t="n"/>
      <c r="G79" s="249" t="n"/>
      <c r="H79" s="249" t="n"/>
    </row>
    <row r="80" ht="13" customHeight="1" s="250">
      <c r="A80" s="249" t="n"/>
      <c r="B80" s="249" t="n"/>
      <c r="C80" s="249" t="n"/>
      <c r="D80" s="249" t="n"/>
      <c r="E80" s="249" t="n"/>
      <c r="F80" s="249" t="n"/>
      <c r="G80" s="249" t="n"/>
      <c r="H80" s="249" t="n"/>
    </row>
    <row r="81" ht="13" customHeight="1" s="250">
      <c r="A81" s="249" t="n"/>
      <c r="B81" s="249" t="n"/>
      <c r="C81" s="249" t="n"/>
      <c r="D81" s="249" t="n"/>
      <c r="E81" s="249" t="n"/>
      <c r="F81" s="249" t="n"/>
      <c r="G81" s="249" t="n"/>
      <c r="H81" s="249" t="n"/>
    </row>
    <row r="82" ht="13" customHeight="1" s="250">
      <c r="A82" s="249" t="n"/>
      <c r="B82" s="249" t="n"/>
      <c r="C82" s="249" t="n"/>
      <c r="D82" s="249" t="n"/>
      <c r="E82" s="249" t="n"/>
      <c r="F82" s="249" t="n"/>
      <c r="G82" s="249" t="n"/>
      <c r="H82" s="249" t="n"/>
    </row>
    <row r="83" ht="13" customHeight="1" s="250">
      <c r="A83" s="249" t="n"/>
      <c r="B83" s="249" t="n"/>
      <c r="C83" s="249" t="n"/>
      <c r="D83" s="249" t="n"/>
      <c r="E83" s="249" t="n"/>
      <c r="F83" s="249" t="n"/>
      <c r="G83" s="249" t="n"/>
      <c r="H83" s="249" t="n"/>
    </row>
    <row r="84" ht="13" customHeight="1" s="250">
      <c r="A84" s="249" t="n"/>
      <c r="B84" s="249" t="n"/>
      <c r="C84" s="249" t="n"/>
      <c r="D84" s="249" t="n"/>
      <c r="E84" s="249" t="n"/>
      <c r="F84" s="249" t="n"/>
      <c r="G84" s="249" t="n"/>
      <c r="H84" s="249" t="n"/>
    </row>
    <row r="85" ht="13" customHeight="1" s="250">
      <c r="A85" s="249" t="n"/>
      <c r="B85" s="249" t="n"/>
      <c r="C85" s="249" t="n"/>
      <c r="D85" s="249" t="n"/>
      <c r="E85" s="249" t="n"/>
      <c r="F85" s="249" t="n"/>
      <c r="G85" s="249" t="n"/>
      <c r="H85" s="249" t="n"/>
    </row>
    <row r="86" ht="13" customHeight="1" s="250">
      <c r="A86" s="249" t="n"/>
      <c r="B86" s="249" t="n"/>
      <c r="C86" s="249" t="n"/>
      <c r="D86" s="249" t="n"/>
      <c r="E86" s="249" t="n"/>
      <c r="F86" s="249" t="n"/>
      <c r="G86" s="249" t="n"/>
      <c r="H86" s="249" t="n"/>
    </row>
    <row r="87" ht="13" customHeight="1" s="250">
      <c r="A87" s="249" t="n"/>
      <c r="B87" s="249" t="n"/>
      <c r="C87" s="249" t="n"/>
      <c r="D87" s="249" t="n"/>
      <c r="E87" s="249" t="n"/>
      <c r="F87" s="249" t="n"/>
      <c r="G87" s="249" t="n"/>
      <c r="H87" s="249" t="n"/>
    </row>
    <row r="88" ht="13" customHeight="1" s="250">
      <c r="A88" s="249" t="n"/>
      <c r="B88" s="249" t="n"/>
      <c r="C88" s="249" t="n"/>
      <c r="D88" s="249" t="n"/>
      <c r="E88" s="249" t="n"/>
      <c r="F88" s="249" t="n"/>
      <c r="G88" s="249" t="n"/>
      <c r="H88" s="249" t="n"/>
    </row>
    <row r="89" ht="13" customHeight="1" s="250">
      <c r="A89" s="249" t="n"/>
      <c r="B89" s="249" t="n"/>
      <c r="C89" s="249" t="n"/>
      <c r="D89" s="249" t="n"/>
      <c r="E89" s="249" t="n"/>
      <c r="F89" s="249" t="n"/>
      <c r="G89" s="249" t="n"/>
      <c r="H89" s="249" t="n"/>
    </row>
    <row r="90" ht="13" customHeight="1" s="250">
      <c r="A90" s="249" t="n"/>
      <c r="B90" s="249" t="n"/>
      <c r="C90" s="249" t="n"/>
      <c r="D90" s="249" t="n"/>
      <c r="E90" s="249" t="n"/>
      <c r="F90" s="249" t="n"/>
      <c r="G90" s="249" t="n"/>
      <c r="H90" s="249" t="n"/>
    </row>
    <row r="91" ht="13" customHeight="1" s="250">
      <c r="A91" s="249" t="n"/>
      <c r="B91" s="249" t="n"/>
      <c r="C91" s="249" t="n"/>
      <c r="D91" s="249" t="n"/>
      <c r="E91" s="249" t="n"/>
      <c r="F91" s="249" t="n"/>
      <c r="G91" s="249" t="n"/>
      <c r="H91" s="249" t="n"/>
    </row>
    <row r="92" ht="13" customHeight="1" s="250">
      <c r="A92" s="249" t="n"/>
      <c r="B92" s="249" t="n"/>
      <c r="C92" s="249" t="n"/>
      <c r="D92" s="249" t="n"/>
      <c r="E92" s="249" t="n"/>
      <c r="F92" s="249" t="n"/>
      <c r="G92" s="249" t="n"/>
      <c r="H92" s="249" t="n"/>
    </row>
    <row r="93" ht="13" customHeight="1" s="250">
      <c r="A93" s="249" t="n"/>
      <c r="B93" s="249" t="n"/>
      <c r="C93" s="249" t="n"/>
      <c r="D93" s="249" t="n"/>
      <c r="E93" s="249" t="n"/>
      <c r="F93" s="249" t="n"/>
      <c r="G93" s="249" t="n"/>
      <c r="H93" s="249" t="n"/>
    </row>
    <row r="94" ht="13" customHeight="1" s="250">
      <c r="A94" s="249" t="n"/>
      <c r="B94" s="249" t="n"/>
      <c r="C94" s="249" t="n"/>
      <c r="D94" s="249" t="n"/>
      <c r="E94" s="249" t="n"/>
      <c r="F94" s="249" t="n"/>
      <c r="G94" s="249" t="n"/>
      <c r="H94" s="249" t="n"/>
    </row>
    <row r="95" ht="13" customHeight="1" s="250">
      <c r="A95" s="249" t="n"/>
      <c r="B95" s="249" t="n"/>
      <c r="C95" s="249" t="n"/>
      <c r="D95" s="249" t="n"/>
      <c r="E95" s="249" t="n"/>
      <c r="F95" s="249" t="n"/>
      <c r="G95" s="249" t="n"/>
      <c r="H95" s="249" t="n"/>
    </row>
    <row r="96" ht="13" customHeight="1" s="250">
      <c r="A96" s="249" t="n"/>
      <c r="B96" s="249" t="n"/>
      <c r="C96" s="249" t="n"/>
      <c r="D96" s="249" t="n"/>
      <c r="E96" s="249" t="n"/>
      <c r="F96" s="249" t="n"/>
      <c r="G96" s="249" t="n"/>
      <c r="H96" s="249" t="n"/>
    </row>
    <row r="97" ht="13" customHeight="1" s="250">
      <c r="A97" s="249" t="n"/>
      <c r="B97" s="249" t="n"/>
      <c r="C97" s="249" t="n"/>
      <c r="D97" s="249" t="n"/>
      <c r="E97" s="249" t="n"/>
      <c r="F97" s="249" t="n"/>
      <c r="G97" s="249" t="n"/>
      <c r="H97" s="249" t="n"/>
    </row>
    <row r="98" ht="13" customHeight="1" s="250">
      <c r="A98" s="249" t="n"/>
      <c r="B98" s="249" t="n"/>
      <c r="C98" s="249" t="n"/>
      <c r="D98" s="249" t="n"/>
      <c r="E98" s="249" t="n"/>
      <c r="F98" s="249" t="n"/>
      <c r="G98" s="249" t="n"/>
      <c r="H98" s="249" t="n"/>
    </row>
    <row r="99" ht="13" customHeight="1" s="250">
      <c r="A99" s="249" t="n"/>
      <c r="B99" s="249" t="n"/>
      <c r="C99" s="249" t="n"/>
      <c r="D99" s="249" t="n"/>
      <c r="E99" s="249" t="n"/>
      <c r="F99" s="249" t="n"/>
      <c r="G99" s="249" t="n"/>
      <c r="H99" s="249" t="n"/>
    </row>
    <row r="100" ht="13" customHeight="1" s="250">
      <c r="A100" s="249" t="n"/>
      <c r="B100" s="249" t="n"/>
      <c r="C100" s="249" t="n"/>
      <c r="D100" s="249" t="n"/>
      <c r="E100" s="249" t="n"/>
      <c r="F100" s="249" t="n"/>
      <c r="G100" s="249" t="n"/>
      <c r="H100" s="249" t="n"/>
    </row>
    <row r="101" ht="13" customHeight="1" s="250">
      <c r="A101" s="249" t="n"/>
      <c r="B101" s="249" t="n"/>
      <c r="C101" s="249" t="n"/>
      <c r="D101" s="249" t="n"/>
      <c r="E101" s="249" t="n"/>
      <c r="F101" s="249" t="n"/>
      <c r="G101" s="249" t="n"/>
      <c r="H101" s="249" t="n"/>
    </row>
    <row r="102" ht="13" customHeight="1" s="250">
      <c r="A102" s="249" t="n"/>
      <c r="B102" s="249" t="n"/>
      <c r="C102" s="249" t="n"/>
      <c r="D102" s="249" t="n"/>
      <c r="E102" s="249" t="n"/>
      <c r="F102" s="249" t="n"/>
      <c r="G102" s="249" t="n"/>
      <c r="H102" s="249" t="n"/>
    </row>
    <row r="103" ht="13" customHeight="1" s="250">
      <c r="A103" s="249" t="n"/>
      <c r="B103" s="249" t="n"/>
      <c r="C103" s="249" t="n"/>
      <c r="D103" s="249" t="n"/>
      <c r="E103" s="249" t="n"/>
      <c r="F103" s="249" t="n"/>
      <c r="G103" s="249" t="n"/>
      <c r="H103" s="249" t="n"/>
    </row>
    <row r="104" ht="13" customHeight="1" s="250">
      <c r="A104" s="249" t="n"/>
      <c r="B104" s="249" t="n"/>
      <c r="C104" s="249" t="n"/>
      <c r="D104" s="249" t="n"/>
      <c r="E104" s="249" t="n"/>
      <c r="F104" s="249" t="n"/>
      <c r="G104" s="249" t="n"/>
      <c r="H104" s="249" t="n"/>
    </row>
    <row r="105" ht="13" customHeight="1" s="250">
      <c r="A105" s="249" t="n"/>
      <c r="B105" s="249" t="n"/>
      <c r="C105" s="249" t="n"/>
      <c r="D105" s="249" t="n"/>
      <c r="E105" s="249" t="n"/>
      <c r="F105" s="249" t="n"/>
      <c r="G105" s="249" t="n"/>
      <c r="H105" s="249" t="n"/>
    </row>
    <row r="106" ht="13" customHeight="1" s="250">
      <c r="A106" s="249" t="n"/>
      <c r="B106" s="249" t="n"/>
      <c r="C106" s="249" t="n"/>
      <c r="D106" s="249" t="n"/>
      <c r="E106" s="249" t="n"/>
      <c r="F106" s="249" t="n"/>
      <c r="G106" s="249" t="n"/>
      <c r="H106" s="249" t="n"/>
    </row>
    <row r="107" ht="13" customHeight="1" s="250">
      <c r="A107" s="249" t="n"/>
      <c r="B107" s="249" t="n"/>
      <c r="C107" s="249" t="n"/>
      <c r="D107" s="249" t="n"/>
      <c r="E107" s="249" t="n"/>
      <c r="F107" s="249" t="n"/>
      <c r="G107" s="249" t="n"/>
      <c r="H107" s="249" t="n"/>
    </row>
    <row r="108" ht="13" customHeight="1" s="250">
      <c r="A108" s="249" t="n"/>
      <c r="B108" s="249" t="n"/>
      <c r="C108" s="249" t="n"/>
      <c r="D108" s="249" t="n"/>
      <c r="E108" s="249" t="n"/>
      <c r="F108" s="249" t="n"/>
      <c r="G108" s="249" t="n"/>
      <c r="H108" s="249" t="n"/>
    </row>
    <row r="109" ht="13" customHeight="1" s="250">
      <c r="A109" s="249" t="n"/>
      <c r="B109" s="249" t="n"/>
      <c r="C109" s="249" t="n"/>
      <c r="D109" s="249" t="n"/>
      <c r="E109" s="249" t="n"/>
      <c r="F109" s="249" t="n"/>
      <c r="G109" s="249" t="n"/>
      <c r="H109" s="249" t="n"/>
    </row>
    <row r="110" ht="13" customHeight="1" s="250">
      <c r="A110" s="249" t="n"/>
      <c r="B110" s="249" t="n"/>
      <c r="C110" s="249" t="n"/>
      <c r="D110" s="249" t="n"/>
      <c r="E110" s="249" t="n"/>
      <c r="F110" s="249" t="n"/>
      <c r="G110" s="249" t="n"/>
      <c r="H110" s="249" t="n"/>
    </row>
    <row r="111" ht="13" customHeight="1" s="250">
      <c r="A111" s="249" t="n"/>
      <c r="B111" s="249" t="n"/>
      <c r="C111" s="249" t="n"/>
      <c r="D111" s="249" t="n"/>
      <c r="E111" s="249" t="n"/>
      <c r="F111" s="249" t="n"/>
      <c r="G111" s="249" t="n"/>
      <c r="H111" s="249" t="n"/>
    </row>
    <row r="112" ht="13" customHeight="1" s="250">
      <c r="A112" s="249" t="n"/>
      <c r="B112" s="249" t="n"/>
      <c r="C112" s="249" t="n"/>
      <c r="D112" s="249" t="n"/>
      <c r="E112" s="249" t="n"/>
      <c r="F112" s="249" t="n"/>
      <c r="G112" s="249" t="n"/>
      <c r="H112" s="249" t="n"/>
    </row>
    <row r="113" ht="13" customHeight="1" s="250">
      <c r="A113" s="249" t="n"/>
      <c r="B113" s="249" t="n"/>
      <c r="C113" s="249" t="n"/>
      <c r="D113" s="249" t="n"/>
      <c r="E113" s="249" t="n"/>
      <c r="F113" s="249" t="n"/>
      <c r="G113" s="249" t="n"/>
      <c r="H113" s="249" t="n"/>
    </row>
    <row r="114" ht="13" customHeight="1" s="250">
      <c r="A114" s="249" t="n"/>
      <c r="B114" s="249" t="n"/>
      <c r="C114" s="249" t="n"/>
      <c r="D114" s="249" t="n"/>
      <c r="E114" s="249" t="n"/>
      <c r="F114" s="249" t="n"/>
      <c r="G114" s="249" t="n"/>
      <c r="H114" s="249" t="n"/>
    </row>
    <row r="115" ht="13" customHeight="1" s="250">
      <c r="A115" s="249" t="n"/>
      <c r="B115" s="249" t="n"/>
      <c r="C115" s="249" t="n"/>
      <c r="D115" s="249" t="n"/>
      <c r="E115" s="249" t="n"/>
      <c r="F115" s="249" t="n"/>
      <c r="G115" s="249" t="n"/>
      <c r="H115" s="249" t="n"/>
    </row>
    <row r="116" ht="13" customHeight="1" s="250">
      <c r="A116" s="249" t="n"/>
      <c r="B116" s="249" t="n"/>
      <c r="C116" s="249" t="n"/>
      <c r="D116" s="249" t="n"/>
      <c r="E116" s="249" t="n"/>
      <c r="F116" s="249" t="n"/>
      <c r="G116" s="249" t="n"/>
      <c r="H116" s="249" t="n"/>
    </row>
    <row r="117" ht="13" customHeight="1" s="250">
      <c r="A117" s="249" t="n"/>
      <c r="B117" s="249" t="n"/>
      <c r="C117" s="249" t="n"/>
      <c r="D117" s="249" t="n"/>
      <c r="E117" s="249" t="n"/>
      <c r="F117" s="249" t="n"/>
      <c r="G117" s="249" t="n"/>
      <c r="H117" s="249" t="n"/>
    </row>
    <row r="118" ht="13" customHeight="1" s="250">
      <c r="A118" s="249" t="n"/>
      <c r="B118" s="249" t="n"/>
      <c r="C118" s="249" t="n"/>
      <c r="D118" s="249" t="n"/>
      <c r="E118" s="249" t="n"/>
      <c r="F118" s="249" t="n"/>
      <c r="G118" s="249" t="n"/>
      <c r="H118" s="249" t="n"/>
    </row>
    <row r="119" ht="13" customHeight="1" s="250">
      <c r="A119" s="249" t="n"/>
      <c r="B119" s="249" t="n"/>
      <c r="C119" s="249" t="n"/>
      <c r="D119" s="249" t="n"/>
      <c r="E119" s="249" t="n"/>
      <c r="F119" s="249" t="n"/>
      <c r="G119" s="249" t="n"/>
      <c r="H119" s="249" t="n"/>
    </row>
    <row r="120" ht="13" customHeight="1" s="250">
      <c r="A120" s="249" t="n"/>
      <c r="B120" s="249" t="n"/>
      <c r="C120" s="249" t="n"/>
      <c r="D120" s="249" t="n"/>
      <c r="E120" s="249" t="n"/>
      <c r="F120" s="249" t="n"/>
      <c r="G120" s="249" t="n"/>
      <c r="H120" s="249" t="n"/>
    </row>
    <row r="121" ht="13" customHeight="1" s="250">
      <c r="A121" s="249" t="n"/>
      <c r="B121" s="249" t="n"/>
      <c r="C121" s="249" t="n"/>
      <c r="D121" s="249" t="n"/>
      <c r="E121" s="249" t="n"/>
      <c r="F121" s="249" t="n"/>
      <c r="G121" s="249" t="n"/>
      <c r="H121" s="249" t="n"/>
    </row>
    <row r="122" ht="13" customHeight="1" s="250">
      <c r="A122" s="249" t="n"/>
      <c r="B122" s="249" t="n"/>
      <c r="C122" s="249" t="n"/>
      <c r="D122" s="249" t="n"/>
      <c r="E122" s="249" t="n"/>
      <c r="F122" s="249" t="n"/>
      <c r="G122" s="249" t="n"/>
      <c r="H122" s="249" t="n"/>
    </row>
    <row r="123" ht="13" customHeight="1" s="250">
      <c r="A123" s="249" t="n"/>
      <c r="B123" s="249" t="n"/>
      <c r="C123" s="249" t="n"/>
      <c r="D123" s="249" t="n"/>
      <c r="E123" s="249" t="n"/>
      <c r="F123" s="249" t="n"/>
      <c r="G123" s="249" t="n"/>
      <c r="H123" s="249" t="n"/>
    </row>
    <row r="124" ht="13" customHeight="1" s="250">
      <c r="A124" s="249" t="n"/>
      <c r="B124" s="249" t="n"/>
      <c r="C124" s="249" t="n"/>
      <c r="D124" s="249" t="n"/>
      <c r="E124" s="249" t="n"/>
      <c r="F124" s="249" t="n"/>
      <c r="G124" s="249" t="n"/>
      <c r="H124" s="249" t="n"/>
    </row>
    <row r="125" ht="13" customHeight="1" s="250">
      <c r="A125" s="249" t="n"/>
      <c r="B125" s="249" t="n"/>
      <c r="C125" s="249" t="n"/>
      <c r="D125" s="249" t="n"/>
      <c r="E125" s="249" t="n"/>
      <c r="F125" s="249" t="n"/>
      <c r="G125" s="249" t="n"/>
      <c r="H125" s="249" t="n"/>
    </row>
    <row r="126" ht="13" customHeight="1" s="250">
      <c r="A126" s="249" t="n"/>
      <c r="B126" s="249" t="n"/>
      <c r="C126" s="249" t="n"/>
      <c r="D126" s="249" t="n"/>
      <c r="E126" s="249" t="n"/>
      <c r="F126" s="249" t="n"/>
      <c r="G126" s="249" t="n"/>
      <c r="H126" s="249" t="n"/>
    </row>
    <row r="127" ht="13" customHeight="1" s="250">
      <c r="A127" s="249" t="n"/>
      <c r="B127" s="249" t="n"/>
      <c r="C127" s="249" t="n"/>
      <c r="D127" s="249" t="n"/>
      <c r="E127" s="249" t="n"/>
      <c r="F127" s="249" t="n"/>
      <c r="G127" s="249" t="n"/>
      <c r="H127" s="249" t="n"/>
    </row>
    <row r="128" ht="13" customHeight="1" s="250">
      <c r="A128" s="249" t="n"/>
      <c r="B128" s="249" t="n"/>
      <c r="C128" s="249" t="n"/>
      <c r="D128" s="249" t="n"/>
      <c r="E128" s="249" t="n"/>
      <c r="F128" s="249" t="n"/>
      <c r="G128" s="249" t="n"/>
      <c r="H128" s="249" t="n"/>
    </row>
    <row r="129" ht="13" customHeight="1" s="250">
      <c r="A129" s="249" t="n"/>
      <c r="B129" s="249" t="n"/>
      <c r="C129" s="249" t="n"/>
      <c r="D129" s="249" t="n"/>
      <c r="E129" s="249" t="n"/>
      <c r="F129" s="249" t="n"/>
      <c r="G129" s="249" t="n"/>
      <c r="H129" s="249" t="n"/>
    </row>
    <row r="130" ht="13" customHeight="1" s="250">
      <c r="A130" s="249" t="n"/>
      <c r="B130" s="249" t="n"/>
      <c r="C130" s="249" t="n"/>
      <c r="D130" s="249" t="n"/>
      <c r="E130" s="249" t="n"/>
      <c r="F130" s="249" t="n"/>
      <c r="G130" s="249" t="n"/>
      <c r="H130" s="249" t="n"/>
    </row>
    <row r="131" ht="13" customHeight="1" s="250">
      <c r="A131" s="249" t="n"/>
      <c r="B131" s="249" t="n"/>
      <c r="C131" s="249" t="n"/>
      <c r="D131" s="249" t="n"/>
      <c r="E131" s="249" t="n"/>
      <c r="F131" s="249" t="n"/>
      <c r="G131" s="249" t="n"/>
      <c r="H131" s="249" t="n"/>
    </row>
    <row r="132" ht="13" customHeight="1" s="250">
      <c r="A132" s="249" t="n"/>
      <c r="B132" s="249" t="n"/>
      <c r="C132" s="249" t="n"/>
      <c r="D132" s="249" t="n"/>
      <c r="E132" s="249" t="n"/>
      <c r="F132" s="249" t="n"/>
      <c r="G132" s="249" t="n"/>
      <c r="H132" s="249" t="n"/>
    </row>
    <row r="133" ht="13" customHeight="1" s="250">
      <c r="A133" s="249" t="n"/>
      <c r="B133" s="249" t="n"/>
      <c r="C133" s="249" t="n"/>
      <c r="D133" s="249" t="n"/>
      <c r="E133" s="249" t="n"/>
      <c r="F133" s="249" t="n"/>
      <c r="G133" s="249" t="n"/>
      <c r="H133" s="249" t="n"/>
    </row>
    <row r="134" ht="13" customHeight="1" s="250">
      <c r="A134" s="249" t="n"/>
      <c r="B134" s="249" t="n"/>
      <c r="C134" s="249" t="n"/>
      <c r="D134" s="249" t="n"/>
      <c r="E134" s="249" t="n"/>
      <c r="F134" s="249" t="n"/>
      <c r="G134" s="249" t="n"/>
      <c r="H134" s="249" t="n"/>
    </row>
    <row r="135" ht="13" customHeight="1" s="250">
      <c r="A135" s="249" t="n"/>
      <c r="B135" s="249" t="n"/>
      <c r="C135" s="249" t="n"/>
      <c r="D135" s="249" t="n"/>
      <c r="E135" s="249" t="n"/>
      <c r="F135" s="249" t="n"/>
      <c r="G135" s="249" t="n"/>
      <c r="H135" s="249" t="n"/>
    </row>
    <row r="136" ht="13" customHeight="1" s="250">
      <c r="A136" s="249" t="n"/>
      <c r="B136" s="249" t="n"/>
      <c r="C136" s="249" t="n"/>
      <c r="D136" s="249" t="n"/>
      <c r="E136" s="249" t="n"/>
      <c r="F136" s="249" t="n"/>
      <c r="G136" s="249" t="n"/>
      <c r="H136" s="249" t="n"/>
    </row>
    <row r="137" ht="13" customHeight="1" s="250">
      <c r="A137" s="249" t="n"/>
      <c r="B137" s="249" t="n"/>
      <c r="C137" s="249" t="n"/>
      <c r="D137" s="249" t="n"/>
      <c r="E137" s="249" t="n"/>
      <c r="F137" s="249" t="n"/>
      <c r="G137" s="249" t="n"/>
      <c r="H137" s="249" t="n"/>
    </row>
    <row r="138" ht="13" customHeight="1" s="250">
      <c r="A138" s="249" t="n"/>
      <c r="B138" s="249" t="n"/>
      <c r="C138" s="249" t="n"/>
      <c r="D138" s="249" t="n"/>
      <c r="E138" s="249" t="n"/>
      <c r="F138" s="249" t="n"/>
      <c r="G138" s="249" t="n"/>
      <c r="H138" s="249" t="n"/>
    </row>
    <row r="139" ht="13" customHeight="1" s="250">
      <c r="A139" s="249" t="n"/>
      <c r="B139" s="249" t="n"/>
      <c r="C139" s="249" t="n"/>
      <c r="D139" s="249" t="n"/>
      <c r="E139" s="249" t="n"/>
      <c r="F139" s="249" t="n"/>
      <c r="G139" s="249" t="n"/>
      <c r="H139" s="249" t="n"/>
    </row>
    <row r="140" ht="13" customHeight="1" s="250">
      <c r="A140" s="249" t="n"/>
      <c r="B140" s="249" t="n"/>
      <c r="C140" s="249" t="n"/>
      <c r="D140" s="249" t="n"/>
      <c r="E140" s="249" t="n"/>
      <c r="F140" s="249" t="n"/>
      <c r="G140" s="249" t="n"/>
      <c r="H140" s="249" t="n"/>
    </row>
    <row r="141" ht="13" customHeight="1" s="250">
      <c r="A141" s="249" t="n"/>
      <c r="B141" s="249" t="n"/>
      <c r="C141" s="249" t="n"/>
      <c r="D141" s="249" t="n"/>
      <c r="E141" s="249" t="n"/>
      <c r="F141" s="249" t="n"/>
      <c r="G141" s="249" t="n"/>
      <c r="H141" s="249" t="n"/>
    </row>
    <row r="142" ht="13" customHeight="1" s="250">
      <c r="A142" s="249" t="n"/>
      <c r="B142" s="249" t="n"/>
      <c r="C142" s="249" t="n"/>
      <c r="D142" s="249" t="n"/>
      <c r="E142" s="249" t="n"/>
      <c r="F142" s="249" t="n"/>
      <c r="G142" s="249" t="n"/>
      <c r="H142" s="249" t="n"/>
    </row>
    <row r="143" ht="13" customHeight="1" s="250">
      <c r="A143" s="249" t="n"/>
      <c r="B143" s="249" t="n"/>
      <c r="C143" s="249" t="n"/>
      <c r="D143" s="249" t="n"/>
      <c r="E143" s="249" t="n"/>
      <c r="F143" s="249" t="n"/>
      <c r="G143" s="249" t="n"/>
      <c r="H143" s="249" t="n"/>
    </row>
    <row r="144" ht="13" customHeight="1" s="250">
      <c r="A144" s="249" t="n"/>
      <c r="B144" s="249" t="n"/>
      <c r="C144" s="249" t="n"/>
      <c r="D144" s="249" t="n"/>
      <c r="E144" s="249" t="n"/>
      <c r="F144" s="249" t="n"/>
      <c r="G144" s="249" t="n"/>
      <c r="H144" s="249" t="n"/>
    </row>
    <row r="145" ht="13" customHeight="1" s="250">
      <c r="A145" s="249" t="n"/>
      <c r="B145" s="249" t="n"/>
      <c r="C145" s="249" t="n"/>
      <c r="D145" s="249" t="n"/>
      <c r="E145" s="249" t="n"/>
      <c r="F145" s="249" t="n"/>
      <c r="G145" s="249" t="n"/>
      <c r="H145" s="249" t="n"/>
    </row>
    <row r="146" ht="13" customHeight="1" s="250">
      <c r="A146" s="249" t="n"/>
      <c r="B146" s="249" t="n"/>
      <c r="C146" s="249" t="n"/>
      <c r="D146" s="249" t="n"/>
      <c r="E146" s="249" t="n"/>
      <c r="F146" s="249" t="n"/>
      <c r="G146" s="249" t="n"/>
      <c r="H146" s="249" t="n"/>
    </row>
    <row r="147" ht="13" customHeight="1" s="250">
      <c r="A147" s="249" t="n"/>
      <c r="B147" s="249" t="n"/>
      <c r="C147" s="249" t="n"/>
      <c r="D147" s="249" t="n"/>
      <c r="E147" s="249" t="n"/>
      <c r="F147" s="249" t="n"/>
      <c r="G147" s="249" t="n"/>
      <c r="H147" s="249" t="n"/>
    </row>
    <row r="148" ht="13" customHeight="1" s="250">
      <c r="A148" s="249" t="n"/>
      <c r="B148" s="249" t="n"/>
      <c r="C148" s="249" t="n"/>
      <c r="D148" s="249" t="n"/>
      <c r="E148" s="249" t="n"/>
      <c r="F148" s="249" t="n"/>
      <c r="G148" s="249" t="n"/>
      <c r="H148" s="249" t="n"/>
    </row>
    <row r="149" ht="13" customHeight="1" s="250">
      <c r="A149" s="249" t="n"/>
      <c r="B149" s="249" t="n"/>
      <c r="C149" s="249" t="n"/>
      <c r="D149" s="249" t="n"/>
      <c r="E149" s="249" t="n"/>
      <c r="F149" s="249" t="n"/>
      <c r="G149" s="249" t="n"/>
      <c r="H149" s="249" t="n"/>
    </row>
    <row r="150" ht="13" customHeight="1" s="250">
      <c r="A150" s="249" t="n"/>
      <c r="B150" s="249" t="n"/>
      <c r="C150" s="249" t="n"/>
      <c r="D150" s="249" t="n"/>
      <c r="E150" s="249" t="n"/>
      <c r="F150" s="249" t="n"/>
      <c r="G150" s="249" t="n"/>
      <c r="H150" s="249" t="n"/>
    </row>
    <row r="151" ht="13" customHeight="1" s="250">
      <c r="A151" s="249" t="n"/>
      <c r="B151" s="249" t="n"/>
      <c r="C151" s="249" t="n"/>
      <c r="D151" s="249" t="n"/>
      <c r="E151" s="249" t="n"/>
      <c r="F151" s="249" t="n"/>
      <c r="G151" s="249" t="n"/>
      <c r="H151" s="249" t="n"/>
    </row>
    <row r="152" ht="13" customHeight="1" s="250">
      <c r="A152" s="249" t="n"/>
      <c r="B152" s="249" t="n"/>
      <c r="C152" s="249" t="n"/>
      <c r="D152" s="249" t="n"/>
      <c r="E152" s="249" t="n"/>
      <c r="F152" s="249" t="n"/>
      <c r="G152" s="249" t="n"/>
      <c r="H152" s="249" t="n"/>
    </row>
    <row r="153" ht="13" customHeight="1" s="250">
      <c r="A153" s="249" t="n"/>
      <c r="B153" s="249" t="n"/>
      <c r="C153" s="249" t="n"/>
      <c r="D153" s="249" t="n"/>
      <c r="E153" s="249" t="n"/>
      <c r="F153" s="249" t="n"/>
      <c r="G153" s="249" t="n"/>
      <c r="H153" s="249" t="n"/>
    </row>
    <row r="154" ht="13" customHeight="1" s="250">
      <c r="A154" s="249" t="n"/>
      <c r="B154" s="249" t="n"/>
      <c r="C154" s="249" t="n"/>
      <c r="D154" s="249" t="n"/>
      <c r="E154" s="249" t="n"/>
      <c r="F154" s="249" t="n"/>
      <c r="G154" s="249" t="n"/>
      <c r="H154" s="249" t="n"/>
    </row>
    <row r="155" ht="13" customHeight="1" s="250">
      <c r="A155" s="249" t="n"/>
      <c r="B155" s="249" t="n"/>
      <c r="C155" s="249" t="n"/>
      <c r="D155" s="249" t="n"/>
      <c r="E155" s="249" t="n"/>
      <c r="F155" s="249" t="n"/>
      <c r="G155" s="249" t="n"/>
      <c r="H155" s="249" t="n"/>
    </row>
    <row r="156" ht="13" customHeight="1" s="250">
      <c r="A156" s="249" t="n"/>
      <c r="B156" s="249" t="n"/>
      <c r="C156" s="249" t="n"/>
      <c r="D156" s="249" t="n"/>
      <c r="E156" s="249" t="n"/>
      <c r="F156" s="249" t="n"/>
      <c r="G156" s="249" t="n"/>
      <c r="H156" s="249" t="n"/>
    </row>
    <row r="157" ht="13" customHeight="1" s="250">
      <c r="A157" s="249" t="n"/>
      <c r="B157" s="249" t="n"/>
      <c r="C157" s="249" t="n"/>
      <c r="D157" s="249" t="n"/>
      <c r="E157" s="249" t="n"/>
      <c r="F157" s="249" t="n"/>
      <c r="G157" s="249" t="n"/>
      <c r="H157" s="249" t="n"/>
    </row>
    <row r="158" ht="13" customHeight="1" s="250">
      <c r="A158" s="249" t="n"/>
      <c r="B158" s="249" t="n"/>
      <c r="C158" s="249" t="n"/>
      <c r="D158" s="249" t="n"/>
      <c r="E158" s="249" t="n"/>
      <c r="F158" s="249" t="n"/>
      <c r="G158" s="249" t="n"/>
      <c r="H158" s="249" t="n"/>
    </row>
    <row r="159" ht="13" customHeight="1" s="250">
      <c r="A159" s="249" t="n"/>
      <c r="B159" s="249" t="n"/>
      <c r="C159" s="249" t="n"/>
      <c r="D159" s="249" t="n"/>
      <c r="E159" s="249" t="n"/>
      <c r="F159" s="249" t="n"/>
      <c r="G159" s="249" t="n"/>
      <c r="H159" s="249" t="n"/>
    </row>
    <row r="160" ht="13" customHeight="1" s="250">
      <c r="A160" s="249" t="n"/>
      <c r="B160" s="249" t="n"/>
      <c r="C160" s="249" t="n"/>
      <c r="D160" s="249" t="n"/>
      <c r="E160" s="249" t="n"/>
      <c r="F160" s="249" t="n"/>
      <c r="G160" s="249" t="n"/>
      <c r="H160" s="249" t="n"/>
    </row>
    <row r="161" ht="13" customHeight="1" s="250">
      <c r="A161" s="249" t="n"/>
      <c r="B161" s="249" t="n"/>
      <c r="C161" s="249" t="n"/>
      <c r="D161" s="249" t="n"/>
      <c r="E161" s="249" t="n"/>
      <c r="F161" s="249" t="n"/>
      <c r="G161" s="249" t="n"/>
      <c r="H161" s="249" t="n"/>
    </row>
    <row r="162" ht="13" customHeight="1" s="250">
      <c r="A162" s="249" t="n"/>
      <c r="B162" s="249" t="n"/>
      <c r="C162" s="249" t="n"/>
      <c r="D162" s="249" t="n"/>
      <c r="E162" s="249" t="n"/>
      <c r="F162" s="249" t="n"/>
      <c r="G162" s="249" t="n"/>
      <c r="H162" s="249" t="n"/>
    </row>
    <row r="163" ht="13" customHeight="1" s="250">
      <c r="A163" s="249" t="n"/>
      <c r="B163" s="249" t="n"/>
      <c r="C163" s="249" t="n"/>
      <c r="D163" s="249" t="n"/>
      <c r="E163" s="249" t="n"/>
      <c r="F163" s="249" t="n"/>
      <c r="G163" s="249" t="n"/>
      <c r="H163" s="249" t="n"/>
    </row>
    <row r="164" ht="13" customHeight="1" s="250">
      <c r="A164" s="249" t="n"/>
      <c r="B164" s="249" t="n"/>
      <c r="C164" s="249" t="n"/>
      <c r="D164" s="249" t="n"/>
      <c r="E164" s="249" t="n"/>
      <c r="F164" s="249" t="n"/>
      <c r="G164" s="249" t="n"/>
      <c r="H164" s="249" t="n"/>
    </row>
    <row r="165" ht="13" customHeight="1" s="250">
      <c r="A165" s="249" t="n"/>
      <c r="B165" s="249" t="n"/>
      <c r="C165" s="249" t="n"/>
      <c r="D165" s="249" t="n"/>
      <c r="E165" s="249" t="n"/>
      <c r="F165" s="249" t="n"/>
      <c r="G165" s="249" t="n"/>
      <c r="H165" s="249" t="n"/>
    </row>
    <row r="166" ht="13" customHeight="1" s="250">
      <c r="A166" s="249" t="n"/>
      <c r="B166" s="249" t="n"/>
      <c r="C166" s="249" t="n"/>
      <c r="D166" s="249" t="n"/>
      <c r="E166" s="249" t="n"/>
      <c r="F166" s="249" t="n"/>
      <c r="G166" s="249" t="n"/>
      <c r="H166" s="249" t="n"/>
    </row>
    <row r="167" ht="13" customHeight="1" s="250">
      <c r="A167" s="249" t="n"/>
      <c r="B167" s="249" t="n"/>
      <c r="C167" s="249" t="n"/>
      <c r="D167" s="249" t="n"/>
      <c r="E167" s="249" t="n"/>
      <c r="F167" s="249" t="n"/>
      <c r="G167" s="249" t="n"/>
      <c r="H167" s="249" t="n"/>
    </row>
    <row r="168" ht="13" customHeight="1" s="250">
      <c r="A168" s="249" t="n"/>
      <c r="B168" s="249" t="n"/>
      <c r="C168" s="249" t="n"/>
      <c r="D168" s="249" t="n"/>
      <c r="E168" s="249" t="n"/>
      <c r="F168" s="249" t="n"/>
      <c r="G168" s="249" t="n"/>
      <c r="H168" s="249" t="n"/>
    </row>
    <row r="169" ht="13" customHeight="1" s="250">
      <c r="A169" s="249" t="n"/>
      <c r="B169" s="249" t="n"/>
      <c r="C169" s="249" t="n"/>
      <c r="D169" s="249" t="n"/>
      <c r="E169" s="249" t="n"/>
      <c r="F169" s="249" t="n"/>
      <c r="G169" s="249" t="n"/>
      <c r="H169" s="249" t="n"/>
    </row>
    <row r="170" ht="13" customHeight="1" s="250">
      <c r="A170" s="249" t="n"/>
      <c r="B170" s="249" t="n"/>
      <c r="C170" s="249" t="n"/>
      <c r="D170" s="249" t="n"/>
      <c r="E170" s="249" t="n"/>
      <c r="F170" s="249" t="n"/>
      <c r="G170" s="249" t="n"/>
      <c r="H170" s="249" t="n"/>
    </row>
    <row r="171" ht="13" customHeight="1" s="250">
      <c r="A171" s="249" t="n"/>
      <c r="B171" s="249" t="n"/>
      <c r="C171" s="249" t="n"/>
      <c r="D171" s="249" t="n"/>
      <c r="E171" s="249" t="n"/>
      <c r="F171" s="249" t="n"/>
      <c r="G171" s="249" t="n"/>
      <c r="H171" s="249" t="n"/>
    </row>
    <row r="172" ht="13" customHeight="1" s="250">
      <c r="A172" s="249" t="n"/>
      <c r="B172" s="249" t="n"/>
      <c r="C172" s="249" t="n"/>
      <c r="D172" s="249" t="n"/>
      <c r="E172" s="249" t="n"/>
      <c r="F172" s="249" t="n"/>
      <c r="G172" s="249" t="n"/>
      <c r="H172" s="249" t="n"/>
    </row>
    <row r="173" ht="13" customHeight="1" s="250">
      <c r="A173" s="249" t="n"/>
      <c r="B173" s="249" t="n"/>
      <c r="C173" s="249" t="n"/>
      <c r="D173" s="249" t="n"/>
      <c r="E173" s="249" t="n"/>
      <c r="F173" s="249" t="n"/>
      <c r="G173" s="249" t="n"/>
      <c r="H173" s="249" t="n"/>
    </row>
    <row r="174" ht="13" customHeight="1" s="250">
      <c r="A174" s="249" t="n"/>
      <c r="B174" s="249" t="n"/>
      <c r="C174" s="249" t="n"/>
      <c r="D174" s="249" t="n"/>
      <c r="E174" s="249" t="n"/>
      <c r="F174" s="249" t="n"/>
      <c r="G174" s="249" t="n"/>
      <c r="H174" s="249" t="n"/>
    </row>
    <row r="175" ht="13" customHeight="1" s="250">
      <c r="A175" s="249" t="n"/>
      <c r="B175" s="249" t="n"/>
      <c r="C175" s="249" t="n"/>
      <c r="D175" s="249" t="n"/>
      <c r="E175" s="249" t="n"/>
      <c r="F175" s="249" t="n"/>
      <c r="G175" s="249" t="n"/>
      <c r="H175" s="249" t="n"/>
    </row>
    <row r="176" ht="13" customHeight="1" s="250">
      <c r="A176" s="249" t="n"/>
      <c r="B176" s="249" t="n"/>
      <c r="C176" s="249" t="n"/>
      <c r="D176" s="249" t="n"/>
      <c r="E176" s="249" t="n"/>
      <c r="F176" s="249" t="n"/>
      <c r="G176" s="249" t="n"/>
      <c r="H176" s="249" t="n"/>
    </row>
    <row r="177" ht="13" customHeight="1" s="250">
      <c r="A177" s="249" t="n"/>
      <c r="B177" s="249" t="n"/>
      <c r="C177" s="249" t="n"/>
      <c r="D177" s="249" t="n"/>
      <c r="E177" s="249" t="n"/>
      <c r="F177" s="249" t="n"/>
      <c r="G177" s="249" t="n"/>
      <c r="H177" s="249" t="n"/>
    </row>
    <row r="178" ht="13" customHeight="1" s="250">
      <c r="A178" s="249" t="n"/>
      <c r="B178" s="249" t="n"/>
      <c r="C178" s="249" t="n"/>
      <c r="D178" s="249" t="n"/>
      <c r="E178" s="249" t="n"/>
      <c r="F178" s="249" t="n"/>
      <c r="G178" s="249" t="n"/>
      <c r="H178" s="249" t="n"/>
    </row>
    <row r="179" ht="13" customHeight="1" s="250">
      <c r="A179" s="249" t="n"/>
      <c r="B179" s="249" t="n"/>
      <c r="C179" s="249" t="n"/>
      <c r="D179" s="249" t="n"/>
      <c r="E179" s="249" t="n"/>
      <c r="F179" s="249" t="n"/>
      <c r="G179" s="249" t="n"/>
      <c r="H179" s="249" t="n"/>
    </row>
    <row r="180" ht="13" customHeight="1" s="250">
      <c r="A180" s="249" t="n"/>
      <c r="B180" s="249" t="n"/>
      <c r="C180" s="249" t="n"/>
      <c r="D180" s="249" t="n"/>
      <c r="E180" s="249" t="n"/>
      <c r="F180" s="249" t="n"/>
      <c r="G180" s="249" t="n"/>
      <c r="H180" s="249" t="n"/>
    </row>
    <row r="181" ht="13" customHeight="1" s="250">
      <c r="A181" s="249" t="n"/>
      <c r="B181" s="249" t="n"/>
      <c r="C181" s="249" t="n"/>
      <c r="D181" s="249" t="n"/>
      <c r="E181" s="249" t="n"/>
      <c r="F181" s="249" t="n"/>
      <c r="G181" s="249" t="n"/>
      <c r="H181" s="249" t="n"/>
    </row>
    <row r="182" ht="13" customHeight="1" s="250">
      <c r="A182" s="249" t="n"/>
      <c r="B182" s="249" t="n"/>
      <c r="C182" s="249" t="n"/>
      <c r="D182" s="249" t="n"/>
      <c r="E182" s="249" t="n"/>
      <c r="F182" s="249" t="n"/>
      <c r="G182" s="249" t="n"/>
      <c r="H182" s="249" t="n"/>
    </row>
    <row r="183" ht="13" customHeight="1" s="250">
      <c r="A183" s="249" t="n"/>
      <c r="B183" s="249" t="n"/>
      <c r="C183" s="249" t="n"/>
      <c r="D183" s="249" t="n"/>
      <c r="E183" s="249" t="n"/>
      <c r="F183" s="249" t="n"/>
      <c r="G183" s="249" t="n"/>
      <c r="H183" s="249" t="n"/>
    </row>
    <row r="184" ht="13" customHeight="1" s="250">
      <c r="A184" s="249" t="n"/>
      <c r="B184" s="249" t="n"/>
      <c r="C184" s="249" t="n"/>
      <c r="D184" s="249" t="n"/>
      <c r="E184" s="249" t="n"/>
      <c r="F184" s="249" t="n"/>
      <c r="G184" s="249" t="n"/>
      <c r="H184" s="249" t="n"/>
    </row>
    <row r="185" ht="13" customHeight="1" s="250">
      <c r="A185" s="249" t="n"/>
      <c r="B185" s="249" t="n"/>
      <c r="C185" s="249" t="n"/>
      <c r="D185" s="249" t="n"/>
      <c r="E185" s="249" t="n"/>
      <c r="F185" s="249" t="n"/>
      <c r="G185" s="249" t="n"/>
      <c r="H185" s="249" t="n"/>
    </row>
    <row r="186" ht="13" customHeight="1" s="250">
      <c r="A186" s="249" t="n"/>
      <c r="B186" s="249" t="n"/>
      <c r="C186" s="249" t="n"/>
      <c r="D186" s="249" t="n"/>
      <c r="E186" s="249" t="n"/>
      <c r="F186" s="249" t="n"/>
      <c r="G186" s="249" t="n"/>
      <c r="H186" s="249" t="n"/>
    </row>
    <row r="187" ht="13" customHeight="1" s="250">
      <c r="A187" s="249" t="n"/>
      <c r="B187" s="249" t="n"/>
      <c r="C187" s="249" t="n"/>
      <c r="D187" s="249" t="n"/>
      <c r="E187" s="249" t="n"/>
      <c r="F187" s="249" t="n"/>
      <c r="G187" s="249" t="n"/>
      <c r="H187" s="249" t="n"/>
    </row>
    <row r="188" ht="13" customHeight="1" s="250">
      <c r="A188" s="249" t="n"/>
      <c r="B188" s="249" t="n"/>
      <c r="C188" s="249" t="n"/>
      <c r="D188" s="249" t="n"/>
      <c r="E188" s="249" t="n"/>
      <c r="F188" s="249" t="n"/>
      <c r="G188" s="249" t="n"/>
      <c r="H188" s="249" t="n"/>
    </row>
    <row r="189" ht="13" customHeight="1" s="250">
      <c r="A189" s="249" t="n"/>
      <c r="B189" s="249" t="n"/>
      <c r="C189" s="249" t="n"/>
      <c r="D189" s="249" t="n"/>
      <c r="E189" s="249" t="n"/>
      <c r="F189" s="249" t="n"/>
      <c r="G189" s="249" t="n"/>
      <c r="H189" s="249" t="n"/>
    </row>
    <row r="190" ht="13" customHeight="1" s="250">
      <c r="A190" s="249" t="n"/>
      <c r="B190" s="249" t="n"/>
      <c r="C190" s="249" t="n"/>
      <c r="D190" s="249" t="n"/>
      <c r="E190" s="249" t="n"/>
      <c r="F190" s="249" t="n"/>
      <c r="G190" s="249" t="n"/>
      <c r="H190" s="249" t="n"/>
    </row>
    <row r="191" ht="13" customHeight="1" s="250">
      <c r="A191" s="249" t="n"/>
      <c r="B191" s="249" t="n"/>
      <c r="C191" s="249" t="n"/>
      <c r="D191" s="249" t="n"/>
      <c r="E191" s="249" t="n"/>
      <c r="F191" s="249" t="n"/>
      <c r="G191" s="249" t="n"/>
      <c r="H191" s="249" t="n"/>
    </row>
    <row r="192" ht="13" customHeight="1" s="250">
      <c r="A192" s="249" t="n"/>
      <c r="B192" s="249" t="n"/>
      <c r="C192" s="249" t="n"/>
      <c r="D192" s="249" t="n"/>
      <c r="E192" s="249" t="n"/>
      <c r="F192" s="249" t="n"/>
      <c r="G192" s="249" t="n"/>
      <c r="H192" s="249" t="n"/>
    </row>
    <row r="193" ht="13" customHeight="1" s="250">
      <c r="A193" s="249" t="n"/>
      <c r="B193" s="249" t="n"/>
      <c r="C193" s="249" t="n"/>
      <c r="D193" s="249" t="n"/>
      <c r="E193" s="249" t="n"/>
      <c r="F193" s="249" t="n"/>
      <c r="G193" s="249" t="n"/>
      <c r="H193" s="249" t="n"/>
    </row>
    <row r="194" ht="13" customHeight="1" s="250">
      <c r="A194" s="249" t="n"/>
      <c r="B194" s="249" t="n"/>
      <c r="C194" s="249" t="n"/>
      <c r="D194" s="249" t="n"/>
      <c r="E194" s="249" t="n"/>
      <c r="F194" s="249" t="n"/>
      <c r="G194" s="249" t="n"/>
      <c r="H194" s="249" t="n"/>
    </row>
    <row r="195" ht="13" customHeight="1" s="250">
      <c r="A195" s="249" t="n"/>
      <c r="B195" s="249" t="n"/>
      <c r="C195" s="249" t="n"/>
      <c r="D195" s="249" t="n"/>
      <c r="E195" s="249" t="n"/>
      <c r="F195" s="249" t="n"/>
      <c r="G195" s="249" t="n"/>
      <c r="H195" s="249" t="n"/>
    </row>
    <row r="196" ht="13" customHeight="1" s="250">
      <c r="A196" s="249" t="n"/>
      <c r="B196" s="249" t="n"/>
      <c r="C196" s="249" t="n"/>
      <c r="D196" s="249" t="n"/>
      <c r="E196" s="249" t="n"/>
      <c r="F196" s="249" t="n"/>
      <c r="G196" s="249" t="n"/>
      <c r="H196" s="249" t="n"/>
    </row>
    <row r="197" ht="13" customHeight="1" s="250">
      <c r="A197" s="249" t="n"/>
      <c r="B197" s="249" t="n"/>
      <c r="C197" s="249" t="n"/>
      <c r="D197" s="249" t="n"/>
      <c r="E197" s="249" t="n"/>
      <c r="F197" s="249" t="n"/>
      <c r="G197" s="249" t="n"/>
      <c r="H197" s="249" t="n"/>
    </row>
    <row r="198" ht="13" customHeight="1" s="250">
      <c r="A198" s="249" t="n"/>
      <c r="B198" s="249" t="n"/>
      <c r="C198" s="249" t="n"/>
      <c r="D198" s="249" t="n"/>
      <c r="E198" s="249" t="n"/>
      <c r="F198" s="249" t="n"/>
      <c r="G198" s="249" t="n"/>
      <c r="H198" s="249" t="n"/>
    </row>
    <row r="199" ht="13" customHeight="1" s="250">
      <c r="A199" s="249" t="n"/>
      <c r="B199" s="249" t="n"/>
      <c r="C199" s="249" t="n"/>
      <c r="D199" s="249" t="n"/>
      <c r="E199" s="249" t="n"/>
      <c r="F199" s="249" t="n"/>
      <c r="G199" s="249" t="n"/>
      <c r="H199" s="249" t="n"/>
    </row>
    <row r="200" ht="13" customHeight="1" s="250">
      <c r="A200" s="249" t="n"/>
      <c r="B200" s="249" t="n"/>
      <c r="C200" s="249" t="n"/>
      <c r="D200" s="249" t="n"/>
      <c r="E200" s="249" t="n"/>
      <c r="F200" s="249" t="n"/>
      <c r="G200" s="249" t="n"/>
      <c r="H200" s="249" t="n"/>
    </row>
    <row r="201" ht="13" customHeight="1" s="250">
      <c r="A201" s="249" t="n"/>
      <c r="B201" s="249" t="n"/>
      <c r="C201" s="249" t="n"/>
      <c r="D201" s="249" t="n"/>
      <c r="E201" s="249" t="n"/>
      <c r="F201" s="249" t="n"/>
      <c r="G201" s="249" t="n"/>
      <c r="H201" s="249" t="n"/>
    </row>
    <row r="202" ht="13" customHeight="1" s="250">
      <c r="A202" s="249" t="n"/>
      <c r="B202" s="249" t="n"/>
      <c r="C202" s="249" t="n"/>
      <c r="D202" s="249" t="n"/>
      <c r="E202" s="249" t="n"/>
      <c r="F202" s="249" t="n"/>
      <c r="G202" s="249" t="n"/>
      <c r="H202" s="249" t="n"/>
    </row>
    <row r="203" ht="13" customHeight="1" s="250">
      <c r="A203" s="249" t="n"/>
      <c r="B203" s="249" t="n"/>
      <c r="C203" s="249" t="n"/>
      <c r="D203" s="249" t="n"/>
      <c r="E203" s="249" t="n"/>
      <c r="F203" s="249" t="n"/>
      <c r="G203" s="249" t="n"/>
      <c r="H203" s="249" t="n"/>
    </row>
    <row r="204" ht="13" customHeight="1" s="250">
      <c r="A204" s="249" t="n"/>
      <c r="B204" s="249" t="n"/>
      <c r="C204" s="249" t="n"/>
      <c r="D204" s="249" t="n"/>
      <c r="E204" s="249" t="n"/>
      <c r="F204" s="249" t="n"/>
      <c r="G204" s="249" t="n"/>
      <c r="H204" s="249" t="n"/>
    </row>
    <row r="205" ht="13" customHeight="1" s="250">
      <c r="A205" s="249" t="n"/>
      <c r="B205" s="249" t="n"/>
      <c r="C205" s="249" t="n"/>
      <c r="D205" s="249" t="n"/>
      <c r="E205" s="249" t="n"/>
      <c r="F205" s="249" t="n"/>
      <c r="G205" s="249" t="n"/>
      <c r="H205" s="249" t="n"/>
    </row>
    <row r="206" ht="13" customHeight="1" s="250">
      <c r="A206" s="249" t="n"/>
      <c r="B206" s="249" t="n"/>
      <c r="C206" s="249" t="n"/>
      <c r="D206" s="249" t="n"/>
      <c r="E206" s="249" t="n"/>
      <c r="F206" s="249" t="n"/>
      <c r="G206" s="249" t="n"/>
      <c r="H206" s="249" t="n"/>
    </row>
    <row r="207" ht="13" customHeight="1" s="250">
      <c r="A207" s="249" t="n"/>
      <c r="B207" s="249" t="n"/>
      <c r="C207" s="249" t="n"/>
      <c r="D207" s="249" t="n"/>
      <c r="E207" s="249" t="n"/>
      <c r="F207" s="249" t="n"/>
      <c r="G207" s="249" t="n"/>
      <c r="H207" s="249" t="n"/>
    </row>
    <row r="208" ht="13" customHeight="1" s="250">
      <c r="A208" s="249" t="n"/>
      <c r="B208" s="249" t="n"/>
      <c r="C208" s="249" t="n"/>
      <c r="D208" s="249" t="n"/>
      <c r="E208" s="249" t="n"/>
      <c r="F208" s="249" t="n"/>
      <c r="G208" s="249" t="n"/>
      <c r="H208" s="249" t="n"/>
    </row>
    <row r="209" ht="13" customHeight="1" s="250">
      <c r="A209" s="249" t="n"/>
      <c r="B209" s="249" t="n"/>
      <c r="C209" s="249" t="n"/>
      <c r="D209" s="249" t="n"/>
      <c r="E209" s="249" t="n"/>
      <c r="F209" s="249" t="n"/>
      <c r="G209" s="249" t="n"/>
      <c r="H209" s="249" t="n"/>
    </row>
    <row r="210" ht="13" customHeight="1" s="250">
      <c r="A210" s="249" t="n"/>
      <c r="B210" s="249" t="n"/>
      <c r="C210" s="249" t="n"/>
      <c r="D210" s="249" t="n"/>
      <c r="E210" s="249" t="n"/>
      <c r="F210" s="249" t="n"/>
      <c r="G210" s="249" t="n"/>
      <c r="H210" s="249" t="n"/>
    </row>
    <row r="211" ht="13" customHeight="1" s="250">
      <c r="A211" s="249" t="n"/>
      <c r="B211" s="249" t="n"/>
      <c r="C211" s="249" t="n"/>
      <c r="D211" s="249" t="n"/>
      <c r="E211" s="249" t="n"/>
      <c r="F211" s="249" t="n"/>
      <c r="G211" s="249" t="n"/>
      <c r="H211" s="249" t="n"/>
    </row>
    <row r="212" ht="13" customHeight="1" s="250">
      <c r="A212" s="249" t="n"/>
      <c r="B212" s="249" t="n"/>
      <c r="C212" s="249" t="n"/>
      <c r="D212" s="249" t="n"/>
      <c r="E212" s="249" t="n"/>
      <c r="F212" s="249" t="n"/>
      <c r="G212" s="249" t="n"/>
      <c r="H212" s="249" t="n"/>
    </row>
    <row r="213" ht="13" customHeight="1" s="250">
      <c r="A213" s="249" t="n"/>
      <c r="B213" s="249" t="n"/>
      <c r="C213" s="249" t="n"/>
      <c r="D213" s="249" t="n"/>
      <c r="E213" s="249" t="n"/>
      <c r="F213" s="249" t="n"/>
      <c r="G213" s="249" t="n"/>
      <c r="H213" s="249" t="n"/>
    </row>
    <row r="214" ht="13" customHeight="1" s="250">
      <c r="A214" s="249" t="n"/>
      <c r="B214" s="249" t="n"/>
      <c r="C214" s="249" t="n"/>
      <c r="D214" s="249" t="n"/>
      <c r="E214" s="249" t="n"/>
      <c r="F214" s="249" t="n"/>
      <c r="G214" s="249" t="n"/>
      <c r="H214" s="249" t="n"/>
    </row>
    <row r="215" ht="13" customHeight="1" s="250">
      <c r="A215" s="249" t="n"/>
      <c r="B215" s="249" t="n"/>
      <c r="C215" s="249" t="n"/>
      <c r="D215" s="249" t="n"/>
      <c r="E215" s="249" t="n"/>
      <c r="F215" s="249" t="n"/>
      <c r="G215" s="249" t="n"/>
      <c r="H215" s="249" t="n"/>
    </row>
    <row r="216" ht="13" customHeight="1" s="250">
      <c r="A216" s="249" t="n"/>
      <c r="B216" s="249" t="n"/>
      <c r="C216" s="249" t="n"/>
      <c r="D216" s="249" t="n"/>
      <c r="E216" s="249" t="n"/>
      <c r="F216" s="249" t="n"/>
      <c r="G216" s="249" t="n"/>
      <c r="H216" s="249" t="n"/>
    </row>
    <row r="217" ht="13" customHeight="1" s="250">
      <c r="A217" s="249" t="n"/>
      <c r="B217" s="249" t="n"/>
      <c r="C217" s="249" t="n"/>
      <c r="D217" s="249" t="n"/>
      <c r="E217" s="249" t="n"/>
      <c r="F217" s="249" t="n"/>
      <c r="G217" s="249" t="n"/>
      <c r="H217" s="249" t="n"/>
    </row>
    <row r="218" ht="13" customHeight="1" s="250">
      <c r="A218" s="249" t="n"/>
      <c r="B218" s="249" t="n"/>
      <c r="C218" s="249" t="n"/>
      <c r="D218" s="249" t="n"/>
      <c r="E218" s="249" t="n"/>
      <c r="F218" s="249" t="n"/>
      <c r="G218" s="249" t="n"/>
      <c r="H218" s="249" t="n"/>
    </row>
    <row r="219" ht="13" customHeight="1" s="250">
      <c r="A219" s="249" t="n"/>
      <c r="B219" s="249" t="n"/>
      <c r="C219" s="249" t="n"/>
      <c r="D219" s="249" t="n"/>
      <c r="E219" s="249" t="n"/>
      <c r="F219" s="249" t="n"/>
      <c r="G219" s="249" t="n"/>
      <c r="H219" s="249" t="n"/>
    </row>
    <row r="220" ht="13" customHeight="1" s="250">
      <c r="A220" s="249" t="n"/>
      <c r="B220" s="249" t="n"/>
      <c r="C220" s="249" t="n"/>
      <c r="D220" s="249" t="n"/>
      <c r="E220" s="249" t="n"/>
      <c r="F220" s="249" t="n"/>
      <c r="G220" s="249" t="n"/>
      <c r="H220" s="249" t="n"/>
    </row>
    <row r="221" ht="13" customHeight="1" s="250">
      <c r="A221" s="249" t="n"/>
      <c r="B221" s="249" t="n"/>
      <c r="C221" s="249" t="n"/>
      <c r="D221" s="249" t="n"/>
      <c r="E221" s="249" t="n"/>
      <c r="F221" s="249" t="n"/>
      <c r="G221" s="249" t="n"/>
      <c r="H221" s="249" t="n"/>
    </row>
    <row r="222" ht="13" customHeight="1" s="250">
      <c r="A222" s="249" t="n"/>
      <c r="B222" s="249" t="n"/>
      <c r="C222" s="249" t="n"/>
      <c r="D222" s="249" t="n"/>
      <c r="E222" s="249" t="n"/>
      <c r="F222" s="249" t="n"/>
      <c r="G222" s="249" t="n"/>
      <c r="H222" s="249" t="n"/>
    </row>
    <row r="223" ht="13" customHeight="1" s="250">
      <c r="A223" s="249" t="n"/>
      <c r="B223" s="249" t="n"/>
      <c r="C223" s="249" t="n"/>
      <c r="D223" s="249" t="n"/>
      <c r="E223" s="249" t="n"/>
      <c r="F223" s="249" t="n"/>
      <c r="G223" s="249" t="n"/>
      <c r="H223" s="249" t="n"/>
    </row>
    <row r="224" ht="13" customHeight="1" s="250">
      <c r="A224" s="249" t="n"/>
      <c r="B224" s="249" t="n"/>
      <c r="C224" s="249" t="n"/>
      <c r="D224" s="249" t="n"/>
      <c r="E224" s="249" t="n"/>
      <c r="F224" s="249" t="n"/>
      <c r="G224" s="249" t="n"/>
      <c r="H224" s="249" t="n"/>
    </row>
    <row r="225" ht="13" customHeight="1" s="250">
      <c r="A225" s="249" t="n"/>
      <c r="B225" s="249" t="n"/>
      <c r="C225" s="249" t="n"/>
      <c r="D225" s="249" t="n"/>
      <c r="E225" s="249" t="n"/>
      <c r="F225" s="249" t="n"/>
      <c r="G225" s="249" t="n"/>
      <c r="H225" s="249" t="n"/>
    </row>
    <row r="226" ht="13" customHeight="1" s="250">
      <c r="A226" s="249" t="n"/>
      <c r="B226" s="249" t="n"/>
      <c r="C226" s="249" t="n"/>
      <c r="D226" s="249" t="n"/>
      <c r="E226" s="249" t="n"/>
      <c r="F226" s="249" t="n"/>
      <c r="G226" s="249" t="n"/>
      <c r="H226" s="249" t="n"/>
    </row>
    <row r="227" ht="13" customHeight="1" s="250">
      <c r="A227" s="249" t="n"/>
      <c r="B227" s="249" t="n"/>
      <c r="C227" s="249" t="n"/>
      <c r="D227" s="249" t="n"/>
      <c r="E227" s="249" t="n"/>
      <c r="F227" s="249" t="n"/>
      <c r="G227" s="249" t="n"/>
      <c r="H227" s="249" t="n"/>
    </row>
    <row r="228" ht="13" customHeight="1" s="250">
      <c r="A228" s="249" t="n"/>
      <c r="B228" s="249" t="n"/>
      <c r="C228" s="249" t="n"/>
      <c r="D228" s="249" t="n"/>
      <c r="E228" s="249" t="n"/>
      <c r="F228" s="249" t="n"/>
      <c r="G228" s="249" t="n"/>
      <c r="H228" s="249" t="n"/>
    </row>
    <row r="229" ht="13" customHeight="1" s="250">
      <c r="A229" s="249" t="n"/>
      <c r="B229" s="249" t="n"/>
      <c r="C229" s="249" t="n"/>
      <c r="D229" s="249" t="n"/>
      <c r="E229" s="249" t="n"/>
      <c r="F229" s="249" t="n"/>
      <c r="G229" s="249" t="n"/>
      <c r="H229" s="249" t="n"/>
    </row>
    <row r="230" ht="13" customHeight="1" s="250">
      <c r="A230" s="249" t="n"/>
      <c r="B230" s="249" t="n"/>
      <c r="C230" s="249" t="n"/>
      <c r="D230" s="249" t="n"/>
      <c r="E230" s="249" t="n"/>
      <c r="F230" s="249" t="n"/>
      <c r="G230" s="249" t="n"/>
      <c r="H230" s="249" t="n"/>
    </row>
    <row r="231" ht="13" customHeight="1" s="250">
      <c r="A231" s="249" t="n"/>
      <c r="B231" s="249" t="n"/>
      <c r="C231" s="249" t="n"/>
      <c r="D231" s="249" t="n"/>
      <c r="E231" s="249" t="n"/>
      <c r="F231" s="249" t="n"/>
      <c r="G231" s="249" t="n"/>
      <c r="H231" s="249" t="n"/>
    </row>
    <row r="232" ht="13" customHeight="1" s="250">
      <c r="A232" s="249" t="n"/>
      <c r="B232" s="249" t="n"/>
      <c r="C232" s="249" t="n"/>
      <c r="D232" s="249" t="n"/>
      <c r="E232" s="249" t="n"/>
      <c r="F232" s="249" t="n"/>
      <c r="G232" s="249" t="n"/>
      <c r="H232" s="249" t="n"/>
    </row>
    <row r="233" ht="13" customHeight="1" s="250">
      <c r="A233" s="249" t="n"/>
      <c r="B233" s="249" t="n"/>
      <c r="C233" s="249" t="n"/>
      <c r="D233" s="249" t="n"/>
      <c r="E233" s="249" t="n"/>
      <c r="F233" s="249" t="n"/>
      <c r="G233" s="249" t="n"/>
      <c r="H233" s="249" t="n"/>
    </row>
    <row r="234" ht="13" customHeight="1" s="250">
      <c r="A234" s="249" t="n"/>
      <c r="B234" s="249" t="n"/>
      <c r="C234" s="249" t="n"/>
      <c r="D234" s="249" t="n"/>
      <c r="E234" s="249" t="n"/>
      <c r="F234" s="249" t="n"/>
      <c r="G234" s="249" t="n"/>
      <c r="H234" s="249" t="n"/>
    </row>
    <row r="235" ht="13" customHeight="1" s="250">
      <c r="A235" s="249" t="n"/>
      <c r="B235" s="249" t="n"/>
      <c r="C235" s="249" t="n"/>
      <c r="D235" s="249" t="n"/>
      <c r="E235" s="249" t="n"/>
      <c r="F235" s="249" t="n"/>
      <c r="G235" s="249" t="n"/>
      <c r="H235" s="249" t="n"/>
    </row>
    <row r="236" ht="13" customHeight="1" s="250">
      <c r="A236" s="249" t="n"/>
      <c r="B236" s="249" t="n"/>
      <c r="C236" s="249" t="n"/>
      <c r="D236" s="249" t="n"/>
      <c r="E236" s="249" t="n"/>
      <c r="F236" s="249" t="n"/>
      <c r="G236" s="249" t="n"/>
      <c r="H236" s="249" t="n"/>
    </row>
    <row r="237" ht="13" customHeight="1" s="250">
      <c r="A237" s="249" t="n"/>
      <c r="B237" s="249" t="n"/>
      <c r="C237" s="249" t="n"/>
      <c r="D237" s="249" t="n"/>
      <c r="E237" s="249" t="n"/>
      <c r="F237" s="249" t="n"/>
      <c r="G237" s="249" t="n"/>
      <c r="H237" s="249" t="n"/>
    </row>
    <row r="238" ht="13" customHeight="1" s="250">
      <c r="A238" s="249" t="n"/>
      <c r="B238" s="249" t="n"/>
      <c r="C238" s="249" t="n"/>
      <c r="D238" s="249" t="n"/>
      <c r="E238" s="249" t="n"/>
      <c r="F238" s="249" t="n"/>
      <c r="G238" s="249" t="n"/>
      <c r="H238" s="249" t="n"/>
    </row>
    <row r="239" ht="13" customHeight="1" s="250">
      <c r="A239" s="249" t="n"/>
      <c r="B239" s="249" t="n"/>
      <c r="C239" s="249" t="n"/>
      <c r="D239" s="249" t="n"/>
      <c r="E239" s="249" t="n"/>
      <c r="F239" s="249" t="n"/>
      <c r="G239" s="249" t="n"/>
      <c r="H239" s="249" t="n"/>
    </row>
    <row r="240" ht="13" customHeight="1" s="250">
      <c r="A240" s="249" t="n"/>
      <c r="B240" s="249" t="n"/>
      <c r="C240" s="249" t="n"/>
      <c r="D240" s="249" t="n"/>
      <c r="E240" s="249" t="n"/>
      <c r="F240" s="249" t="n"/>
      <c r="G240" s="249" t="n"/>
      <c r="H240" s="249" t="n"/>
    </row>
    <row r="241" ht="13" customHeight="1" s="250">
      <c r="A241" s="249" t="n"/>
      <c r="B241" s="249" t="n"/>
      <c r="C241" s="249" t="n"/>
      <c r="D241" s="249" t="n"/>
      <c r="E241" s="249" t="n"/>
      <c r="F241" s="249" t="n"/>
      <c r="G241" s="249" t="n"/>
      <c r="H241" s="249" t="n"/>
    </row>
    <row r="242" ht="13" customHeight="1" s="250">
      <c r="A242" s="249" t="n"/>
      <c r="B242" s="249" t="n"/>
      <c r="C242" s="249" t="n"/>
      <c r="D242" s="249" t="n"/>
      <c r="E242" s="249" t="n"/>
      <c r="F242" s="249" t="n"/>
      <c r="G242" s="249" t="n"/>
      <c r="H242" s="249" t="n"/>
    </row>
    <row r="243" ht="13" customHeight="1" s="250">
      <c r="A243" s="249" t="n"/>
      <c r="B243" s="249" t="n"/>
      <c r="C243" s="249" t="n"/>
      <c r="D243" s="249" t="n"/>
      <c r="E243" s="249" t="n"/>
      <c r="F243" s="249" t="n"/>
      <c r="G243" s="249" t="n"/>
      <c r="H243" s="249" t="n"/>
    </row>
    <row r="244" ht="13" customHeight="1" s="250">
      <c r="A244" s="249" t="n"/>
      <c r="B244" s="249" t="n"/>
      <c r="C244" s="249" t="n"/>
      <c r="D244" s="249" t="n"/>
      <c r="E244" s="249" t="n"/>
      <c r="F244" s="249" t="n"/>
      <c r="G244" s="249" t="n"/>
      <c r="H244" s="249" t="n"/>
    </row>
    <row r="245" ht="13" customHeight="1" s="250">
      <c r="A245" s="249" t="n"/>
      <c r="B245" s="249" t="n"/>
      <c r="C245" s="249" t="n"/>
      <c r="D245" s="249" t="n"/>
      <c r="E245" s="249" t="n"/>
      <c r="F245" s="249" t="n"/>
      <c r="G245" s="249" t="n"/>
      <c r="H245" s="249" t="n"/>
    </row>
    <row r="246" ht="13" customHeight="1" s="250">
      <c r="A246" s="249" t="n"/>
      <c r="B246" s="249" t="n"/>
      <c r="C246" s="249" t="n"/>
      <c r="D246" s="249" t="n"/>
      <c r="E246" s="249" t="n"/>
      <c r="F246" s="249" t="n"/>
      <c r="G246" s="249" t="n"/>
      <c r="H246" s="249" t="n"/>
    </row>
    <row r="247" ht="13" customHeight="1" s="250">
      <c r="A247" s="249" t="n"/>
      <c r="B247" s="249" t="n"/>
      <c r="C247" s="249" t="n"/>
      <c r="D247" s="249" t="n"/>
      <c r="E247" s="249" t="n"/>
      <c r="F247" s="249" t="n"/>
      <c r="G247" s="249" t="n"/>
      <c r="H247" s="249" t="n"/>
    </row>
    <row r="248" ht="13" customHeight="1" s="250">
      <c r="A248" s="249" t="n"/>
      <c r="B248" s="249" t="n"/>
      <c r="C248" s="249" t="n"/>
      <c r="D248" s="249" t="n"/>
      <c r="E248" s="249" t="n"/>
      <c r="F248" s="249" t="n"/>
      <c r="G248" s="249" t="n"/>
      <c r="H248" s="249" t="n"/>
    </row>
    <row r="249" ht="13" customHeight="1" s="250">
      <c r="A249" s="249" t="n"/>
      <c r="B249" s="249" t="n"/>
      <c r="C249" s="249" t="n"/>
      <c r="D249" s="249" t="n"/>
      <c r="E249" s="249" t="n"/>
      <c r="F249" s="249" t="n"/>
      <c r="G249" s="249" t="n"/>
      <c r="H249" s="249" t="n"/>
    </row>
    <row r="250" ht="13" customHeight="1" s="250">
      <c r="A250" s="249" t="n"/>
      <c r="B250" s="249" t="n"/>
      <c r="C250" s="249" t="n"/>
      <c r="D250" s="249" t="n"/>
      <c r="E250" s="249" t="n"/>
      <c r="F250" s="249" t="n"/>
      <c r="G250" s="249" t="n"/>
      <c r="H250" s="249" t="n"/>
    </row>
    <row r="251" ht="13" customHeight="1" s="250">
      <c r="A251" s="249" t="n"/>
      <c r="B251" s="249" t="n"/>
      <c r="C251" s="249" t="n"/>
      <c r="D251" s="249" t="n"/>
      <c r="E251" s="249" t="n"/>
      <c r="F251" s="249" t="n"/>
      <c r="G251" s="249" t="n"/>
      <c r="H251" s="249" t="n"/>
    </row>
    <row r="252" ht="13" customHeight="1" s="250">
      <c r="A252" s="249" t="n"/>
      <c r="B252" s="249" t="n"/>
      <c r="C252" s="249" t="n"/>
      <c r="D252" s="249" t="n"/>
      <c r="E252" s="249" t="n"/>
      <c r="F252" s="249" t="n"/>
      <c r="G252" s="249" t="n"/>
      <c r="H252" s="249" t="n"/>
    </row>
    <row r="253" ht="13" customHeight="1" s="250">
      <c r="A253" s="249" t="n"/>
      <c r="B253" s="249" t="n"/>
      <c r="C253" s="249" t="n"/>
      <c r="D253" s="249" t="n"/>
      <c r="E253" s="249" t="n"/>
      <c r="F253" s="249" t="n"/>
      <c r="G253" s="249" t="n"/>
      <c r="H253" s="249" t="n"/>
    </row>
    <row r="254" ht="13" customHeight="1" s="250">
      <c r="A254" s="249" t="n"/>
      <c r="B254" s="249" t="n"/>
      <c r="C254" s="249" t="n"/>
      <c r="D254" s="249" t="n"/>
      <c r="E254" s="249" t="n"/>
      <c r="F254" s="249" t="n"/>
      <c r="G254" s="249" t="n"/>
      <c r="H254" s="249" t="n"/>
    </row>
    <row r="255" ht="13" customHeight="1" s="250">
      <c r="A255" s="249" t="n"/>
      <c r="B255" s="249" t="n"/>
      <c r="C255" s="249" t="n"/>
      <c r="D255" s="249" t="n"/>
      <c r="E255" s="249" t="n"/>
      <c r="F255" s="249" t="n"/>
      <c r="G255" s="249" t="n"/>
      <c r="H255" s="249" t="n"/>
    </row>
    <row r="256" ht="13" customHeight="1" s="250">
      <c r="A256" s="249" t="n"/>
      <c r="B256" s="249" t="n"/>
      <c r="C256" s="249" t="n"/>
      <c r="D256" s="249" t="n"/>
      <c r="E256" s="249" t="n"/>
      <c r="F256" s="249" t="n"/>
      <c r="G256" s="249" t="n"/>
      <c r="H256" s="249" t="n"/>
    </row>
    <row r="257" ht="13" customHeight="1" s="250">
      <c r="A257" s="249" t="n"/>
      <c r="B257" s="249" t="n"/>
      <c r="C257" s="249" t="n"/>
      <c r="D257" s="249" t="n"/>
      <c r="E257" s="249" t="n"/>
      <c r="F257" s="249" t="n"/>
      <c r="G257" s="249" t="n"/>
      <c r="H257" s="249" t="n"/>
    </row>
    <row r="258" ht="13" customHeight="1" s="250">
      <c r="A258" s="249" t="n"/>
      <c r="B258" s="249" t="n"/>
      <c r="C258" s="249" t="n"/>
      <c r="D258" s="249" t="n"/>
      <c r="E258" s="249" t="n"/>
      <c r="F258" s="249" t="n"/>
      <c r="G258" s="249" t="n"/>
      <c r="H258" s="249" t="n"/>
    </row>
    <row r="259" ht="13" customHeight="1" s="250">
      <c r="A259" s="249" t="n"/>
      <c r="B259" s="249" t="n"/>
      <c r="C259" s="249" t="n"/>
      <c r="D259" s="249" t="n"/>
      <c r="E259" s="249" t="n"/>
      <c r="F259" s="249" t="n"/>
      <c r="G259" s="249" t="n"/>
      <c r="H259" s="249" t="n"/>
    </row>
    <row r="260" ht="13" customHeight="1" s="250">
      <c r="A260" s="249" t="n"/>
      <c r="B260" s="249" t="n"/>
      <c r="C260" s="249" t="n"/>
      <c r="D260" s="249" t="n"/>
      <c r="E260" s="249" t="n"/>
      <c r="F260" s="249" t="n"/>
      <c r="G260" s="249" t="n"/>
      <c r="H260" s="249" t="n"/>
    </row>
    <row r="261" ht="13" customHeight="1" s="250">
      <c r="A261" s="249" t="n"/>
      <c r="B261" s="249" t="n"/>
      <c r="C261" s="249" t="n"/>
      <c r="D261" s="249" t="n"/>
      <c r="E261" s="249" t="n"/>
      <c r="F261" s="249" t="n"/>
      <c r="G261" s="249" t="n"/>
      <c r="H261" s="249" t="n"/>
    </row>
    <row r="262" ht="13" customHeight="1" s="250">
      <c r="A262" s="249" t="n"/>
      <c r="B262" s="249" t="n"/>
      <c r="C262" s="249" t="n"/>
      <c r="D262" s="249" t="n"/>
      <c r="E262" s="249" t="n"/>
      <c r="F262" s="249" t="n"/>
      <c r="G262" s="249" t="n"/>
      <c r="H262" s="249" t="n"/>
    </row>
    <row r="263" ht="13" customHeight="1" s="250">
      <c r="A263" s="249" t="n"/>
      <c r="B263" s="249" t="n"/>
      <c r="C263" s="249" t="n"/>
      <c r="D263" s="249" t="n"/>
      <c r="E263" s="249" t="n"/>
      <c r="F263" s="249" t="n"/>
      <c r="G263" s="249" t="n"/>
      <c r="H263" s="249" t="n"/>
    </row>
    <row r="264" ht="13" customHeight="1" s="250">
      <c r="A264" s="249" t="n"/>
      <c r="B264" s="249" t="n"/>
      <c r="C264" s="249" t="n"/>
      <c r="D264" s="249" t="n"/>
      <c r="E264" s="249" t="n"/>
      <c r="F264" s="249" t="n"/>
      <c r="G264" s="249" t="n"/>
      <c r="H264" s="249" t="n"/>
    </row>
    <row r="265" ht="13" customHeight="1" s="250">
      <c r="A265" s="249" t="n"/>
      <c r="B265" s="249" t="n"/>
      <c r="C265" s="249" t="n"/>
      <c r="D265" s="249" t="n"/>
      <c r="E265" s="249" t="n"/>
      <c r="F265" s="249" t="n"/>
      <c r="G265" s="249" t="n"/>
      <c r="H265" s="249" t="n"/>
    </row>
    <row r="266" ht="13" customHeight="1" s="250">
      <c r="A266" s="249" t="n"/>
      <c r="B266" s="249" t="n"/>
      <c r="C266" s="249" t="n"/>
      <c r="D266" s="249" t="n"/>
      <c r="E266" s="249" t="n"/>
      <c r="F266" s="249" t="n"/>
      <c r="G266" s="249" t="n"/>
      <c r="H266" s="249" t="n"/>
    </row>
    <row r="267" ht="13" customHeight="1" s="250">
      <c r="A267" s="249" t="n"/>
      <c r="B267" s="249" t="n"/>
      <c r="C267" s="249" t="n"/>
      <c r="D267" s="249" t="n"/>
      <c r="E267" s="249" t="n"/>
      <c r="F267" s="249" t="n"/>
      <c r="G267" s="249" t="n"/>
      <c r="H267" s="249" t="n"/>
    </row>
    <row r="268" ht="13" customHeight="1" s="250">
      <c r="A268" s="249" t="n"/>
      <c r="B268" s="249" t="n"/>
      <c r="C268" s="249" t="n"/>
      <c r="D268" s="249" t="n"/>
      <c r="E268" s="249" t="n"/>
      <c r="F268" s="249" t="n"/>
      <c r="G268" s="249" t="n"/>
      <c r="H268" s="249" t="n"/>
    </row>
    <row r="269" ht="13" customHeight="1" s="250">
      <c r="A269" s="249" t="n"/>
      <c r="B269" s="249" t="n"/>
      <c r="C269" s="249" t="n"/>
      <c r="D269" s="249" t="n"/>
      <c r="E269" s="249" t="n"/>
      <c r="F269" s="249" t="n"/>
      <c r="G269" s="249" t="n"/>
      <c r="H269" s="249" t="n"/>
    </row>
    <row r="270" ht="13" customHeight="1" s="250">
      <c r="A270" s="249" t="n"/>
      <c r="B270" s="249" t="n"/>
      <c r="C270" s="249" t="n"/>
      <c r="D270" s="249" t="n"/>
      <c r="E270" s="249" t="n"/>
      <c r="F270" s="249" t="n"/>
      <c r="G270" s="249" t="n"/>
      <c r="H270" s="249" t="n"/>
    </row>
    <row r="271" ht="13" customHeight="1" s="250">
      <c r="A271" s="249" t="n"/>
      <c r="B271" s="249" t="n"/>
      <c r="C271" s="249" t="n"/>
      <c r="D271" s="249" t="n"/>
      <c r="E271" s="249" t="n"/>
      <c r="F271" s="249" t="n"/>
      <c r="G271" s="249" t="n"/>
      <c r="H271" s="249" t="n"/>
    </row>
    <row r="272" ht="13" customHeight="1" s="250">
      <c r="A272" s="249" t="n"/>
      <c r="B272" s="249" t="n"/>
      <c r="C272" s="249" t="n"/>
      <c r="D272" s="249" t="n"/>
      <c r="E272" s="249" t="n"/>
      <c r="F272" s="249" t="n"/>
      <c r="G272" s="249" t="n"/>
      <c r="H272" s="249" t="n"/>
    </row>
    <row r="273" ht="13" customHeight="1" s="250">
      <c r="A273" s="249" t="n"/>
      <c r="B273" s="249" t="n"/>
      <c r="C273" s="249" t="n"/>
      <c r="D273" s="249" t="n"/>
      <c r="E273" s="249" t="n"/>
      <c r="F273" s="249" t="n"/>
      <c r="G273" s="249" t="n"/>
      <c r="H273" s="249" t="n"/>
    </row>
    <row r="274" ht="13" customHeight="1" s="250">
      <c r="A274" s="249" t="n"/>
      <c r="B274" s="249" t="n"/>
      <c r="C274" s="249" t="n"/>
      <c r="D274" s="249" t="n"/>
      <c r="E274" s="249" t="n"/>
      <c r="F274" s="249" t="n"/>
      <c r="G274" s="249" t="n"/>
      <c r="H274" s="249" t="n"/>
    </row>
    <row r="275" ht="13" customHeight="1" s="250">
      <c r="A275" s="249" t="n"/>
      <c r="B275" s="249" t="n"/>
      <c r="C275" s="249" t="n"/>
      <c r="D275" s="249" t="n"/>
      <c r="E275" s="249" t="n"/>
      <c r="F275" s="249" t="n"/>
      <c r="G275" s="249" t="n"/>
      <c r="H275" s="249" t="n"/>
    </row>
    <row r="276" ht="13" customHeight="1" s="250">
      <c r="A276" s="249" t="n"/>
      <c r="B276" s="249" t="n"/>
      <c r="C276" s="249" t="n"/>
      <c r="D276" s="249" t="n"/>
      <c r="E276" s="249" t="n"/>
      <c r="F276" s="249" t="n"/>
      <c r="G276" s="249" t="n"/>
      <c r="H276" s="249" t="n"/>
    </row>
    <row r="277" ht="13" customHeight="1" s="250">
      <c r="A277" s="249" t="n"/>
      <c r="B277" s="249" t="n"/>
      <c r="C277" s="249" t="n"/>
      <c r="D277" s="249" t="n"/>
      <c r="E277" s="249" t="n"/>
      <c r="F277" s="249" t="n"/>
      <c r="G277" s="249" t="n"/>
      <c r="H277" s="249" t="n"/>
    </row>
    <row r="278" ht="13" customHeight="1" s="250">
      <c r="A278" s="249" t="n"/>
      <c r="B278" s="249" t="n"/>
      <c r="C278" s="249" t="n"/>
      <c r="D278" s="249" t="n"/>
      <c r="E278" s="249" t="n"/>
      <c r="F278" s="249" t="n"/>
      <c r="G278" s="249" t="n"/>
      <c r="H278" s="249" t="n"/>
    </row>
    <row r="279" ht="13" customHeight="1" s="250">
      <c r="A279" s="249" t="n"/>
      <c r="B279" s="249" t="n"/>
      <c r="C279" s="249" t="n"/>
      <c r="D279" s="249" t="n"/>
      <c r="E279" s="249" t="n"/>
      <c r="F279" s="249" t="n"/>
      <c r="G279" s="249" t="n"/>
      <c r="H279" s="249" t="n"/>
    </row>
    <row r="280" ht="13" customHeight="1" s="250">
      <c r="A280" s="249" t="n"/>
      <c r="B280" s="249" t="n"/>
      <c r="C280" s="249" t="n"/>
      <c r="D280" s="249" t="n"/>
      <c r="E280" s="249" t="n"/>
      <c r="F280" s="249" t="n"/>
      <c r="G280" s="249" t="n"/>
      <c r="H280" s="249" t="n"/>
    </row>
    <row r="281" ht="13" customHeight="1" s="250">
      <c r="A281" s="249" t="n"/>
      <c r="B281" s="249" t="n"/>
      <c r="C281" s="249" t="n"/>
      <c r="D281" s="249" t="n"/>
      <c r="E281" s="249" t="n"/>
      <c r="F281" s="249" t="n"/>
      <c r="G281" s="249" t="n"/>
      <c r="H281" s="249" t="n"/>
    </row>
    <row r="282" ht="13" customHeight="1" s="250">
      <c r="A282" s="249" t="n"/>
      <c r="B282" s="249" t="n"/>
      <c r="C282" s="249" t="n"/>
      <c r="D282" s="249" t="n"/>
      <c r="E282" s="249" t="n"/>
      <c r="F282" s="249" t="n"/>
      <c r="G282" s="249" t="n"/>
      <c r="H282" s="249" t="n"/>
    </row>
    <row r="283" ht="13" customHeight="1" s="250">
      <c r="A283" s="249" t="n"/>
      <c r="B283" s="249" t="n"/>
      <c r="C283" s="249" t="n"/>
      <c r="D283" s="249" t="n"/>
      <c r="E283" s="249" t="n"/>
      <c r="F283" s="249" t="n"/>
      <c r="G283" s="249" t="n"/>
      <c r="H283" s="249" t="n"/>
    </row>
    <row r="284" ht="13" customHeight="1" s="250">
      <c r="A284" s="249" t="n"/>
      <c r="B284" s="249" t="n"/>
      <c r="C284" s="249" t="n"/>
      <c r="D284" s="249" t="n"/>
      <c r="E284" s="249" t="n"/>
      <c r="F284" s="249" t="n"/>
      <c r="G284" s="249" t="n"/>
      <c r="H284" s="249" t="n"/>
    </row>
    <row r="285" ht="13" customHeight="1" s="250">
      <c r="A285" s="249" t="n"/>
      <c r="B285" s="249" t="n"/>
      <c r="C285" s="249" t="n"/>
      <c r="D285" s="249" t="n"/>
      <c r="E285" s="249" t="n"/>
      <c r="F285" s="249" t="n"/>
      <c r="G285" s="249" t="n"/>
      <c r="H285" s="249" t="n"/>
    </row>
    <row r="286" ht="13" customHeight="1" s="250">
      <c r="A286" s="249" t="n"/>
      <c r="B286" s="249" t="n"/>
      <c r="C286" s="249" t="n"/>
      <c r="D286" s="249" t="n"/>
      <c r="E286" s="249" t="n"/>
      <c r="F286" s="249" t="n"/>
      <c r="G286" s="249" t="n"/>
      <c r="H286" s="249" t="n"/>
    </row>
    <row r="287" ht="13" customHeight="1" s="250">
      <c r="A287" s="249" t="n"/>
      <c r="B287" s="249" t="n"/>
      <c r="C287" s="249" t="n"/>
      <c r="D287" s="249" t="n"/>
      <c r="E287" s="249" t="n"/>
      <c r="F287" s="249" t="n"/>
      <c r="G287" s="249" t="n"/>
      <c r="H287" s="249" t="n"/>
    </row>
    <row r="288" ht="13" customHeight="1" s="250">
      <c r="A288" s="249" t="n"/>
      <c r="B288" s="249" t="n"/>
      <c r="C288" s="249" t="n"/>
      <c r="D288" s="249" t="n"/>
      <c r="E288" s="249" t="n"/>
      <c r="F288" s="249" t="n"/>
      <c r="G288" s="249" t="n"/>
      <c r="H288" s="249" t="n"/>
    </row>
    <row r="289" ht="13" customHeight="1" s="250">
      <c r="A289" s="249" t="n"/>
      <c r="B289" s="249" t="n"/>
      <c r="C289" s="249" t="n"/>
      <c r="D289" s="249" t="n"/>
      <c r="E289" s="249" t="n"/>
      <c r="F289" s="249" t="n"/>
      <c r="G289" s="249" t="n"/>
      <c r="H289" s="249" t="n"/>
    </row>
    <row r="290" ht="13" customHeight="1" s="250">
      <c r="A290" s="249" t="n"/>
      <c r="B290" s="249" t="n"/>
      <c r="C290" s="249" t="n"/>
      <c r="D290" s="249" t="n"/>
      <c r="E290" s="249" t="n"/>
      <c r="F290" s="249" t="n"/>
      <c r="G290" s="249" t="n"/>
      <c r="H290" s="249" t="n"/>
    </row>
    <row r="291" ht="13" customHeight="1" s="250">
      <c r="A291" s="249" t="n"/>
      <c r="B291" s="249" t="n"/>
      <c r="C291" s="249" t="n"/>
      <c r="D291" s="249" t="n"/>
      <c r="E291" s="249" t="n"/>
      <c r="F291" s="249" t="n"/>
      <c r="G291" s="249" t="n"/>
      <c r="H291" s="249" t="n"/>
    </row>
    <row r="292" ht="13" customHeight="1" s="250">
      <c r="A292" s="249" t="n"/>
      <c r="B292" s="249" t="n"/>
      <c r="C292" s="249" t="n"/>
      <c r="D292" s="249" t="n"/>
      <c r="E292" s="249" t="n"/>
      <c r="F292" s="249" t="n"/>
      <c r="G292" s="249" t="n"/>
      <c r="H292" s="249" t="n"/>
    </row>
    <row r="293" ht="13" customHeight="1" s="250">
      <c r="A293" s="249" t="n"/>
      <c r="B293" s="249" t="n"/>
      <c r="C293" s="249" t="n"/>
      <c r="D293" s="249" t="n"/>
      <c r="E293" s="249" t="n"/>
      <c r="F293" s="249" t="n"/>
      <c r="G293" s="249" t="n"/>
      <c r="H293" s="249" t="n"/>
    </row>
    <row r="294" ht="13" customHeight="1" s="250">
      <c r="A294" s="249" t="n"/>
      <c r="B294" s="249" t="n"/>
      <c r="C294" s="249" t="n"/>
      <c r="D294" s="249" t="n"/>
      <c r="E294" s="249" t="n"/>
      <c r="F294" s="249" t="n"/>
      <c r="G294" s="249" t="n"/>
      <c r="H294" s="249" t="n"/>
    </row>
    <row r="295" ht="13" customHeight="1" s="250">
      <c r="A295" s="249" t="n"/>
      <c r="B295" s="249" t="n"/>
      <c r="C295" s="249" t="n"/>
      <c r="D295" s="249" t="n"/>
      <c r="E295" s="249" t="n"/>
      <c r="F295" s="249" t="n"/>
      <c r="G295" s="249" t="n"/>
      <c r="H295" s="249" t="n"/>
    </row>
    <row r="296" ht="13" customHeight="1" s="250">
      <c r="A296" s="249" t="n"/>
      <c r="B296" s="249" t="n"/>
      <c r="C296" s="249" t="n"/>
      <c r="D296" s="249" t="n"/>
      <c r="E296" s="249" t="n"/>
      <c r="F296" s="249" t="n"/>
      <c r="G296" s="249" t="n"/>
      <c r="H296" s="249" t="n"/>
    </row>
    <row r="297" ht="13" customHeight="1" s="250">
      <c r="A297" s="249" t="n"/>
      <c r="B297" s="249" t="n"/>
      <c r="C297" s="249" t="n"/>
      <c r="D297" s="249" t="n"/>
      <c r="E297" s="249" t="n"/>
      <c r="F297" s="249" t="n"/>
      <c r="G297" s="249" t="n"/>
      <c r="H297" s="249" t="n"/>
    </row>
    <row r="298" ht="13" customHeight="1" s="250">
      <c r="A298" s="249" t="n"/>
      <c r="B298" s="249" t="n"/>
      <c r="C298" s="249" t="n"/>
      <c r="D298" s="249" t="n"/>
      <c r="E298" s="249" t="n"/>
      <c r="F298" s="249" t="n"/>
      <c r="G298" s="249" t="n"/>
      <c r="H298" s="249" t="n"/>
    </row>
    <row r="299" ht="13" customHeight="1" s="250">
      <c r="A299" s="249" t="n"/>
      <c r="B299" s="249" t="n"/>
      <c r="C299" s="249" t="n"/>
      <c r="D299" s="249" t="n"/>
      <c r="E299" s="249" t="n"/>
      <c r="F299" s="249" t="n"/>
      <c r="G299" s="249" t="n"/>
      <c r="H299" s="249" t="n"/>
    </row>
    <row r="300" ht="13" customHeight="1" s="250">
      <c r="A300" s="249" t="n"/>
      <c r="B300" s="249" t="n"/>
      <c r="C300" s="249" t="n"/>
      <c r="D300" s="249" t="n"/>
      <c r="E300" s="249" t="n"/>
      <c r="F300" s="249" t="n"/>
      <c r="G300" s="249" t="n"/>
      <c r="H300" s="249" t="n"/>
    </row>
    <row r="301" ht="13" customHeight="1" s="250">
      <c r="A301" s="249" t="n"/>
      <c r="B301" s="249" t="n"/>
      <c r="C301" s="249" t="n"/>
      <c r="D301" s="249" t="n"/>
      <c r="E301" s="249" t="n"/>
      <c r="F301" s="249" t="n"/>
      <c r="G301" s="249" t="n"/>
      <c r="H301" s="249" t="n"/>
    </row>
    <row r="302" ht="13" customHeight="1" s="250">
      <c r="A302" s="249" t="n"/>
      <c r="B302" s="249" t="n"/>
      <c r="C302" s="249" t="n"/>
      <c r="D302" s="249" t="n"/>
      <c r="E302" s="249" t="n"/>
      <c r="F302" s="249" t="n"/>
      <c r="G302" s="249" t="n"/>
      <c r="H302" s="249" t="n"/>
    </row>
    <row r="303" ht="13" customHeight="1" s="250">
      <c r="A303" s="249" t="n"/>
      <c r="B303" s="249" t="n"/>
      <c r="C303" s="249" t="n"/>
      <c r="D303" s="249" t="n"/>
      <c r="E303" s="249" t="n"/>
      <c r="F303" s="249" t="n"/>
      <c r="G303" s="249" t="n"/>
      <c r="H303" s="249" t="n"/>
    </row>
    <row r="304" ht="13" customHeight="1" s="250">
      <c r="A304" s="249" t="n"/>
      <c r="B304" s="249" t="n"/>
      <c r="C304" s="249" t="n"/>
      <c r="D304" s="249" t="n"/>
      <c r="E304" s="249" t="n"/>
      <c r="F304" s="249" t="n"/>
      <c r="G304" s="249" t="n"/>
      <c r="H304" s="249" t="n"/>
    </row>
    <row r="305" ht="13" customHeight="1" s="250">
      <c r="A305" s="249" t="n"/>
      <c r="B305" s="249" t="n"/>
      <c r="C305" s="249" t="n"/>
      <c r="D305" s="249" t="n"/>
      <c r="E305" s="249" t="n"/>
      <c r="F305" s="249" t="n"/>
      <c r="G305" s="249" t="n"/>
      <c r="H305" s="249" t="n"/>
    </row>
    <row r="306" ht="13" customHeight="1" s="250">
      <c r="A306" s="249" t="n"/>
      <c r="B306" s="249" t="n"/>
      <c r="C306" s="249" t="n"/>
      <c r="D306" s="249" t="n"/>
      <c r="E306" s="249" t="n"/>
      <c r="F306" s="249" t="n"/>
      <c r="G306" s="249" t="n"/>
      <c r="H306" s="249" t="n"/>
    </row>
    <row r="307" ht="13" customHeight="1" s="250">
      <c r="A307" s="249" t="n"/>
      <c r="B307" s="249" t="n"/>
      <c r="C307" s="249" t="n"/>
      <c r="D307" s="249" t="n"/>
      <c r="E307" s="249" t="n"/>
      <c r="F307" s="249" t="n"/>
      <c r="G307" s="249" t="n"/>
      <c r="H307" s="249" t="n"/>
    </row>
    <row r="308" ht="13" customHeight="1" s="250">
      <c r="A308" s="249" t="n"/>
      <c r="B308" s="249" t="n"/>
      <c r="C308" s="249" t="n"/>
      <c r="D308" s="249" t="n"/>
      <c r="E308" s="249" t="n"/>
      <c r="F308" s="249" t="n"/>
      <c r="G308" s="249" t="n"/>
      <c r="H308" s="249" t="n"/>
    </row>
    <row r="309" ht="13" customHeight="1" s="250">
      <c r="A309" s="249" t="n"/>
      <c r="B309" s="249" t="n"/>
      <c r="C309" s="249" t="n"/>
      <c r="D309" s="249" t="n"/>
      <c r="E309" s="249" t="n"/>
      <c r="F309" s="249" t="n"/>
      <c r="G309" s="249" t="n"/>
      <c r="H309" s="249" t="n"/>
    </row>
    <row r="310" ht="13" customHeight="1" s="250">
      <c r="A310" s="249" t="n"/>
      <c r="B310" s="249" t="n"/>
      <c r="C310" s="249" t="n"/>
      <c r="D310" s="249" t="n"/>
      <c r="E310" s="249" t="n"/>
      <c r="F310" s="249" t="n"/>
      <c r="G310" s="249" t="n"/>
      <c r="H310" s="249" t="n"/>
    </row>
    <row r="311" ht="13" customHeight="1" s="250">
      <c r="A311" s="249" t="n"/>
      <c r="B311" s="249" t="n"/>
      <c r="C311" s="249" t="n"/>
      <c r="D311" s="249" t="n"/>
      <c r="E311" s="249" t="n"/>
      <c r="F311" s="249" t="n"/>
      <c r="G311" s="249" t="n"/>
      <c r="H311" s="249" t="n"/>
    </row>
    <row r="312" ht="13" customHeight="1" s="250">
      <c r="A312" s="249" t="n"/>
      <c r="B312" s="249" t="n"/>
      <c r="C312" s="249" t="n"/>
      <c r="D312" s="249" t="n"/>
      <c r="E312" s="249" t="n"/>
      <c r="F312" s="249" t="n"/>
      <c r="G312" s="249" t="n"/>
      <c r="H312" s="249" t="n"/>
    </row>
    <row r="313" ht="13" customHeight="1" s="250">
      <c r="A313" s="249" t="n"/>
      <c r="B313" s="249" t="n"/>
      <c r="C313" s="249" t="n"/>
      <c r="D313" s="249" t="n"/>
      <c r="E313" s="249" t="n"/>
      <c r="F313" s="249" t="n"/>
      <c r="G313" s="249" t="n"/>
      <c r="H313" s="249" t="n"/>
    </row>
    <row r="314" ht="13" customHeight="1" s="250">
      <c r="A314" s="249" t="n"/>
      <c r="B314" s="249" t="n"/>
      <c r="C314" s="249" t="n"/>
      <c r="D314" s="249" t="n"/>
      <c r="E314" s="249" t="n"/>
      <c r="F314" s="249" t="n"/>
      <c r="G314" s="249" t="n"/>
      <c r="H314" s="249" t="n"/>
    </row>
    <row r="315" ht="13" customHeight="1" s="250">
      <c r="A315" s="249" t="n"/>
      <c r="B315" s="249" t="n"/>
      <c r="C315" s="249" t="n"/>
      <c r="D315" s="249" t="n"/>
      <c r="E315" s="249" t="n"/>
      <c r="F315" s="249" t="n"/>
      <c r="G315" s="249" t="n"/>
      <c r="H315" s="249" t="n"/>
    </row>
    <row r="316" ht="13" customHeight="1" s="250">
      <c r="A316" s="249" t="n"/>
      <c r="B316" s="249" t="n"/>
      <c r="C316" s="249" t="n"/>
      <c r="D316" s="249" t="n"/>
      <c r="E316" s="249" t="n"/>
      <c r="F316" s="249" t="n"/>
      <c r="G316" s="249" t="n"/>
      <c r="H316" s="249" t="n"/>
    </row>
    <row r="317" ht="13" customHeight="1" s="250">
      <c r="A317" s="249" t="n"/>
      <c r="B317" s="249" t="n"/>
      <c r="C317" s="249" t="n"/>
      <c r="D317" s="249" t="n"/>
      <c r="E317" s="249" t="n"/>
      <c r="F317" s="249" t="n"/>
      <c r="G317" s="249" t="n"/>
      <c r="H317" s="249" t="n"/>
    </row>
    <row r="318" ht="13" customHeight="1" s="250">
      <c r="A318" s="249" t="n"/>
      <c r="B318" s="249" t="n"/>
      <c r="C318" s="249" t="n"/>
      <c r="D318" s="249" t="n"/>
      <c r="E318" s="249" t="n"/>
      <c r="F318" s="249" t="n"/>
      <c r="G318" s="249" t="n"/>
      <c r="H318" s="249" t="n"/>
    </row>
    <row r="319" ht="13" customHeight="1" s="250">
      <c r="A319" s="249" t="n"/>
      <c r="B319" s="249" t="n"/>
      <c r="C319" s="249" t="n"/>
      <c r="D319" s="249" t="n"/>
      <c r="E319" s="249" t="n"/>
      <c r="F319" s="249" t="n"/>
      <c r="G319" s="249" t="n"/>
      <c r="H319" s="249" t="n"/>
    </row>
    <row r="320" ht="13" customHeight="1" s="250">
      <c r="A320" s="249" t="n"/>
      <c r="B320" s="249" t="n"/>
      <c r="C320" s="249" t="n"/>
      <c r="D320" s="249" t="n"/>
      <c r="E320" s="249" t="n"/>
      <c r="F320" s="249" t="n"/>
      <c r="G320" s="249" t="n"/>
      <c r="H320" s="249" t="n"/>
    </row>
    <row r="321" ht="13" customHeight="1" s="250">
      <c r="A321" s="249" t="n"/>
      <c r="B321" s="249" t="n"/>
      <c r="C321" s="249" t="n"/>
      <c r="D321" s="249" t="n"/>
      <c r="E321" s="249" t="n"/>
      <c r="F321" s="249" t="n"/>
      <c r="G321" s="249" t="n"/>
      <c r="H321" s="249" t="n"/>
    </row>
    <row r="322" ht="13" customHeight="1" s="250">
      <c r="A322" s="249" t="n"/>
      <c r="B322" s="249" t="n"/>
      <c r="C322" s="249" t="n"/>
      <c r="D322" s="249" t="n"/>
      <c r="E322" s="249" t="n"/>
      <c r="F322" s="249" t="n"/>
      <c r="G322" s="249" t="n"/>
      <c r="H322" s="249" t="n"/>
    </row>
    <row r="323" ht="13" customHeight="1" s="250">
      <c r="A323" s="249" t="n"/>
      <c r="B323" s="249" t="n"/>
      <c r="C323" s="249" t="n"/>
      <c r="D323" s="249" t="n"/>
      <c r="E323" s="249" t="n"/>
      <c r="F323" s="249" t="n"/>
      <c r="G323" s="249" t="n"/>
      <c r="H323" s="249" t="n"/>
    </row>
    <row r="324" ht="13" customHeight="1" s="250">
      <c r="A324" s="249" t="n"/>
      <c r="B324" s="249" t="n"/>
      <c r="C324" s="249" t="n"/>
      <c r="D324" s="249" t="n"/>
      <c r="E324" s="249" t="n"/>
      <c r="F324" s="249" t="n"/>
      <c r="G324" s="249" t="n"/>
      <c r="H324" s="249" t="n"/>
    </row>
    <row r="325" ht="13" customHeight="1" s="250">
      <c r="A325" s="249" t="n"/>
      <c r="B325" s="249" t="n"/>
      <c r="C325" s="249" t="n"/>
      <c r="D325" s="249" t="n"/>
      <c r="E325" s="249" t="n"/>
      <c r="F325" s="249" t="n"/>
      <c r="G325" s="249" t="n"/>
      <c r="H325" s="249" t="n"/>
    </row>
    <row r="326" ht="13" customHeight="1" s="250">
      <c r="A326" s="249" t="n"/>
      <c r="B326" s="249" t="n"/>
      <c r="C326" s="249" t="n"/>
      <c r="D326" s="249" t="n"/>
      <c r="E326" s="249" t="n"/>
      <c r="F326" s="249" t="n"/>
      <c r="G326" s="249" t="n"/>
      <c r="H326" s="249" t="n"/>
    </row>
    <row r="327" ht="13" customHeight="1" s="250">
      <c r="A327" s="249" t="n"/>
      <c r="B327" s="249" t="n"/>
      <c r="C327" s="249" t="n"/>
      <c r="D327" s="249" t="n"/>
      <c r="E327" s="249" t="n"/>
      <c r="F327" s="249" t="n"/>
      <c r="G327" s="249" t="n"/>
      <c r="H327" s="249" t="n"/>
    </row>
    <row r="328" ht="13" customHeight="1" s="250">
      <c r="A328" s="249" t="n"/>
      <c r="B328" s="249" t="n"/>
      <c r="C328" s="249" t="n"/>
      <c r="D328" s="249" t="n"/>
      <c r="E328" s="249" t="n"/>
      <c r="F328" s="249" t="n"/>
      <c r="G328" s="249" t="n"/>
      <c r="H328" s="249" t="n"/>
    </row>
    <row r="329" ht="13" customHeight="1" s="250">
      <c r="A329" s="249" t="n"/>
      <c r="B329" s="249" t="n"/>
      <c r="C329" s="249" t="n"/>
      <c r="D329" s="249" t="n"/>
      <c r="E329" s="249" t="n"/>
      <c r="F329" s="249" t="n"/>
      <c r="G329" s="249" t="n"/>
      <c r="H329" s="249" t="n"/>
    </row>
    <row r="330" ht="13" customHeight="1" s="250">
      <c r="A330" s="249" t="n"/>
      <c r="B330" s="249" t="n"/>
      <c r="C330" s="249" t="n"/>
      <c r="D330" s="249" t="n"/>
      <c r="E330" s="249" t="n"/>
      <c r="F330" s="249" t="n"/>
      <c r="G330" s="249" t="n"/>
      <c r="H330" s="249" t="n"/>
    </row>
    <row r="331" ht="13" customHeight="1" s="250">
      <c r="A331" s="249" t="n"/>
      <c r="B331" s="249" t="n"/>
      <c r="C331" s="249" t="n"/>
      <c r="D331" s="249" t="n"/>
      <c r="E331" s="249" t="n"/>
      <c r="F331" s="249" t="n"/>
      <c r="G331" s="249" t="n"/>
      <c r="H331" s="249" t="n"/>
    </row>
    <row r="332" ht="13" customHeight="1" s="250">
      <c r="A332" s="249" t="n"/>
      <c r="B332" s="249" t="n"/>
      <c r="C332" s="249" t="n"/>
      <c r="D332" s="249" t="n"/>
      <c r="E332" s="249" t="n"/>
      <c r="F332" s="249" t="n"/>
      <c r="G332" s="249" t="n"/>
      <c r="H332" s="249" t="n"/>
    </row>
    <row r="333" ht="13" customHeight="1" s="250">
      <c r="A333" s="249" t="n"/>
      <c r="B333" s="249" t="n"/>
      <c r="C333" s="249" t="n"/>
      <c r="D333" s="249" t="n"/>
      <c r="E333" s="249" t="n"/>
      <c r="F333" s="249" t="n"/>
      <c r="G333" s="249" t="n"/>
      <c r="H333" s="249" t="n"/>
    </row>
    <row r="334" ht="13" customHeight="1" s="250">
      <c r="A334" s="249" t="n"/>
      <c r="B334" s="249" t="n"/>
      <c r="C334" s="249" t="n"/>
      <c r="D334" s="249" t="n"/>
      <c r="E334" s="249" t="n"/>
      <c r="F334" s="249" t="n"/>
      <c r="G334" s="249" t="n"/>
      <c r="H334" s="249" t="n"/>
    </row>
    <row r="335" ht="13" customHeight="1" s="250">
      <c r="A335" s="249" t="n"/>
      <c r="B335" s="249" t="n"/>
      <c r="C335" s="249" t="n"/>
      <c r="D335" s="249" t="n"/>
      <c r="E335" s="249" t="n"/>
      <c r="F335" s="249" t="n"/>
      <c r="G335" s="249" t="n"/>
      <c r="H335" s="249" t="n"/>
    </row>
    <row r="336" ht="13" customHeight="1" s="250">
      <c r="A336" s="249" t="n"/>
      <c r="B336" s="249" t="n"/>
      <c r="C336" s="249" t="n"/>
      <c r="D336" s="249" t="n"/>
      <c r="E336" s="249" t="n"/>
      <c r="F336" s="249" t="n"/>
      <c r="G336" s="249" t="n"/>
      <c r="H336" s="249" t="n"/>
    </row>
    <row r="337" ht="13" customHeight="1" s="250">
      <c r="A337" s="249" t="n"/>
      <c r="B337" s="249" t="n"/>
      <c r="C337" s="249" t="n"/>
      <c r="D337" s="249" t="n"/>
      <c r="E337" s="249" t="n"/>
      <c r="F337" s="249" t="n"/>
      <c r="G337" s="249" t="n"/>
      <c r="H337" s="249" t="n"/>
    </row>
    <row r="338" ht="13" customHeight="1" s="250">
      <c r="A338" s="249" t="n"/>
      <c r="B338" s="249" t="n"/>
      <c r="C338" s="249" t="n"/>
      <c r="D338" s="249" t="n"/>
      <c r="E338" s="249" t="n"/>
      <c r="F338" s="249" t="n"/>
      <c r="G338" s="249" t="n"/>
      <c r="H338" s="249" t="n"/>
    </row>
    <row r="339" ht="13" customHeight="1" s="250">
      <c r="A339" s="249" t="n"/>
      <c r="B339" s="249" t="n"/>
      <c r="C339" s="249" t="n"/>
      <c r="D339" s="249" t="n"/>
      <c r="E339" s="249" t="n"/>
      <c r="F339" s="249" t="n"/>
      <c r="G339" s="249" t="n"/>
      <c r="H339" s="249" t="n"/>
    </row>
    <row r="340" ht="13" customHeight="1" s="250">
      <c r="A340" s="249" t="n"/>
      <c r="B340" s="249" t="n"/>
      <c r="C340" s="249" t="n"/>
      <c r="D340" s="249" t="n"/>
      <c r="E340" s="249" t="n"/>
      <c r="F340" s="249" t="n"/>
      <c r="G340" s="249" t="n"/>
      <c r="H340" s="249" t="n"/>
    </row>
    <row r="341" ht="13" customHeight="1" s="250">
      <c r="A341" s="249" t="n"/>
      <c r="B341" s="249" t="n"/>
      <c r="C341" s="249" t="n"/>
      <c r="D341" s="249" t="n"/>
      <c r="E341" s="249" t="n"/>
      <c r="F341" s="249" t="n"/>
      <c r="G341" s="249" t="n"/>
      <c r="H341" s="249" t="n"/>
    </row>
    <row r="342" ht="13" customHeight="1" s="250">
      <c r="A342" s="249" t="n"/>
      <c r="B342" s="249" t="n"/>
      <c r="C342" s="249" t="n"/>
      <c r="D342" s="249" t="n"/>
      <c r="E342" s="249" t="n"/>
      <c r="F342" s="249" t="n"/>
      <c r="G342" s="249" t="n"/>
      <c r="H342" s="249" t="n"/>
    </row>
    <row r="343" ht="13" customHeight="1" s="250">
      <c r="A343" s="249" t="n"/>
      <c r="B343" s="249" t="n"/>
      <c r="C343" s="249" t="n"/>
      <c r="D343" s="249" t="n"/>
      <c r="E343" s="249" t="n"/>
      <c r="F343" s="249" t="n"/>
      <c r="G343" s="249" t="n"/>
      <c r="H343" s="249" t="n"/>
    </row>
    <row r="344" ht="13" customHeight="1" s="250">
      <c r="A344" s="249" t="n"/>
      <c r="B344" s="249" t="n"/>
      <c r="C344" s="249" t="n"/>
      <c r="D344" s="249" t="n"/>
      <c r="E344" s="249" t="n"/>
      <c r="F344" s="249" t="n"/>
      <c r="G344" s="249" t="n"/>
      <c r="H344" s="249" t="n"/>
    </row>
    <row r="345" ht="13" customHeight="1" s="250">
      <c r="A345" s="249" t="n"/>
      <c r="B345" s="249" t="n"/>
      <c r="C345" s="249" t="n"/>
      <c r="D345" s="249" t="n"/>
      <c r="E345" s="249" t="n"/>
      <c r="F345" s="249" t="n"/>
      <c r="G345" s="249" t="n"/>
      <c r="H345" s="249" t="n"/>
    </row>
    <row r="346" ht="13" customHeight="1" s="250">
      <c r="A346" s="249" t="n"/>
      <c r="B346" s="249" t="n"/>
      <c r="C346" s="249" t="n"/>
      <c r="D346" s="249" t="n"/>
      <c r="E346" s="249" t="n"/>
      <c r="F346" s="249" t="n"/>
      <c r="G346" s="249" t="n"/>
      <c r="H346" s="249" t="n"/>
    </row>
    <row r="347" ht="13" customHeight="1" s="250">
      <c r="A347" s="249" t="n"/>
      <c r="B347" s="249" t="n"/>
      <c r="C347" s="249" t="n"/>
      <c r="D347" s="249" t="n"/>
      <c r="E347" s="249" t="n"/>
      <c r="F347" s="249" t="n"/>
      <c r="G347" s="249" t="n"/>
      <c r="H347" s="249" t="n"/>
    </row>
    <row r="348" ht="13" customHeight="1" s="250">
      <c r="A348" s="249" t="n"/>
      <c r="B348" s="249" t="n"/>
      <c r="C348" s="249" t="n"/>
      <c r="D348" s="249" t="n"/>
      <c r="E348" s="249" t="n"/>
      <c r="F348" s="249" t="n"/>
      <c r="G348" s="249" t="n"/>
      <c r="H348" s="249" t="n"/>
    </row>
    <row r="349" ht="13" customHeight="1" s="250">
      <c r="A349" s="249" t="n"/>
      <c r="B349" s="249" t="n"/>
      <c r="C349" s="249" t="n"/>
      <c r="D349" s="249" t="n"/>
      <c r="E349" s="249" t="n"/>
      <c r="F349" s="249" t="n"/>
      <c r="G349" s="249" t="n"/>
      <c r="H349" s="249" t="n"/>
    </row>
    <row r="350" ht="13" customHeight="1" s="250">
      <c r="A350" s="249" t="n"/>
      <c r="B350" s="249" t="n"/>
      <c r="C350" s="249" t="n"/>
      <c r="D350" s="249" t="n"/>
      <c r="E350" s="249" t="n"/>
      <c r="F350" s="249" t="n"/>
      <c r="G350" s="249" t="n"/>
      <c r="H350" s="249" t="n"/>
    </row>
    <row r="351" ht="13" customHeight="1" s="250">
      <c r="A351" s="249" t="n"/>
      <c r="B351" s="249" t="n"/>
      <c r="C351" s="249" t="n"/>
      <c r="D351" s="249" t="n"/>
      <c r="E351" s="249" t="n"/>
      <c r="F351" s="249" t="n"/>
      <c r="G351" s="249" t="n"/>
      <c r="H351" s="249" t="n"/>
    </row>
    <row r="352" ht="13" customHeight="1" s="250">
      <c r="A352" s="249" t="n"/>
      <c r="B352" s="249" t="n"/>
      <c r="C352" s="249" t="n"/>
      <c r="D352" s="249" t="n"/>
      <c r="E352" s="249" t="n"/>
      <c r="F352" s="249" t="n"/>
      <c r="G352" s="249" t="n"/>
      <c r="H352" s="249" t="n"/>
    </row>
    <row r="353" ht="13" customHeight="1" s="250">
      <c r="A353" s="249" t="n"/>
      <c r="B353" s="249" t="n"/>
      <c r="C353" s="249" t="n"/>
      <c r="D353" s="249" t="n"/>
      <c r="E353" s="249" t="n"/>
      <c r="F353" s="249" t="n"/>
      <c r="G353" s="249" t="n"/>
      <c r="H353" s="249" t="n"/>
    </row>
    <row r="354" ht="13" customHeight="1" s="250">
      <c r="A354" s="249" t="n"/>
      <c r="B354" s="249" t="n"/>
      <c r="C354" s="249" t="n"/>
      <c r="D354" s="249" t="n"/>
      <c r="E354" s="249" t="n"/>
      <c r="F354" s="249" t="n"/>
      <c r="G354" s="249" t="n"/>
      <c r="H354" s="249" t="n"/>
    </row>
    <row r="355" ht="13" customHeight="1" s="250">
      <c r="A355" s="249" t="n"/>
      <c r="B355" s="249" t="n"/>
      <c r="C355" s="249" t="n"/>
      <c r="D355" s="249" t="n"/>
      <c r="E355" s="249" t="n"/>
      <c r="F355" s="249" t="n"/>
      <c r="G355" s="249" t="n"/>
      <c r="H355" s="249" t="n"/>
    </row>
    <row r="356" ht="13" customHeight="1" s="250">
      <c r="A356" s="249" t="n"/>
      <c r="B356" s="249" t="n"/>
      <c r="C356" s="249" t="n"/>
      <c r="D356" s="249" t="n"/>
      <c r="E356" s="249" t="n"/>
      <c r="F356" s="249" t="n"/>
      <c r="G356" s="249" t="n"/>
      <c r="H356" s="249" t="n"/>
    </row>
    <row r="357" ht="13" customHeight="1" s="250">
      <c r="A357" s="249" t="n"/>
      <c r="B357" s="249" t="n"/>
      <c r="C357" s="249" t="n"/>
      <c r="D357" s="249" t="n"/>
      <c r="E357" s="249" t="n"/>
      <c r="F357" s="249" t="n"/>
      <c r="G357" s="249" t="n"/>
      <c r="H357" s="249" t="n"/>
    </row>
    <row r="358" ht="13" customHeight="1" s="250">
      <c r="A358" s="249" t="n"/>
      <c r="B358" s="249" t="n"/>
      <c r="C358" s="249" t="n"/>
      <c r="D358" s="249" t="n"/>
      <c r="E358" s="249" t="n"/>
      <c r="F358" s="249" t="n"/>
      <c r="G358" s="249" t="n"/>
      <c r="H358" s="249" t="n"/>
    </row>
    <row r="359" ht="13" customHeight="1" s="250">
      <c r="A359" s="249" t="n"/>
      <c r="B359" s="249" t="n"/>
      <c r="C359" s="249" t="n"/>
      <c r="D359" s="249" t="n"/>
      <c r="E359" s="249" t="n"/>
      <c r="F359" s="249" t="n"/>
      <c r="G359" s="249" t="n"/>
      <c r="H359" s="249" t="n"/>
    </row>
    <row r="360" ht="13" customHeight="1" s="250">
      <c r="A360" s="249" t="n"/>
      <c r="B360" s="249" t="n"/>
      <c r="C360" s="249" t="n"/>
      <c r="D360" s="249" t="n"/>
      <c r="E360" s="249" t="n"/>
      <c r="F360" s="249" t="n"/>
      <c r="G360" s="249" t="n"/>
      <c r="H360" s="249" t="n"/>
    </row>
    <row r="361" ht="13" customHeight="1" s="250">
      <c r="A361" s="249" t="n"/>
      <c r="B361" s="249" t="n"/>
      <c r="C361" s="249" t="n"/>
      <c r="D361" s="249" t="n"/>
      <c r="E361" s="249" t="n"/>
      <c r="F361" s="249" t="n"/>
      <c r="G361" s="249" t="n"/>
      <c r="H361" s="249" t="n"/>
    </row>
    <row r="362" ht="13" customHeight="1" s="250">
      <c r="A362" s="249" t="n"/>
      <c r="B362" s="249" t="n"/>
      <c r="C362" s="249" t="n"/>
      <c r="D362" s="249" t="n"/>
      <c r="E362" s="249" t="n"/>
      <c r="F362" s="249" t="n"/>
      <c r="G362" s="249" t="n"/>
      <c r="H362" s="249" t="n"/>
    </row>
    <row r="363" ht="13" customHeight="1" s="250">
      <c r="A363" s="249" t="n"/>
      <c r="B363" s="249" t="n"/>
      <c r="C363" s="249" t="n"/>
      <c r="D363" s="249" t="n"/>
      <c r="E363" s="249" t="n"/>
      <c r="F363" s="249" t="n"/>
      <c r="G363" s="249" t="n"/>
      <c r="H363" s="249" t="n"/>
    </row>
    <row r="364" ht="13" customHeight="1" s="250">
      <c r="A364" s="249" t="n"/>
      <c r="B364" s="249" t="n"/>
      <c r="C364" s="249" t="n"/>
      <c r="D364" s="249" t="n"/>
      <c r="E364" s="249" t="n"/>
      <c r="F364" s="249" t="n"/>
      <c r="G364" s="249" t="n"/>
      <c r="H364" s="249" t="n"/>
    </row>
    <row r="365" ht="13" customHeight="1" s="250">
      <c r="A365" s="249" t="n"/>
      <c r="B365" s="249" t="n"/>
      <c r="C365" s="249" t="n"/>
      <c r="D365" s="249" t="n"/>
      <c r="E365" s="249" t="n"/>
      <c r="F365" s="249" t="n"/>
      <c r="G365" s="249" t="n"/>
      <c r="H365" s="249" t="n"/>
    </row>
    <row r="366" ht="13" customHeight="1" s="250">
      <c r="A366" s="249" t="n"/>
      <c r="B366" s="249" t="n"/>
      <c r="C366" s="249" t="n"/>
      <c r="D366" s="249" t="n"/>
      <c r="E366" s="249" t="n"/>
      <c r="F366" s="249" t="n"/>
      <c r="G366" s="249" t="n"/>
      <c r="H366" s="249" t="n"/>
    </row>
    <row r="367" ht="13" customHeight="1" s="250">
      <c r="A367" s="249" t="n"/>
      <c r="B367" s="249" t="n"/>
      <c r="C367" s="249" t="n"/>
      <c r="D367" s="249" t="n"/>
      <c r="E367" s="249" t="n"/>
      <c r="F367" s="249" t="n"/>
      <c r="G367" s="249" t="n"/>
      <c r="H367" s="249" t="n"/>
    </row>
    <row r="368" ht="13" customHeight="1" s="250">
      <c r="A368" s="249" t="n"/>
      <c r="B368" s="249" t="n"/>
      <c r="C368" s="249" t="n"/>
      <c r="D368" s="249" t="n"/>
      <c r="E368" s="249" t="n"/>
      <c r="F368" s="249" t="n"/>
      <c r="G368" s="249" t="n"/>
      <c r="H368" s="249" t="n"/>
    </row>
    <row r="369" ht="13" customHeight="1" s="250">
      <c r="A369" s="249" t="n"/>
      <c r="B369" s="249" t="n"/>
      <c r="C369" s="249" t="n"/>
      <c r="D369" s="249" t="n"/>
      <c r="E369" s="249" t="n"/>
      <c r="F369" s="249" t="n"/>
      <c r="G369" s="249" t="n"/>
      <c r="H369" s="249" t="n"/>
    </row>
    <row r="370" ht="13" customHeight="1" s="250">
      <c r="A370" s="249" t="n"/>
      <c r="B370" s="249" t="n"/>
      <c r="C370" s="249" t="n"/>
      <c r="D370" s="249" t="n"/>
      <c r="E370" s="249" t="n"/>
      <c r="F370" s="249" t="n"/>
      <c r="G370" s="249" t="n"/>
      <c r="H370" s="249" t="n"/>
    </row>
    <row r="371" ht="13" customHeight="1" s="250">
      <c r="A371" s="249" t="n"/>
      <c r="B371" s="249" t="n"/>
      <c r="C371" s="249" t="n"/>
      <c r="D371" s="249" t="n"/>
      <c r="E371" s="249" t="n"/>
      <c r="F371" s="249" t="n"/>
      <c r="G371" s="249" t="n"/>
      <c r="H371" s="249" t="n"/>
    </row>
    <row r="372" ht="13" customHeight="1" s="250">
      <c r="A372" s="249" t="n"/>
      <c r="B372" s="249" t="n"/>
      <c r="C372" s="249" t="n"/>
      <c r="D372" s="249" t="n"/>
      <c r="E372" s="249" t="n"/>
      <c r="F372" s="249" t="n"/>
      <c r="G372" s="249" t="n"/>
      <c r="H372" s="249" t="n"/>
    </row>
    <row r="373" ht="13" customHeight="1" s="250">
      <c r="A373" s="249" t="n"/>
      <c r="B373" s="249" t="n"/>
      <c r="C373" s="249" t="n"/>
      <c r="D373" s="249" t="n"/>
      <c r="E373" s="249" t="n"/>
      <c r="F373" s="249" t="n"/>
      <c r="G373" s="249" t="n"/>
      <c r="H373" s="249" t="n"/>
    </row>
    <row r="374" ht="13" customHeight="1" s="250">
      <c r="A374" s="249" t="n"/>
      <c r="B374" s="249" t="n"/>
      <c r="C374" s="249" t="n"/>
      <c r="D374" s="249" t="n"/>
      <c r="E374" s="249" t="n"/>
      <c r="F374" s="249" t="n"/>
      <c r="G374" s="249" t="n"/>
      <c r="H374" s="249" t="n"/>
    </row>
    <row r="375" ht="13" customHeight="1" s="250">
      <c r="A375" s="249" t="n"/>
      <c r="B375" s="249" t="n"/>
      <c r="C375" s="249" t="n"/>
      <c r="D375" s="249" t="n"/>
      <c r="E375" s="249" t="n"/>
      <c r="F375" s="249" t="n"/>
      <c r="G375" s="249" t="n"/>
      <c r="H375" s="249" t="n"/>
    </row>
    <row r="376" ht="13" customHeight="1" s="250">
      <c r="A376" s="249" t="n"/>
      <c r="B376" s="249" t="n"/>
      <c r="C376" s="249" t="n"/>
      <c r="D376" s="249" t="n"/>
      <c r="E376" s="249" t="n"/>
      <c r="F376" s="249" t="n"/>
      <c r="G376" s="249" t="n"/>
      <c r="H376" s="249" t="n"/>
    </row>
    <row r="377" ht="13" customHeight="1" s="250">
      <c r="A377" s="249" t="n"/>
      <c r="B377" s="249" t="n"/>
      <c r="C377" s="249" t="n"/>
      <c r="D377" s="249" t="n"/>
      <c r="E377" s="249" t="n"/>
      <c r="F377" s="249" t="n"/>
      <c r="G377" s="249" t="n"/>
      <c r="H377" s="249" t="n"/>
    </row>
    <row r="378" ht="13" customHeight="1" s="250">
      <c r="A378" s="249" t="n"/>
      <c r="B378" s="249" t="n"/>
      <c r="C378" s="249" t="n"/>
      <c r="D378" s="249" t="n"/>
      <c r="E378" s="249" t="n"/>
      <c r="F378" s="249" t="n"/>
      <c r="G378" s="249" t="n"/>
      <c r="H378" s="249" t="n"/>
    </row>
    <row r="379" ht="13" customHeight="1" s="250">
      <c r="A379" s="249" t="n"/>
      <c r="B379" s="249" t="n"/>
      <c r="C379" s="249" t="n"/>
      <c r="D379" s="249" t="n"/>
      <c r="E379" s="249" t="n"/>
      <c r="F379" s="249" t="n"/>
      <c r="G379" s="249" t="n"/>
      <c r="H379" s="249" t="n"/>
    </row>
    <row r="380" ht="13" customHeight="1" s="250">
      <c r="A380" s="249" t="n"/>
      <c r="B380" s="249" t="n"/>
      <c r="C380" s="249" t="n"/>
      <c r="D380" s="249" t="n"/>
      <c r="E380" s="249" t="n"/>
      <c r="F380" s="249" t="n"/>
      <c r="G380" s="249" t="n"/>
      <c r="H380" s="249" t="n"/>
    </row>
    <row r="381" ht="13" customHeight="1" s="250">
      <c r="A381" s="249" t="n"/>
      <c r="B381" s="249" t="n"/>
      <c r="C381" s="249" t="n"/>
      <c r="D381" s="249" t="n"/>
      <c r="E381" s="249" t="n"/>
      <c r="F381" s="249" t="n"/>
      <c r="G381" s="249" t="n"/>
      <c r="H381" s="249" t="n"/>
    </row>
    <row r="382" ht="13" customHeight="1" s="250">
      <c r="A382" s="249" t="n"/>
      <c r="B382" s="249" t="n"/>
      <c r="C382" s="249" t="n"/>
      <c r="D382" s="249" t="n"/>
      <c r="E382" s="249" t="n"/>
      <c r="F382" s="249" t="n"/>
      <c r="G382" s="249" t="n"/>
      <c r="H382" s="249" t="n"/>
    </row>
    <row r="383" ht="13" customHeight="1" s="250">
      <c r="A383" s="249" t="n"/>
      <c r="B383" s="249" t="n"/>
      <c r="C383" s="249" t="n"/>
      <c r="D383" s="249" t="n"/>
      <c r="E383" s="249" t="n"/>
      <c r="F383" s="249" t="n"/>
      <c r="G383" s="249" t="n"/>
      <c r="H383" s="249" t="n"/>
    </row>
    <row r="384" ht="13" customHeight="1" s="250">
      <c r="A384" s="249" t="n"/>
      <c r="B384" s="249" t="n"/>
      <c r="C384" s="249" t="n"/>
      <c r="D384" s="249" t="n"/>
      <c r="E384" s="249" t="n"/>
      <c r="F384" s="249" t="n"/>
      <c r="G384" s="249" t="n"/>
      <c r="H384" s="249" t="n"/>
    </row>
    <row r="385" ht="13" customHeight="1" s="250">
      <c r="A385" s="249" t="n"/>
      <c r="B385" s="249" t="n"/>
      <c r="C385" s="249" t="n"/>
      <c r="D385" s="249" t="n"/>
      <c r="E385" s="249" t="n"/>
      <c r="F385" s="249" t="n"/>
      <c r="G385" s="249" t="n"/>
      <c r="H385" s="249" t="n"/>
    </row>
    <row r="386" ht="13" customHeight="1" s="250">
      <c r="A386" s="249" t="n"/>
      <c r="B386" s="249" t="n"/>
      <c r="C386" s="249" t="n"/>
      <c r="D386" s="249" t="n"/>
      <c r="E386" s="249" t="n"/>
      <c r="F386" s="249" t="n"/>
      <c r="G386" s="249" t="n"/>
      <c r="H386" s="249" t="n"/>
    </row>
    <row r="387" ht="13" customHeight="1" s="250">
      <c r="A387" s="249" t="n"/>
      <c r="B387" s="249" t="n"/>
      <c r="C387" s="249" t="n"/>
      <c r="D387" s="249" t="n"/>
      <c r="E387" s="249" t="n"/>
      <c r="F387" s="249" t="n"/>
      <c r="G387" s="249" t="n"/>
      <c r="H387" s="249" t="n"/>
    </row>
    <row r="388" ht="13" customHeight="1" s="250">
      <c r="A388" s="249" t="n"/>
      <c r="B388" s="249" t="n"/>
      <c r="C388" s="249" t="n"/>
      <c r="D388" s="249" t="n"/>
      <c r="E388" s="249" t="n"/>
      <c r="F388" s="249" t="n"/>
      <c r="G388" s="249" t="n"/>
      <c r="H388" s="249" t="n"/>
    </row>
    <row r="389" ht="13" customHeight="1" s="250">
      <c r="A389" s="249" t="n"/>
      <c r="B389" s="249" t="n"/>
      <c r="C389" s="249" t="n"/>
      <c r="D389" s="249" t="n"/>
      <c r="E389" s="249" t="n"/>
      <c r="F389" s="249" t="n"/>
      <c r="G389" s="249" t="n"/>
      <c r="H389" s="249" t="n"/>
    </row>
    <row r="390" ht="13" customHeight="1" s="250">
      <c r="A390" s="249" t="n"/>
      <c r="B390" s="249" t="n"/>
      <c r="C390" s="249" t="n"/>
      <c r="D390" s="249" t="n"/>
      <c r="E390" s="249" t="n"/>
      <c r="F390" s="249" t="n"/>
      <c r="G390" s="249" t="n"/>
      <c r="H390" s="249" t="n"/>
    </row>
    <row r="391" ht="13" customHeight="1" s="250">
      <c r="A391" s="249" t="n"/>
      <c r="B391" s="249" t="n"/>
      <c r="C391" s="249" t="n"/>
      <c r="D391" s="249" t="n"/>
      <c r="E391" s="249" t="n"/>
      <c r="F391" s="249" t="n"/>
      <c r="G391" s="249" t="n"/>
      <c r="H391" s="249" t="n"/>
    </row>
    <row r="392" ht="13" customHeight="1" s="250">
      <c r="A392" s="249" t="n"/>
      <c r="B392" s="249" t="n"/>
      <c r="C392" s="249" t="n"/>
      <c r="D392" s="249" t="n"/>
      <c r="E392" s="249" t="n"/>
      <c r="F392" s="249" t="n"/>
      <c r="G392" s="249" t="n"/>
      <c r="H392" s="249" t="n"/>
    </row>
    <row r="393" ht="13" customHeight="1" s="250">
      <c r="A393" s="249" t="n"/>
      <c r="B393" s="249" t="n"/>
      <c r="C393" s="249" t="n"/>
      <c r="D393" s="249" t="n"/>
      <c r="E393" s="249" t="n"/>
      <c r="F393" s="249" t="n"/>
      <c r="G393" s="249" t="n"/>
      <c r="H393" s="249" t="n"/>
    </row>
    <row r="394" ht="13" customHeight="1" s="250">
      <c r="A394" s="249" t="n"/>
      <c r="B394" s="249" t="n"/>
      <c r="C394" s="249" t="n"/>
      <c r="D394" s="249" t="n"/>
      <c r="E394" s="249" t="n"/>
      <c r="F394" s="249" t="n"/>
      <c r="G394" s="249" t="n"/>
      <c r="H394" s="249" t="n"/>
    </row>
    <row r="395" ht="13" customHeight="1" s="250">
      <c r="A395" s="249" t="n"/>
      <c r="B395" s="249" t="n"/>
      <c r="C395" s="249" t="n"/>
      <c r="D395" s="249" t="n"/>
      <c r="E395" s="249" t="n"/>
      <c r="F395" s="249" t="n"/>
      <c r="G395" s="249" t="n"/>
      <c r="H395" s="249" t="n"/>
    </row>
    <row r="396" ht="13" customHeight="1" s="250">
      <c r="A396" s="249" t="n"/>
      <c r="B396" s="249" t="n"/>
      <c r="C396" s="249" t="n"/>
      <c r="D396" s="249" t="n"/>
      <c r="E396" s="249" t="n"/>
      <c r="F396" s="249" t="n"/>
      <c r="G396" s="249" t="n"/>
      <c r="H396" s="249" t="n"/>
    </row>
    <row r="397" ht="13" customHeight="1" s="250">
      <c r="A397" s="249" t="n"/>
      <c r="B397" s="249" t="n"/>
      <c r="C397" s="249" t="n"/>
      <c r="D397" s="249" t="n"/>
      <c r="E397" s="249" t="n"/>
      <c r="F397" s="249" t="n"/>
      <c r="G397" s="249" t="n"/>
      <c r="H397" s="249" t="n"/>
    </row>
    <row r="398" ht="13" customHeight="1" s="250">
      <c r="A398" s="249" t="n"/>
      <c r="B398" s="249" t="n"/>
      <c r="C398" s="249" t="n"/>
      <c r="D398" s="249" t="n"/>
      <c r="E398" s="249" t="n"/>
      <c r="F398" s="249" t="n"/>
      <c r="G398" s="249" t="n"/>
      <c r="H398" s="249" t="n"/>
    </row>
    <row r="399" ht="13" customHeight="1" s="250">
      <c r="A399" s="249" t="n"/>
      <c r="B399" s="249" t="n"/>
      <c r="C399" s="249" t="n"/>
      <c r="D399" s="249" t="n"/>
      <c r="E399" s="249" t="n"/>
      <c r="F399" s="249" t="n"/>
      <c r="G399" s="249" t="n"/>
      <c r="H399" s="249" t="n"/>
    </row>
    <row r="400" ht="13" customHeight="1" s="250">
      <c r="A400" s="249" t="n"/>
      <c r="B400" s="249" t="n"/>
      <c r="C400" s="249" t="n"/>
      <c r="D400" s="249" t="n"/>
      <c r="E400" s="249" t="n"/>
      <c r="F400" s="249" t="n"/>
      <c r="G400" s="249" t="n"/>
      <c r="H400" s="249" t="n"/>
    </row>
    <row r="401" ht="13" customHeight="1" s="250">
      <c r="A401" s="249" t="n"/>
      <c r="B401" s="249" t="n"/>
      <c r="C401" s="249" t="n"/>
      <c r="D401" s="249" t="n"/>
      <c r="E401" s="249" t="n"/>
      <c r="F401" s="249" t="n"/>
      <c r="G401" s="249" t="n"/>
      <c r="H401" s="249" t="n"/>
    </row>
    <row r="402" ht="13" customHeight="1" s="250">
      <c r="A402" s="249" t="n"/>
      <c r="B402" s="249" t="n"/>
      <c r="C402" s="249" t="n"/>
      <c r="D402" s="249" t="n"/>
      <c r="E402" s="249" t="n"/>
      <c r="F402" s="249" t="n"/>
      <c r="G402" s="249" t="n"/>
      <c r="H402" s="249" t="n"/>
    </row>
    <row r="403" ht="13" customHeight="1" s="250">
      <c r="A403" s="249" t="n"/>
      <c r="B403" s="249" t="n"/>
      <c r="C403" s="249" t="n"/>
      <c r="D403" s="249" t="n"/>
      <c r="E403" s="249" t="n"/>
      <c r="F403" s="249" t="n"/>
      <c r="G403" s="249" t="n"/>
      <c r="H403" s="249" t="n"/>
    </row>
    <row r="404" ht="13" customHeight="1" s="250">
      <c r="A404" s="249" t="n"/>
      <c r="B404" s="249" t="n"/>
      <c r="C404" s="249" t="n"/>
      <c r="D404" s="249" t="n"/>
      <c r="E404" s="249" t="n"/>
      <c r="F404" s="249" t="n"/>
      <c r="G404" s="249" t="n"/>
      <c r="H404" s="249" t="n"/>
    </row>
    <row r="405" ht="13" customHeight="1" s="250">
      <c r="A405" s="249" t="n"/>
      <c r="B405" s="249" t="n"/>
      <c r="C405" s="249" t="n"/>
      <c r="D405" s="249" t="n"/>
      <c r="E405" s="249" t="n"/>
      <c r="F405" s="249" t="n"/>
      <c r="G405" s="249" t="n"/>
      <c r="H405" s="249" t="n"/>
    </row>
    <row r="406" ht="13" customHeight="1" s="250">
      <c r="A406" s="249" t="n"/>
      <c r="B406" s="249" t="n"/>
      <c r="C406" s="249" t="n"/>
      <c r="D406" s="249" t="n"/>
      <c r="E406" s="249" t="n"/>
      <c r="F406" s="249" t="n"/>
      <c r="G406" s="249" t="n"/>
      <c r="H406" s="249" t="n"/>
    </row>
    <row r="407" ht="13" customHeight="1" s="250">
      <c r="A407" s="249" t="n"/>
      <c r="B407" s="249" t="n"/>
      <c r="C407" s="249" t="n"/>
      <c r="D407" s="249" t="n"/>
      <c r="E407" s="249" t="n"/>
      <c r="F407" s="249" t="n"/>
      <c r="G407" s="249" t="n"/>
      <c r="H407" s="249" t="n"/>
    </row>
    <row r="408" ht="13" customHeight="1" s="250">
      <c r="A408" s="249" t="n"/>
      <c r="B408" s="249" t="n"/>
      <c r="C408" s="249" t="n"/>
      <c r="D408" s="249" t="n"/>
      <c r="E408" s="249" t="n"/>
      <c r="F408" s="249" t="n"/>
      <c r="G408" s="249" t="n"/>
      <c r="H408" s="249" t="n"/>
    </row>
    <row r="409" ht="13" customHeight="1" s="250">
      <c r="A409" s="249" t="n"/>
      <c r="B409" s="249" t="n"/>
      <c r="C409" s="249" t="n"/>
      <c r="D409" s="249" t="n"/>
      <c r="E409" s="249" t="n"/>
      <c r="F409" s="249" t="n"/>
      <c r="G409" s="249" t="n"/>
      <c r="H409" s="249" t="n"/>
    </row>
    <row r="410" ht="13" customHeight="1" s="250">
      <c r="A410" s="249" t="n"/>
      <c r="B410" s="249" t="n"/>
      <c r="C410" s="249" t="n"/>
      <c r="D410" s="249" t="n"/>
      <c r="E410" s="249" t="n"/>
      <c r="F410" s="249" t="n"/>
      <c r="G410" s="249" t="n"/>
      <c r="H410" s="249" t="n"/>
    </row>
    <row r="411" ht="13" customHeight="1" s="250">
      <c r="A411" s="249" t="n"/>
      <c r="B411" s="249" t="n"/>
      <c r="C411" s="249" t="n"/>
      <c r="D411" s="249" t="n"/>
      <c r="E411" s="249" t="n"/>
      <c r="F411" s="249" t="n"/>
      <c r="G411" s="249" t="n"/>
      <c r="H411" s="249" t="n"/>
    </row>
    <row r="412" ht="13" customHeight="1" s="250">
      <c r="A412" s="249" t="n"/>
      <c r="B412" s="249" t="n"/>
      <c r="C412" s="249" t="n"/>
      <c r="D412" s="249" t="n"/>
      <c r="E412" s="249" t="n"/>
      <c r="F412" s="249" t="n"/>
      <c r="G412" s="249" t="n"/>
      <c r="H412" s="249" t="n"/>
    </row>
    <row r="413" ht="13" customHeight="1" s="250">
      <c r="A413" s="249" t="n"/>
      <c r="B413" s="249" t="n"/>
      <c r="C413" s="249" t="n"/>
      <c r="D413" s="249" t="n"/>
      <c r="E413" s="249" t="n"/>
      <c r="F413" s="249" t="n"/>
      <c r="G413" s="249" t="n"/>
      <c r="H413" s="249" t="n"/>
    </row>
    <row r="414" ht="13" customHeight="1" s="250">
      <c r="A414" s="249" t="n"/>
      <c r="B414" s="249" t="n"/>
      <c r="C414" s="249" t="n"/>
      <c r="D414" s="249" t="n"/>
      <c r="E414" s="249" t="n"/>
      <c r="F414" s="249" t="n"/>
      <c r="G414" s="249" t="n"/>
      <c r="H414" s="249" t="n"/>
    </row>
    <row r="415" ht="13" customHeight="1" s="250">
      <c r="A415" s="249" t="n"/>
      <c r="B415" s="249" t="n"/>
      <c r="C415" s="249" t="n"/>
      <c r="D415" s="249" t="n"/>
      <c r="E415" s="249" t="n"/>
      <c r="F415" s="249" t="n"/>
      <c r="G415" s="249" t="n"/>
      <c r="H415" s="249" t="n"/>
    </row>
    <row r="416" ht="13" customHeight="1" s="250">
      <c r="A416" s="249" t="n"/>
      <c r="B416" s="249" t="n"/>
      <c r="C416" s="249" t="n"/>
      <c r="D416" s="249" t="n"/>
      <c r="E416" s="249" t="n"/>
      <c r="F416" s="249" t="n"/>
      <c r="G416" s="249" t="n"/>
      <c r="H416" s="249" t="n"/>
    </row>
    <row r="417" ht="13" customHeight="1" s="250">
      <c r="A417" s="249" t="n"/>
      <c r="B417" s="249" t="n"/>
      <c r="C417" s="249" t="n"/>
      <c r="D417" s="249" t="n"/>
      <c r="E417" s="249" t="n"/>
      <c r="F417" s="249" t="n"/>
      <c r="G417" s="249" t="n"/>
      <c r="H417" s="249" t="n"/>
    </row>
    <row r="418" ht="13" customHeight="1" s="250">
      <c r="A418" s="249" t="n"/>
      <c r="B418" s="249" t="n"/>
      <c r="C418" s="249" t="n"/>
      <c r="D418" s="249" t="n"/>
      <c r="E418" s="249" t="n"/>
      <c r="F418" s="249" t="n"/>
      <c r="G418" s="249" t="n"/>
      <c r="H418" s="249" t="n"/>
    </row>
    <row r="419" ht="13" customHeight="1" s="250">
      <c r="A419" s="249" t="n"/>
      <c r="B419" s="249" t="n"/>
      <c r="C419" s="249" t="n"/>
      <c r="D419" s="249" t="n"/>
      <c r="E419" s="249" t="n"/>
      <c r="F419" s="249" t="n"/>
      <c r="G419" s="249" t="n"/>
      <c r="H419" s="249" t="n"/>
    </row>
    <row r="420" ht="13" customHeight="1" s="250">
      <c r="A420" s="249" t="n"/>
      <c r="B420" s="249" t="n"/>
      <c r="C420" s="249" t="n"/>
      <c r="D420" s="249" t="n"/>
      <c r="E420" s="249" t="n"/>
      <c r="F420" s="249" t="n"/>
      <c r="G420" s="249" t="n"/>
      <c r="H420" s="249" t="n"/>
    </row>
    <row r="421" ht="13" customHeight="1" s="250">
      <c r="A421" s="249" t="n"/>
      <c r="B421" s="249" t="n"/>
      <c r="C421" s="249" t="n"/>
      <c r="D421" s="249" t="n"/>
      <c r="E421" s="249" t="n"/>
      <c r="F421" s="249" t="n"/>
      <c r="G421" s="249" t="n"/>
      <c r="H421" s="249" t="n"/>
    </row>
    <row r="422" ht="13" customHeight="1" s="250">
      <c r="A422" s="249" t="n"/>
      <c r="B422" s="249" t="n"/>
      <c r="C422" s="249" t="n"/>
      <c r="D422" s="249" t="n"/>
      <c r="E422" s="249" t="n"/>
      <c r="F422" s="249" t="n"/>
      <c r="G422" s="249" t="n"/>
      <c r="H422" s="249" t="n"/>
    </row>
    <row r="423" ht="13" customHeight="1" s="250">
      <c r="A423" s="249" t="n"/>
      <c r="B423" s="249" t="n"/>
      <c r="C423" s="249" t="n"/>
      <c r="D423" s="249" t="n"/>
      <c r="E423" s="249" t="n"/>
      <c r="F423" s="249" t="n"/>
      <c r="G423" s="249" t="n"/>
      <c r="H423" s="249" t="n"/>
    </row>
    <row r="424" ht="13" customHeight="1" s="250">
      <c r="A424" s="249" t="n"/>
      <c r="B424" s="249" t="n"/>
      <c r="C424" s="249" t="n"/>
      <c r="D424" s="249" t="n"/>
      <c r="E424" s="249" t="n"/>
      <c r="F424" s="249" t="n"/>
      <c r="G424" s="249" t="n"/>
      <c r="H424" s="249" t="n"/>
    </row>
    <row r="425" ht="13" customHeight="1" s="250">
      <c r="A425" s="249" t="n"/>
      <c r="B425" s="249" t="n"/>
      <c r="C425" s="249" t="n"/>
      <c r="D425" s="249" t="n"/>
      <c r="E425" s="249" t="n"/>
      <c r="F425" s="249" t="n"/>
      <c r="G425" s="249" t="n"/>
      <c r="H425" s="249" t="n"/>
    </row>
    <row r="426" ht="13" customHeight="1" s="250">
      <c r="A426" s="249" t="n"/>
      <c r="B426" s="249" t="n"/>
      <c r="C426" s="249" t="n"/>
      <c r="D426" s="249" t="n"/>
      <c r="E426" s="249" t="n"/>
      <c r="F426" s="249" t="n"/>
      <c r="G426" s="249" t="n"/>
      <c r="H426" s="249" t="n"/>
    </row>
    <row r="427" ht="13" customHeight="1" s="250">
      <c r="A427" s="249" t="n"/>
      <c r="B427" s="249" t="n"/>
      <c r="C427" s="249" t="n"/>
      <c r="D427" s="249" t="n"/>
      <c r="E427" s="249" t="n"/>
      <c r="F427" s="249" t="n"/>
      <c r="G427" s="249" t="n"/>
      <c r="H427" s="249" t="n"/>
    </row>
    <row r="428" ht="13" customHeight="1" s="250">
      <c r="A428" s="249" t="n"/>
      <c r="B428" s="249" t="n"/>
      <c r="C428" s="249" t="n"/>
      <c r="D428" s="249" t="n"/>
      <c r="E428" s="249" t="n"/>
      <c r="F428" s="249" t="n"/>
      <c r="G428" s="249" t="n"/>
      <c r="H428" s="249" t="n"/>
    </row>
    <row r="429" ht="13" customHeight="1" s="250">
      <c r="A429" s="249" t="n"/>
      <c r="B429" s="249" t="n"/>
      <c r="C429" s="249" t="n"/>
      <c r="D429" s="249" t="n"/>
      <c r="E429" s="249" t="n"/>
      <c r="F429" s="249" t="n"/>
      <c r="G429" s="249" t="n"/>
      <c r="H429" s="249" t="n"/>
    </row>
    <row r="430" ht="13" customHeight="1" s="250">
      <c r="A430" s="249" t="n"/>
      <c r="B430" s="249" t="n"/>
      <c r="C430" s="249" t="n"/>
      <c r="D430" s="249" t="n"/>
      <c r="E430" s="249" t="n"/>
      <c r="F430" s="249" t="n"/>
      <c r="G430" s="249" t="n"/>
      <c r="H430" s="249" t="n"/>
    </row>
    <row r="431" ht="13" customHeight="1" s="250">
      <c r="A431" s="249" t="n"/>
      <c r="B431" s="249" t="n"/>
      <c r="C431" s="249" t="n"/>
      <c r="D431" s="249" t="n"/>
      <c r="E431" s="249" t="n"/>
      <c r="F431" s="249" t="n"/>
      <c r="G431" s="249" t="n"/>
      <c r="H431" s="249" t="n"/>
    </row>
    <row r="432" ht="13" customHeight="1" s="250">
      <c r="A432" s="249" t="n"/>
      <c r="B432" s="249" t="n"/>
      <c r="C432" s="249" t="n"/>
      <c r="D432" s="249" t="n"/>
      <c r="E432" s="249" t="n"/>
      <c r="F432" s="249" t="n"/>
      <c r="G432" s="249" t="n"/>
      <c r="H432" s="249" t="n"/>
    </row>
    <row r="433" ht="13" customHeight="1" s="250">
      <c r="A433" s="249" t="n"/>
      <c r="B433" s="249" t="n"/>
      <c r="C433" s="249" t="n"/>
      <c r="D433" s="249" t="n"/>
      <c r="E433" s="249" t="n"/>
      <c r="F433" s="249" t="n"/>
      <c r="G433" s="249" t="n"/>
      <c r="H433" s="249" t="n"/>
    </row>
    <row r="434" ht="13" customHeight="1" s="250">
      <c r="A434" s="249" t="n"/>
      <c r="B434" s="249" t="n"/>
      <c r="C434" s="249" t="n"/>
      <c r="D434" s="249" t="n"/>
      <c r="E434" s="249" t="n"/>
      <c r="F434" s="249" t="n"/>
      <c r="G434" s="249" t="n"/>
      <c r="H434" s="249" t="n"/>
    </row>
    <row r="435" ht="13" customHeight="1" s="250">
      <c r="A435" s="249" t="n"/>
      <c r="B435" s="249" t="n"/>
      <c r="C435" s="249" t="n"/>
      <c r="D435" s="249" t="n"/>
      <c r="E435" s="249" t="n"/>
      <c r="F435" s="249" t="n"/>
      <c r="G435" s="249" t="n"/>
      <c r="H435" s="249" t="n"/>
    </row>
    <row r="436" ht="13" customHeight="1" s="250">
      <c r="A436" s="249" t="n"/>
      <c r="B436" s="249" t="n"/>
      <c r="C436" s="249" t="n"/>
      <c r="D436" s="249" t="n"/>
      <c r="E436" s="249" t="n"/>
      <c r="F436" s="249" t="n"/>
      <c r="G436" s="249" t="n"/>
      <c r="H436" s="249" t="n"/>
    </row>
    <row r="437" ht="13" customHeight="1" s="250">
      <c r="A437" s="249" t="n"/>
      <c r="B437" s="249" t="n"/>
      <c r="C437" s="249" t="n"/>
      <c r="D437" s="249" t="n"/>
      <c r="E437" s="249" t="n"/>
      <c r="F437" s="249" t="n"/>
      <c r="G437" s="249" t="n"/>
      <c r="H437" s="249" t="n"/>
    </row>
    <row r="438" ht="13" customHeight="1" s="250">
      <c r="A438" s="249" t="n"/>
      <c r="B438" s="249" t="n"/>
      <c r="C438" s="249" t="n"/>
      <c r="D438" s="249" t="n"/>
      <c r="E438" s="249" t="n"/>
      <c r="F438" s="249" t="n"/>
      <c r="G438" s="249" t="n"/>
      <c r="H438" s="249" t="n"/>
    </row>
    <row r="439" ht="13" customHeight="1" s="250">
      <c r="A439" s="249" t="n"/>
      <c r="B439" s="249" t="n"/>
      <c r="C439" s="249" t="n"/>
      <c r="D439" s="249" t="n"/>
      <c r="E439" s="249" t="n"/>
      <c r="F439" s="249" t="n"/>
      <c r="G439" s="249" t="n"/>
      <c r="H439" s="249" t="n"/>
    </row>
    <row r="440" ht="13" customHeight="1" s="250">
      <c r="A440" s="249" t="n"/>
      <c r="B440" s="249" t="n"/>
      <c r="C440" s="249" t="n"/>
      <c r="D440" s="249" t="n"/>
      <c r="E440" s="249" t="n"/>
      <c r="F440" s="249" t="n"/>
      <c r="G440" s="249" t="n"/>
      <c r="H440" s="249" t="n"/>
    </row>
    <row r="441" ht="13" customHeight="1" s="250">
      <c r="A441" s="249" t="n"/>
      <c r="B441" s="249" t="n"/>
      <c r="C441" s="249" t="n"/>
      <c r="D441" s="249" t="n"/>
      <c r="E441" s="249" t="n"/>
      <c r="F441" s="249" t="n"/>
      <c r="G441" s="249" t="n"/>
      <c r="H441" s="249" t="n"/>
    </row>
    <row r="442" ht="13" customHeight="1" s="250">
      <c r="A442" s="249" t="n"/>
      <c r="B442" s="249" t="n"/>
      <c r="C442" s="249" t="n"/>
      <c r="D442" s="249" t="n"/>
      <c r="E442" s="249" t="n"/>
      <c r="F442" s="249" t="n"/>
      <c r="G442" s="249" t="n"/>
      <c r="H442" s="249" t="n"/>
    </row>
    <row r="443" ht="13" customHeight="1" s="250">
      <c r="A443" s="249" t="n"/>
      <c r="B443" s="249" t="n"/>
      <c r="C443" s="249" t="n"/>
      <c r="D443" s="249" t="n"/>
      <c r="E443" s="249" t="n"/>
      <c r="F443" s="249" t="n"/>
      <c r="G443" s="249" t="n"/>
      <c r="H443" s="249" t="n"/>
    </row>
    <row r="444" ht="13" customHeight="1" s="250">
      <c r="A444" s="249" t="n"/>
      <c r="B444" s="249" t="n"/>
      <c r="C444" s="249" t="n"/>
      <c r="D444" s="249" t="n"/>
      <c r="E444" s="249" t="n"/>
      <c r="F444" s="249" t="n"/>
      <c r="G444" s="249" t="n"/>
      <c r="H444" s="249" t="n"/>
    </row>
    <row r="445" ht="13" customHeight="1" s="250">
      <c r="A445" s="249" t="n"/>
      <c r="B445" s="249" t="n"/>
      <c r="C445" s="249" t="n"/>
      <c r="D445" s="249" t="n"/>
      <c r="E445" s="249" t="n"/>
      <c r="F445" s="249" t="n"/>
      <c r="G445" s="249" t="n"/>
      <c r="H445" s="249" t="n"/>
    </row>
    <row r="446" ht="13" customHeight="1" s="250">
      <c r="A446" s="249" t="n"/>
      <c r="B446" s="249" t="n"/>
      <c r="C446" s="249" t="n"/>
      <c r="D446" s="249" t="n"/>
      <c r="E446" s="249" t="n"/>
      <c r="F446" s="249" t="n"/>
      <c r="G446" s="249" t="n"/>
      <c r="H446" s="249" t="n"/>
    </row>
    <row r="447" ht="13" customHeight="1" s="250">
      <c r="A447" s="249" t="n"/>
      <c r="B447" s="249" t="n"/>
      <c r="C447" s="249" t="n"/>
      <c r="D447" s="249" t="n"/>
      <c r="E447" s="249" t="n"/>
      <c r="F447" s="249" t="n"/>
      <c r="G447" s="249" t="n"/>
      <c r="H447" s="249" t="n"/>
    </row>
    <row r="448" ht="13" customHeight="1" s="250">
      <c r="A448" s="249" t="n"/>
      <c r="B448" s="249" t="n"/>
      <c r="C448" s="249" t="n"/>
      <c r="D448" s="249" t="n"/>
      <c r="E448" s="249" t="n"/>
      <c r="F448" s="249" t="n"/>
      <c r="G448" s="249" t="n"/>
      <c r="H448" s="249" t="n"/>
    </row>
    <row r="449" ht="13" customHeight="1" s="250">
      <c r="A449" s="249" t="n"/>
      <c r="B449" s="249" t="n"/>
      <c r="C449" s="249" t="n"/>
      <c r="D449" s="249" t="n"/>
      <c r="E449" s="249" t="n"/>
      <c r="F449" s="249" t="n"/>
      <c r="G449" s="249" t="n"/>
      <c r="H449" s="249" t="n"/>
    </row>
    <row r="450" ht="13" customHeight="1" s="250">
      <c r="A450" s="249" t="n"/>
      <c r="B450" s="249" t="n"/>
      <c r="C450" s="249" t="n"/>
      <c r="D450" s="249" t="n"/>
      <c r="E450" s="249" t="n"/>
      <c r="F450" s="249" t="n"/>
      <c r="G450" s="249" t="n"/>
      <c r="H450" s="249" t="n"/>
    </row>
    <row r="451" ht="13" customHeight="1" s="250">
      <c r="A451" s="249" t="n"/>
      <c r="B451" s="249" t="n"/>
      <c r="C451" s="249" t="n"/>
      <c r="D451" s="249" t="n"/>
      <c r="E451" s="249" t="n"/>
      <c r="F451" s="249" t="n"/>
      <c r="G451" s="249" t="n"/>
      <c r="H451" s="249" t="n"/>
    </row>
    <row r="452" ht="13" customHeight="1" s="250">
      <c r="A452" s="249" t="n"/>
      <c r="B452" s="249" t="n"/>
      <c r="C452" s="249" t="n"/>
      <c r="D452" s="249" t="n"/>
      <c r="E452" s="249" t="n"/>
      <c r="F452" s="249" t="n"/>
      <c r="G452" s="249" t="n"/>
      <c r="H452" s="249" t="n"/>
    </row>
    <row r="453" ht="13" customHeight="1" s="250">
      <c r="A453" s="249" t="n"/>
      <c r="B453" s="249" t="n"/>
      <c r="C453" s="249" t="n"/>
      <c r="D453" s="249" t="n"/>
      <c r="E453" s="249" t="n"/>
      <c r="F453" s="249" t="n"/>
      <c r="G453" s="249" t="n"/>
      <c r="H453" s="249" t="n"/>
    </row>
    <row r="454" ht="13" customHeight="1" s="250">
      <c r="A454" s="249" t="n"/>
      <c r="B454" s="249" t="n"/>
      <c r="C454" s="249" t="n"/>
      <c r="D454" s="249" t="n"/>
      <c r="E454" s="249" t="n"/>
      <c r="F454" s="249" t="n"/>
      <c r="G454" s="249" t="n"/>
      <c r="H454" s="249" t="n"/>
    </row>
    <row r="455" ht="13" customHeight="1" s="250">
      <c r="A455" s="249" t="n"/>
      <c r="B455" s="249" t="n"/>
      <c r="C455" s="249" t="n"/>
      <c r="D455" s="249" t="n"/>
      <c r="E455" s="249" t="n"/>
      <c r="F455" s="249" t="n"/>
      <c r="G455" s="249" t="n"/>
      <c r="H455" s="249" t="n"/>
    </row>
    <row r="456" ht="13" customHeight="1" s="250">
      <c r="A456" s="249" t="n"/>
      <c r="B456" s="249" t="n"/>
      <c r="C456" s="249" t="n"/>
      <c r="D456" s="249" t="n"/>
      <c r="E456" s="249" t="n"/>
      <c r="F456" s="249" t="n"/>
      <c r="G456" s="249" t="n"/>
      <c r="H456" s="249" t="n"/>
    </row>
    <row r="457" ht="13" customHeight="1" s="250">
      <c r="A457" s="249" t="n"/>
      <c r="B457" s="249" t="n"/>
      <c r="C457" s="249" t="n"/>
      <c r="D457" s="249" t="n"/>
      <c r="E457" s="249" t="n"/>
      <c r="F457" s="249" t="n"/>
      <c r="G457" s="249" t="n"/>
      <c r="H457" s="249" t="n"/>
    </row>
    <row r="458" ht="13" customHeight="1" s="250">
      <c r="A458" s="249" t="n"/>
      <c r="B458" s="249" t="n"/>
      <c r="C458" s="249" t="n"/>
      <c r="D458" s="249" t="n"/>
      <c r="E458" s="249" t="n"/>
      <c r="F458" s="249" t="n"/>
      <c r="G458" s="249" t="n"/>
      <c r="H458" s="249" t="n"/>
    </row>
    <row r="459" ht="13" customHeight="1" s="250">
      <c r="A459" s="249" t="n"/>
      <c r="B459" s="249" t="n"/>
      <c r="C459" s="249" t="n"/>
      <c r="D459" s="249" t="n"/>
      <c r="E459" s="249" t="n"/>
      <c r="F459" s="249" t="n"/>
      <c r="G459" s="249" t="n"/>
      <c r="H459" s="249" t="n"/>
    </row>
    <row r="460" ht="13" customHeight="1" s="250">
      <c r="A460" s="249" t="n"/>
      <c r="B460" s="249" t="n"/>
      <c r="C460" s="249" t="n"/>
      <c r="D460" s="249" t="n"/>
      <c r="E460" s="249" t="n"/>
      <c r="F460" s="249" t="n"/>
      <c r="G460" s="249" t="n"/>
      <c r="H460" s="249" t="n"/>
    </row>
    <row r="461" ht="13" customHeight="1" s="250">
      <c r="A461" s="249" t="n"/>
      <c r="B461" s="249" t="n"/>
      <c r="C461" s="249" t="n"/>
      <c r="D461" s="249" t="n"/>
      <c r="E461" s="249" t="n"/>
      <c r="F461" s="249" t="n"/>
      <c r="G461" s="249" t="n"/>
      <c r="H461" s="249" t="n"/>
    </row>
    <row r="462" ht="13" customHeight="1" s="250">
      <c r="A462" s="249" t="n"/>
      <c r="B462" s="249" t="n"/>
      <c r="C462" s="249" t="n"/>
      <c r="D462" s="249" t="n"/>
      <c r="E462" s="249" t="n"/>
      <c r="F462" s="249" t="n"/>
      <c r="G462" s="249" t="n"/>
      <c r="H462" s="249" t="n"/>
    </row>
    <row r="463" ht="13" customHeight="1" s="250">
      <c r="A463" s="249" t="n"/>
      <c r="B463" s="249" t="n"/>
      <c r="C463" s="249" t="n"/>
      <c r="D463" s="249" t="n"/>
      <c r="E463" s="249" t="n"/>
      <c r="F463" s="249" t="n"/>
      <c r="G463" s="249" t="n"/>
      <c r="H463" s="249" t="n"/>
    </row>
    <row r="464" ht="13" customHeight="1" s="250">
      <c r="A464" s="249" t="n"/>
      <c r="B464" s="249" t="n"/>
      <c r="C464" s="249" t="n"/>
      <c r="D464" s="249" t="n"/>
      <c r="E464" s="249" t="n"/>
      <c r="F464" s="249" t="n"/>
      <c r="G464" s="249" t="n"/>
      <c r="H464" s="249" t="n"/>
    </row>
    <row r="465" ht="13" customHeight="1" s="250">
      <c r="A465" s="249" t="n"/>
      <c r="B465" s="249" t="n"/>
      <c r="C465" s="249" t="n"/>
      <c r="D465" s="249" t="n"/>
      <c r="E465" s="249" t="n"/>
      <c r="F465" s="249" t="n"/>
      <c r="G465" s="249" t="n"/>
      <c r="H465" s="249" t="n"/>
    </row>
    <row r="466" ht="13" customHeight="1" s="250">
      <c r="A466" s="249" t="n"/>
      <c r="B466" s="249" t="n"/>
      <c r="C466" s="249" t="n"/>
      <c r="D466" s="249" t="n"/>
      <c r="E466" s="249" t="n"/>
      <c r="F466" s="249" t="n"/>
      <c r="G466" s="249" t="n"/>
      <c r="H466" s="249" t="n"/>
    </row>
    <row r="467" ht="13" customHeight="1" s="250">
      <c r="A467" s="249" t="n"/>
      <c r="B467" s="249" t="n"/>
      <c r="C467" s="249" t="n"/>
      <c r="D467" s="249" t="n"/>
      <c r="E467" s="249" t="n"/>
      <c r="F467" s="249" t="n"/>
      <c r="G467" s="249" t="n"/>
      <c r="H467" s="249" t="n"/>
    </row>
    <row r="468" ht="13" customHeight="1" s="250">
      <c r="A468" s="249" t="n"/>
      <c r="B468" s="249" t="n"/>
      <c r="C468" s="249" t="n"/>
      <c r="D468" s="249" t="n"/>
      <c r="E468" s="249" t="n"/>
      <c r="F468" s="249" t="n"/>
      <c r="G468" s="249" t="n"/>
      <c r="H468" s="249" t="n"/>
    </row>
    <row r="469" ht="13" customHeight="1" s="250">
      <c r="A469" s="249" t="n"/>
      <c r="B469" s="249" t="n"/>
      <c r="C469" s="249" t="n"/>
      <c r="D469" s="249" t="n"/>
      <c r="E469" s="249" t="n"/>
      <c r="F469" s="249" t="n"/>
      <c r="G469" s="249" t="n"/>
      <c r="H469" s="249" t="n"/>
    </row>
    <row r="470" ht="13" customHeight="1" s="250">
      <c r="A470" s="249" t="n"/>
      <c r="B470" s="249" t="n"/>
      <c r="C470" s="249" t="n"/>
      <c r="D470" s="249" t="n"/>
      <c r="E470" s="249" t="n"/>
      <c r="F470" s="249" t="n"/>
      <c r="G470" s="249" t="n"/>
      <c r="H470" s="249" t="n"/>
    </row>
    <row r="471" ht="13" customHeight="1" s="250">
      <c r="A471" s="249" t="n"/>
      <c r="B471" s="249" t="n"/>
      <c r="C471" s="249" t="n"/>
      <c r="D471" s="249" t="n"/>
      <c r="E471" s="249" t="n"/>
      <c r="F471" s="249" t="n"/>
      <c r="G471" s="249" t="n"/>
      <c r="H471" s="249" t="n"/>
    </row>
    <row r="472" ht="13" customHeight="1" s="250">
      <c r="A472" s="249" t="n"/>
      <c r="B472" s="249" t="n"/>
      <c r="C472" s="249" t="n"/>
      <c r="D472" s="249" t="n"/>
      <c r="E472" s="249" t="n"/>
      <c r="F472" s="249" t="n"/>
      <c r="G472" s="249" t="n"/>
      <c r="H472" s="249" t="n"/>
    </row>
    <row r="473" ht="13" customHeight="1" s="250">
      <c r="A473" s="249" t="n"/>
      <c r="B473" s="249" t="n"/>
      <c r="C473" s="249" t="n"/>
      <c r="D473" s="249" t="n"/>
      <c r="E473" s="249" t="n"/>
      <c r="F473" s="249" t="n"/>
      <c r="G473" s="249" t="n"/>
      <c r="H473" s="249" t="n"/>
    </row>
    <row r="474" ht="13" customHeight="1" s="250">
      <c r="A474" s="249" t="n"/>
      <c r="B474" s="249" t="n"/>
      <c r="C474" s="249" t="n"/>
      <c r="D474" s="249" t="n"/>
      <c r="E474" s="249" t="n"/>
      <c r="F474" s="249" t="n"/>
      <c r="G474" s="249" t="n"/>
      <c r="H474" s="249" t="n"/>
    </row>
    <row r="475" ht="13" customHeight="1" s="250">
      <c r="A475" s="249" t="n"/>
      <c r="B475" s="249" t="n"/>
      <c r="C475" s="249" t="n"/>
      <c r="D475" s="249" t="n"/>
      <c r="E475" s="249" t="n"/>
      <c r="F475" s="249" t="n"/>
      <c r="G475" s="249" t="n"/>
      <c r="H475" s="249" t="n"/>
    </row>
    <row r="476" ht="13" customHeight="1" s="250">
      <c r="A476" s="249" t="n"/>
      <c r="B476" s="249" t="n"/>
      <c r="C476" s="249" t="n"/>
      <c r="D476" s="249" t="n"/>
      <c r="E476" s="249" t="n"/>
      <c r="F476" s="249" t="n"/>
      <c r="G476" s="249" t="n"/>
      <c r="H476" s="249" t="n"/>
    </row>
    <row r="477" ht="13" customHeight="1" s="250">
      <c r="A477" s="249" t="n"/>
      <c r="B477" s="249" t="n"/>
      <c r="C477" s="249" t="n"/>
      <c r="D477" s="249" t="n"/>
      <c r="E477" s="249" t="n"/>
      <c r="F477" s="249" t="n"/>
      <c r="G477" s="249" t="n"/>
      <c r="H477" s="249" t="n"/>
    </row>
    <row r="478" ht="13" customHeight="1" s="250">
      <c r="A478" s="249" t="n"/>
      <c r="B478" s="249" t="n"/>
      <c r="C478" s="249" t="n"/>
      <c r="D478" s="249" t="n"/>
      <c r="E478" s="249" t="n"/>
      <c r="F478" s="249" t="n"/>
      <c r="G478" s="249" t="n"/>
      <c r="H478" s="249" t="n"/>
    </row>
    <row r="479" ht="13" customHeight="1" s="250">
      <c r="A479" s="249" t="n"/>
      <c r="B479" s="249" t="n"/>
      <c r="C479" s="249" t="n"/>
      <c r="D479" s="249" t="n"/>
      <c r="E479" s="249" t="n"/>
      <c r="F479" s="249" t="n"/>
      <c r="G479" s="249" t="n"/>
      <c r="H479" s="249" t="n"/>
    </row>
    <row r="480" ht="13" customHeight="1" s="250">
      <c r="A480" s="249" t="n"/>
      <c r="B480" s="249" t="n"/>
      <c r="C480" s="249" t="n"/>
      <c r="D480" s="249" t="n"/>
      <c r="E480" s="249" t="n"/>
      <c r="F480" s="249" t="n"/>
      <c r="G480" s="249" t="n"/>
      <c r="H480" s="249" t="n"/>
    </row>
    <row r="481" ht="13" customHeight="1" s="250">
      <c r="A481" s="249" t="n"/>
      <c r="B481" s="249" t="n"/>
      <c r="C481" s="249" t="n"/>
      <c r="D481" s="249" t="n"/>
      <c r="E481" s="249" t="n"/>
      <c r="F481" s="249" t="n"/>
      <c r="G481" s="249" t="n"/>
      <c r="H481" s="249" t="n"/>
    </row>
    <row r="482" ht="13" customHeight="1" s="250">
      <c r="A482" s="249" t="n"/>
      <c r="B482" s="249" t="n"/>
      <c r="C482" s="249" t="n"/>
      <c r="D482" s="249" t="n"/>
      <c r="E482" s="249" t="n"/>
      <c r="F482" s="249" t="n"/>
      <c r="G482" s="249" t="n"/>
      <c r="H482" s="249" t="n"/>
    </row>
    <row r="483" ht="13" customHeight="1" s="250">
      <c r="A483" s="249" t="n"/>
      <c r="B483" s="249" t="n"/>
      <c r="C483" s="249" t="n"/>
      <c r="D483" s="249" t="n"/>
      <c r="E483" s="249" t="n"/>
      <c r="F483" s="249" t="n"/>
      <c r="G483" s="249" t="n"/>
      <c r="H483" s="249" t="n"/>
    </row>
    <row r="484" ht="13" customHeight="1" s="250">
      <c r="A484" s="249" t="n"/>
      <c r="B484" s="249" t="n"/>
      <c r="C484" s="249" t="n"/>
      <c r="D484" s="249" t="n"/>
      <c r="E484" s="249" t="n"/>
      <c r="F484" s="249" t="n"/>
      <c r="G484" s="249" t="n"/>
      <c r="H484" s="249" t="n"/>
    </row>
    <row r="485" ht="13" customHeight="1" s="250">
      <c r="A485" s="249" t="n"/>
      <c r="B485" s="249" t="n"/>
      <c r="C485" s="249" t="n"/>
      <c r="D485" s="249" t="n"/>
      <c r="E485" s="249" t="n"/>
      <c r="F485" s="249" t="n"/>
      <c r="G485" s="249" t="n"/>
      <c r="H485" s="249" t="n"/>
    </row>
    <row r="486" ht="13" customHeight="1" s="250">
      <c r="A486" s="249" t="n"/>
      <c r="B486" s="249" t="n"/>
      <c r="C486" s="249" t="n"/>
      <c r="D486" s="249" t="n"/>
      <c r="E486" s="249" t="n"/>
      <c r="F486" s="249" t="n"/>
      <c r="G486" s="249" t="n"/>
      <c r="H486" s="249" t="n"/>
    </row>
    <row r="487" ht="13" customHeight="1" s="250">
      <c r="A487" s="249" t="n"/>
      <c r="B487" s="249" t="n"/>
      <c r="C487" s="249" t="n"/>
      <c r="D487" s="249" t="n"/>
      <c r="E487" s="249" t="n"/>
      <c r="F487" s="249" t="n"/>
      <c r="G487" s="249" t="n"/>
      <c r="H487" s="249" t="n"/>
    </row>
    <row r="488" ht="13" customHeight="1" s="250">
      <c r="A488" s="249" t="n"/>
      <c r="B488" s="249" t="n"/>
      <c r="C488" s="249" t="n"/>
      <c r="D488" s="249" t="n"/>
      <c r="E488" s="249" t="n"/>
      <c r="F488" s="249" t="n"/>
      <c r="G488" s="249" t="n"/>
      <c r="H488" s="249" t="n"/>
    </row>
    <row r="489" ht="13" customHeight="1" s="250">
      <c r="A489" s="249" t="n"/>
      <c r="B489" s="249" t="n"/>
      <c r="C489" s="249" t="n"/>
      <c r="D489" s="249" t="n"/>
      <c r="E489" s="249" t="n"/>
      <c r="F489" s="249" t="n"/>
      <c r="G489" s="249" t="n"/>
      <c r="H489" s="249" t="n"/>
    </row>
    <row r="490" ht="13" customHeight="1" s="250">
      <c r="A490" s="249" t="n"/>
      <c r="B490" s="249" t="n"/>
      <c r="C490" s="249" t="n"/>
      <c r="D490" s="249" t="n"/>
      <c r="E490" s="249" t="n"/>
      <c r="F490" s="249" t="n"/>
      <c r="G490" s="249" t="n"/>
      <c r="H490" s="249" t="n"/>
    </row>
    <row r="491" ht="13" customHeight="1" s="250">
      <c r="A491" s="249" t="n"/>
      <c r="B491" s="249" t="n"/>
      <c r="C491" s="249" t="n"/>
      <c r="D491" s="249" t="n"/>
      <c r="E491" s="249" t="n"/>
      <c r="F491" s="249" t="n"/>
      <c r="G491" s="249" t="n"/>
      <c r="H491" s="249" t="n"/>
    </row>
    <row r="492" ht="13" customHeight="1" s="250">
      <c r="A492" s="249" t="n"/>
      <c r="B492" s="249" t="n"/>
      <c r="C492" s="249" t="n"/>
      <c r="D492" s="249" t="n"/>
      <c r="E492" s="249" t="n"/>
      <c r="F492" s="249" t="n"/>
      <c r="G492" s="249" t="n"/>
      <c r="H492" s="249" t="n"/>
    </row>
    <row r="493" ht="13" customHeight="1" s="250">
      <c r="A493" s="249" t="n"/>
      <c r="B493" s="249" t="n"/>
      <c r="C493" s="249" t="n"/>
      <c r="D493" s="249" t="n"/>
      <c r="E493" s="249" t="n"/>
      <c r="F493" s="249" t="n"/>
      <c r="G493" s="249" t="n"/>
      <c r="H493" s="249" t="n"/>
    </row>
    <row r="494" ht="13" customHeight="1" s="250">
      <c r="A494" s="249" t="n"/>
      <c r="B494" s="249" t="n"/>
      <c r="C494" s="249" t="n"/>
      <c r="D494" s="249" t="n"/>
      <c r="E494" s="249" t="n"/>
      <c r="F494" s="249" t="n"/>
      <c r="G494" s="249" t="n"/>
      <c r="H494" s="249" t="n"/>
    </row>
    <row r="495" ht="13" customHeight="1" s="250">
      <c r="A495" s="249" t="n"/>
      <c r="B495" s="249" t="n"/>
      <c r="C495" s="249" t="n"/>
      <c r="D495" s="249" t="n"/>
      <c r="E495" s="249" t="n"/>
      <c r="F495" s="249" t="n"/>
      <c r="G495" s="249" t="n"/>
      <c r="H495" s="249" t="n"/>
    </row>
    <row r="496" ht="13" customHeight="1" s="250">
      <c r="A496" s="249" t="n"/>
      <c r="B496" s="249" t="n"/>
      <c r="C496" s="249" t="n"/>
      <c r="D496" s="249" t="n"/>
      <c r="E496" s="249" t="n"/>
      <c r="F496" s="249" t="n"/>
      <c r="G496" s="249" t="n"/>
      <c r="H496" s="249" t="n"/>
    </row>
    <row r="497" ht="13" customHeight="1" s="250">
      <c r="A497" s="249" t="n"/>
      <c r="B497" s="249" t="n"/>
      <c r="C497" s="249" t="n"/>
      <c r="D497" s="249" t="n"/>
      <c r="E497" s="249" t="n"/>
      <c r="F497" s="249" t="n"/>
      <c r="G497" s="249" t="n"/>
      <c r="H497" s="249" t="n"/>
    </row>
    <row r="498" ht="13" customHeight="1" s="250">
      <c r="A498" s="249" t="n"/>
      <c r="B498" s="249" t="n"/>
      <c r="C498" s="249" t="n"/>
      <c r="D498" s="249" t="n"/>
      <c r="E498" s="249" t="n"/>
      <c r="F498" s="249" t="n"/>
      <c r="G498" s="249" t="n"/>
      <c r="H498" s="249" t="n"/>
    </row>
    <row r="499" ht="13" customHeight="1" s="250">
      <c r="A499" s="249" t="n"/>
      <c r="B499" s="249" t="n"/>
      <c r="C499" s="249" t="n"/>
      <c r="D499" s="249" t="n"/>
      <c r="E499" s="249" t="n"/>
      <c r="F499" s="249" t="n"/>
      <c r="G499" s="249" t="n"/>
      <c r="H499" s="249" t="n"/>
    </row>
    <row r="500" ht="13" customHeight="1" s="250">
      <c r="A500" s="249" t="n"/>
      <c r="B500" s="249" t="n"/>
      <c r="C500" s="249" t="n"/>
      <c r="D500" s="249" t="n"/>
      <c r="E500" s="249" t="n"/>
      <c r="F500" s="249" t="n"/>
      <c r="G500" s="249" t="n"/>
      <c r="H500" s="249" t="n"/>
    </row>
    <row r="501" ht="13" customHeight="1" s="250">
      <c r="A501" s="249" t="n"/>
      <c r="B501" s="249" t="n"/>
      <c r="C501" s="249" t="n"/>
      <c r="D501" s="249" t="n"/>
      <c r="E501" s="249" t="n"/>
      <c r="F501" s="249" t="n"/>
      <c r="G501" s="249" t="n"/>
      <c r="H501" s="249" t="n"/>
    </row>
    <row r="502" ht="13" customHeight="1" s="250">
      <c r="A502" s="249" t="n"/>
      <c r="B502" s="249" t="n"/>
      <c r="C502" s="249" t="n"/>
      <c r="D502" s="249" t="n"/>
      <c r="E502" s="249" t="n"/>
      <c r="F502" s="249" t="n"/>
      <c r="G502" s="249" t="n"/>
      <c r="H502" s="249" t="n"/>
    </row>
    <row r="503" ht="13" customHeight="1" s="250">
      <c r="A503" s="249" t="n"/>
      <c r="B503" s="249" t="n"/>
      <c r="C503" s="249" t="n"/>
      <c r="D503" s="249" t="n"/>
      <c r="E503" s="249" t="n"/>
      <c r="F503" s="249" t="n"/>
      <c r="G503" s="249" t="n"/>
      <c r="H503" s="249" t="n"/>
    </row>
    <row r="504" ht="13" customHeight="1" s="250">
      <c r="A504" s="249" t="n"/>
      <c r="B504" s="249" t="n"/>
      <c r="C504" s="249" t="n"/>
      <c r="D504" s="249" t="n"/>
      <c r="E504" s="249" t="n"/>
      <c r="F504" s="249" t="n"/>
      <c r="G504" s="249" t="n"/>
      <c r="H504" s="249" t="n"/>
    </row>
    <row r="505" ht="13" customHeight="1" s="250">
      <c r="A505" s="249" t="n"/>
      <c r="B505" s="249" t="n"/>
      <c r="C505" s="249" t="n"/>
      <c r="D505" s="249" t="n"/>
      <c r="E505" s="249" t="n"/>
      <c r="F505" s="249" t="n"/>
      <c r="G505" s="249" t="n"/>
      <c r="H505" s="249" t="n"/>
    </row>
    <row r="506" ht="13" customHeight="1" s="250">
      <c r="A506" s="249" t="n"/>
      <c r="B506" s="249" t="n"/>
      <c r="C506" s="249" t="n"/>
      <c r="D506" s="249" t="n"/>
      <c r="E506" s="249" t="n"/>
      <c r="F506" s="249" t="n"/>
      <c r="G506" s="249" t="n"/>
      <c r="H506" s="249" t="n"/>
    </row>
    <row r="507" ht="13" customHeight="1" s="250">
      <c r="A507" s="249" t="n"/>
      <c r="B507" s="249" t="n"/>
      <c r="C507" s="249" t="n"/>
      <c r="D507" s="249" t="n"/>
      <c r="E507" s="249" t="n"/>
      <c r="F507" s="249" t="n"/>
      <c r="G507" s="249" t="n"/>
      <c r="H507" s="249" t="n"/>
    </row>
    <row r="508" ht="13" customHeight="1" s="250">
      <c r="A508" s="249" t="n"/>
      <c r="B508" s="249" t="n"/>
      <c r="C508" s="249" t="n"/>
      <c r="D508" s="249" t="n"/>
      <c r="E508" s="249" t="n"/>
      <c r="F508" s="249" t="n"/>
      <c r="G508" s="249" t="n"/>
      <c r="H508" s="249" t="n"/>
    </row>
    <row r="509" ht="13" customHeight="1" s="250">
      <c r="A509" s="249" t="n"/>
      <c r="B509" s="249" t="n"/>
      <c r="C509" s="249" t="n"/>
      <c r="D509" s="249" t="n"/>
      <c r="E509" s="249" t="n"/>
      <c r="F509" s="249" t="n"/>
      <c r="G509" s="249" t="n"/>
      <c r="H509" s="249" t="n"/>
    </row>
    <row r="510" ht="13" customHeight="1" s="250">
      <c r="A510" s="249" t="n"/>
      <c r="B510" s="249" t="n"/>
      <c r="C510" s="249" t="n"/>
      <c r="D510" s="249" t="n"/>
      <c r="E510" s="249" t="n"/>
      <c r="F510" s="249" t="n"/>
      <c r="G510" s="249" t="n"/>
      <c r="H510" s="249" t="n"/>
    </row>
    <row r="511" ht="13" customHeight="1" s="250">
      <c r="A511" s="249" t="n"/>
      <c r="B511" s="249" t="n"/>
      <c r="C511" s="249" t="n"/>
      <c r="D511" s="249" t="n"/>
      <c r="E511" s="249" t="n"/>
      <c r="F511" s="249" t="n"/>
      <c r="G511" s="249" t="n"/>
      <c r="H511" s="249" t="n"/>
    </row>
    <row r="512" ht="13" customHeight="1" s="250">
      <c r="A512" s="249" t="n"/>
      <c r="B512" s="249" t="n"/>
      <c r="C512" s="249" t="n"/>
      <c r="D512" s="249" t="n"/>
      <c r="E512" s="249" t="n"/>
      <c r="F512" s="249" t="n"/>
      <c r="G512" s="249" t="n"/>
      <c r="H512" s="249" t="n"/>
    </row>
    <row r="513" ht="13" customHeight="1" s="250">
      <c r="A513" s="249" t="n"/>
      <c r="B513" s="249" t="n"/>
      <c r="C513" s="249" t="n"/>
      <c r="D513" s="249" t="n"/>
      <c r="E513" s="249" t="n"/>
      <c r="F513" s="249" t="n"/>
      <c r="G513" s="249" t="n"/>
      <c r="H513" s="249" t="n"/>
    </row>
    <row r="514" ht="13" customHeight="1" s="250">
      <c r="A514" s="249" t="n"/>
      <c r="B514" s="249" t="n"/>
      <c r="C514" s="249" t="n"/>
      <c r="D514" s="249" t="n"/>
      <c r="E514" s="249" t="n"/>
      <c r="F514" s="249" t="n"/>
      <c r="G514" s="249" t="n"/>
      <c r="H514" s="249" t="n"/>
    </row>
    <row r="515" ht="13" customHeight="1" s="250">
      <c r="A515" s="249" t="n"/>
      <c r="B515" s="249" t="n"/>
      <c r="C515" s="249" t="n"/>
      <c r="D515" s="249" t="n"/>
      <c r="E515" s="249" t="n"/>
      <c r="F515" s="249" t="n"/>
      <c r="G515" s="249" t="n"/>
      <c r="H515" s="249" t="n"/>
    </row>
    <row r="516" ht="13" customHeight="1" s="250">
      <c r="A516" s="249" t="n"/>
      <c r="B516" s="249" t="n"/>
      <c r="C516" s="249" t="n"/>
      <c r="D516" s="249" t="n"/>
      <c r="E516" s="249" t="n"/>
      <c r="F516" s="249" t="n"/>
      <c r="G516" s="249" t="n"/>
      <c r="H516" s="249" t="n"/>
    </row>
    <row r="517" ht="13" customHeight="1" s="250">
      <c r="A517" s="249" t="n"/>
      <c r="B517" s="249" t="n"/>
      <c r="C517" s="249" t="n"/>
      <c r="D517" s="249" t="n"/>
      <c r="E517" s="249" t="n"/>
      <c r="F517" s="249" t="n"/>
      <c r="G517" s="249" t="n"/>
      <c r="H517" s="249" t="n"/>
    </row>
    <row r="518" ht="13" customHeight="1" s="250">
      <c r="A518" s="249" t="n"/>
      <c r="B518" s="249" t="n"/>
      <c r="C518" s="249" t="n"/>
      <c r="D518" s="249" t="n"/>
      <c r="E518" s="249" t="n"/>
      <c r="F518" s="249" t="n"/>
      <c r="G518" s="249" t="n"/>
      <c r="H518" s="249" t="n"/>
    </row>
    <row r="519" ht="13" customHeight="1" s="250">
      <c r="A519" s="249" t="n"/>
      <c r="B519" s="249" t="n"/>
      <c r="C519" s="249" t="n"/>
      <c r="D519" s="249" t="n"/>
      <c r="E519" s="249" t="n"/>
      <c r="F519" s="249" t="n"/>
      <c r="G519" s="249" t="n"/>
      <c r="H519" s="249" t="n"/>
    </row>
    <row r="520" ht="13" customHeight="1" s="250">
      <c r="A520" s="249" t="n"/>
      <c r="B520" s="249" t="n"/>
      <c r="C520" s="249" t="n"/>
      <c r="D520" s="249" t="n"/>
      <c r="E520" s="249" t="n"/>
      <c r="F520" s="249" t="n"/>
      <c r="G520" s="249" t="n"/>
      <c r="H520" s="249" t="n"/>
    </row>
    <row r="521" ht="13" customHeight="1" s="250">
      <c r="A521" s="249" t="n"/>
      <c r="B521" s="249" t="n"/>
      <c r="C521" s="249" t="n"/>
      <c r="D521" s="249" t="n"/>
      <c r="E521" s="249" t="n"/>
      <c r="F521" s="249" t="n"/>
      <c r="G521" s="249" t="n"/>
      <c r="H521" s="249" t="n"/>
    </row>
    <row r="522" ht="13" customHeight="1" s="250">
      <c r="A522" s="249" t="n"/>
      <c r="B522" s="249" t="n"/>
      <c r="C522" s="249" t="n"/>
      <c r="D522" s="249" t="n"/>
      <c r="E522" s="249" t="n"/>
      <c r="F522" s="249" t="n"/>
      <c r="G522" s="249" t="n"/>
      <c r="H522" s="249" t="n"/>
    </row>
    <row r="523" ht="13" customHeight="1" s="250">
      <c r="A523" s="249" t="n"/>
      <c r="B523" s="249" t="n"/>
      <c r="C523" s="249" t="n"/>
      <c r="D523" s="249" t="n"/>
      <c r="E523" s="249" t="n"/>
      <c r="F523" s="249" t="n"/>
      <c r="G523" s="249" t="n"/>
      <c r="H523" s="249" t="n"/>
    </row>
    <row r="524" ht="13" customHeight="1" s="250">
      <c r="A524" s="249" t="n"/>
      <c r="B524" s="249" t="n"/>
      <c r="C524" s="249" t="n"/>
      <c r="D524" s="249" t="n"/>
      <c r="E524" s="249" t="n"/>
      <c r="F524" s="249" t="n"/>
      <c r="G524" s="249" t="n"/>
      <c r="H524" s="249" t="n"/>
    </row>
    <row r="525" ht="13" customHeight="1" s="250">
      <c r="A525" s="249" t="n"/>
      <c r="B525" s="249" t="n"/>
      <c r="C525" s="249" t="n"/>
      <c r="D525" s="249" t="n"/>
      <c r="E525" s="249" t="n"/>
      <c r="F525" s="249" t="n"/>
      <c r="G525" s="249" t="n"/>
      <c r="H525" s="249" t="n"/>
    </row>
    <row r="526" ht="13" customHeight="1" s="250">
      <c r="A526" s="249" t="n"/>
      <c r="B526" s="249" t="n"/>
      <c r="C526" s="249" t="n"/>
      <c r="D526" s="249" t="n"/>
      <c r="E526" s="249" t="n"/>
      <c r="F526" s="249" t="n"/>
      <c r="G526" s="249" t="n"/>
      <c r="H526" s="249" t="n"/>
    </row>
    <row r="527" ht="13" customHeight="1" s="250">
      <c r="A527" s="249" t="n"/>
      <c r="B527" s="249" t="n"/>
      <c r="C527" s="249" t="n"/>
      <c r="D527" s="249" t="n"/>
      <c r="E527" s="249" t="n"/>
      <c r="F527" s="249" t="n"/>
      <c r="G527" s="249" t="n"/>
      <c r="H527" s="249" t="n"/>
    </row>
    <row r="528" ht="13" customHeight="1" s="250">
      <c r="A528" s="249" t="n"/>
      <c r="B528" s="249" t="n"/>
      <c r="C528" s="249" t="n"/>
      <c r="D528" s="249" t="n"/>
      <c r="E528" s="249" t="n"/>
      <c r="F528" s="249" t="n"/>
      <c r="G528" s="249" t="n"/>
      <c r="H528" s="249" t="n"/>
    </row>
    <row r="529" ht="13" customHeight="1" s="250">
      <c r="A529" s="249" t="n"/>
      <c r="B529" s="249" t="n"/>
      <c r="C529" s="249" t="n"/>
      <c r="D529" s="249" t="n"/>
      <c r="E529" s="249" t="n"/>
      <c r="F529" s="249" t="n"/>
      <c r="G529" s="249" t="n"/>
      <c r="H529" s="249" t="n"/>
    </row>
    <row r="530" ht="13" customHeight="1" s="250">
      <c r="A530" s="249" t="n"/>
      <c r="B530" s="249" t="n"/>
      <c r="C530" s="249" t="n"/>
      <c r="D530" s="249" t="n"/>
      <c r="E530" s="249" t="n"/>
      <c r="F530" s="249" t="n"/>
      <c r="G530" s="249" t="n"/>
      <c r="H530" s="249" t="n"/>
    </row>
    <row r="531" ht="13" customHeight="1" s="250">
      <c r="A531" s="249" t="n"/>
      <c r="B531" s="249" t="n"/>
      <c r="C531" s="249" t="n"/>
      <c r="D531" s="249" t="n"/>
      <c r="E531" s="249" t="n"/>
      <c r="F531" s="249" t="n"/>
      <c r="G531" s="249" t="n"/>
      <c r="H531" s="249" t="n"/>
    </row>
    <row r="532" ht="13" customHeight="1" s="250">
      <c r="A532" s="249" t="n"/>
      <c r="B532" s="249" t="n"/>
      <c r="C532" s="249" t="n"/>
      <c r="D532" s="249" t="n"/>
      <c r="E532" s="249" t="n"/>
      <c r="F532" s="249" t="n"/>
      <c r="G532" s="249" t="n"/>
      <c r="H532" s="249" t="n"/>
    </row>
    <row r="533" ht="13" customHeight="1" s="250">
      <c r="A533" s="249" t="n"/>
      <c r="B533" s="249" t="n"/>
      <c r="C533" s="249" t="n"/>
      <c r="D533" s="249" t="n"/>
      <c r="E533" s="249" t="n"/>
      <c r="F533" s="249" t="n"/>
      <c r="G533" s="249" t="n"/>
      <c r="H533" s="249" t="n"/>
    </row>
    <row r="534" ht="13" customHeight="1" s="250">
      <c r="A534" s="249" t="n"/>
      <c r="B534" s="249" t="n"/>
      <c r="C534" s="249" t="n"/>
      <c r="D534" s="249" t="n"/>
      <c r="E534" s="249" t="n"/>
      <c r="F534" s="249" t="n"/>
      <c r="G534" s="249" t="n"/>
      <c r="H534" s="249" t="n"/>
    </row>
    <row r="535" ht="13" customHeight="1" s="250">
      <c r="A535" s="249" t="n"/>
      <c r="B535" s="249" t="n"/>
      <c r="C535" s="249" t="n"/>
      <c r="D535" s="249" t="n"/>
      <c r="E535" s="249" t="n"/>
      <c r="F535" s="249" t="n"/>
      <c r="G535" s="249" t="n"/>
      <c r="H535" s="249" t="n"/>
    </row>
    <row r="536" ht="13" customHeight="1" s="250">
      <c r="A536" s="249" t="n"/>
      <c r="B536" s="249" t="n"/>
      <c r="C536" s="249" t="n"/>
      <c r="D536" s="249" t="n"/>
      <c r="E536" s="249" t="n"/>
      <c r="F536" s="249" t="n"/>
      <c r="G536" s="249" t="n"/>
      <c r="H536" s="249" t="n"/>
    </row>
    <row r="537" ht="13" customHeight="1" s="250">
      <c r="A537" s="249" t="n"/>
      <c r="B537" s="249" t="n"/>
      <c r="C537" s="249" t="n"/>
      <c r="D537" s="249" t="n"/>
      <c r="E537" s="249" t="n"/>
      <c r="F537" s="249" t="n"/>
      <c r="G537" s="249" t="n"/>
      <c r="H537" s="249" t="n"/>
    </row>
    <row r="538" ht="13" customHeight="1" s="250">
      <c r="A538" s="249" t="n"/>
      <c r="B538" s="249" t="n"/>
      <c r="C538" s="249" t="n"/>
      <c r="D538" s="249" t="n"/>
      <c r="E538" s="249" t="n"/>
      <c r="F538" s="249" t="n"/>
      <c r="G538" s="249" t="n"/>
      <c r="H538" s="249" t="n"/>
    </row>
    <row r="539" ht="13" customHeight="1" s="250">
      <c r="A539" s="249" t="n"/>
      <c r="B539" s="249" t="n"/>
      <c r="C539" s="249" t="n"/>
      <c r="D539" s="249" t="n"/>
      <c r="E539" s="249" t="n"/>
      <c r="F539" s="249" t="n"/>
      <c r="G539" s="249" t="n"/>
      <c r="H539" s="249" t="n"/>
    </row>
    <row r="540" ht="13" customHeight="1" s="250">
      <c r="A540" s="249" t="n"/>
      <c r="B540" s="249" t="n"/>
      <c r="C540" s="249" t="n"/>
      <c r="D540" s="249" t="n"/>
      <c r="E540" s="249" t="n"/>
      <c r="F540" s="249" t="n"/>
      <c r="G540" s="249" t="n"/>
      <c r="H540" s="249" t="n"/>
    </row>
    <row r="541" ht="13" customHeight="1" s="250">
      <c r="A541" s="249" t="n"/>
      <c r="B541" s="249" t="n"/>
      <c r="C541" s="249" t="n"/>
      <c r="D541" s="249" t="n"/>
      <c r="E541" s="249" t="n"/>
      <c r="F541" s="249" t="n"/>
      <c r="G541" s="249" t="n"/>
      <c r="H541" s="249" t="n"/>
    </row>
    <row r="542" ht="13" customHeight="1" s="250">
      <c r="A542" s="249" t="n"/>
      <c r="B542" s="249" t="n"/>
      <c r="C542" s="249" t="n"/>
      <c r="D542" s="249" t="n"/>
      <c r="E542" s="249" t="n"/>
      <c r="F542" s="249" t="n"/>
      <c r="G542" s="249" t="n"/>
      <c r="H542" s="249" t="n"/>
    </row>
    <row r="543" ht="13" customHeight="1" s="250">
      <c r="A543" s="249" t="n"/>
      <c r="B543" s="249" t="n"/>
      <c r="C543" s="249" t="n"/>
      <c r="D543" s="249" t="n"/>
      <c r="E543" s="249" t="n"/>
      <c r="F543" s="249" t="n"/>
      <c r="G543" s="249" t="n"/>
      <c r="H543" s="249" t="n"/>
    </row>
    <row r="544" ht="13" customHeight="1" s="250">
      <c r="A544" s="249" t="n"/>
      <c r="B544" s="249" t="n"/>
      <c r="C544" s="249" t="n"/>
      <c r="D544" s="249" t="n"/>
      <c r="E544" s="249" t="n"/>
      <c r="F544" s="249" t="n"/>
      <c r="G544" s="249" t="n"/>
      <c r="H544" s="249" t="n"/>
    </row>
    <row r="545" ht="13" customHeight="1" s="250">
      <c r="A545" s="249" t="n"/>
      <c r="B545" s="249" t="n"/>
      <c r="C545" s="249" t="n"/>
      <c r="D545" s="249" t="n"/>
      <c r="E545" s="249" t="n"/>
      <c r="F545" s="249" t="n"/>
      <c r="G545" s="249" t="n"/>
      <c r="H545" s="249" t="n"/>
    </row>
    <row r="546" ht="13" customHeight="1" s="250">
      <c r="A546" s="249" t="n"/>
      <c r="B546" s="249" t="n"/>
      <c r="C546" s="249" t="n"/>
      <c r="D546" s="249" t="n"/>
      <c r="E546" s="249" t="n"/>
      <c r="F546" s="249" t="n"/>
      <c r="G546" s="249" t="n"/>
      <c r="H546" s="249" t="n"/>
    </row>
    <row r="547" ht="13" customHeight="1" s="250">
      <c r="A547" s="249" t="n"/>
      <c r="B547" s="249" t="n"/>
      <c r="C547" s="249" t="n"/>
      <c r="D547" s="249" t="n"/>
      <c r="E547" s="249" t="n"/>
      <c r="F547" s="249" t="n"/>
      <c r="G547" s="249" t="n"/>
      <c r="H547" s="249" t="n"/>
    </row>
    <row r="548" ht="13" customHeight="1" s="250">
      <c r="A548" s="249" t="n"/>
      <c r="B548" s="249" t="n"/>
      <c r="C548" s="249" t="n"/>
      <c r="D548" s="249" t="n"/>
      <c r="E548" s="249" t="n"/>
      <c r="F548" s="249" t="n"/>
      <c r="G548" s="249" t="n"/>
      <c r="H548" s="249" t="n"/>
    </row>
    <row r="549" ht="13" customHeight="1" s="250">
      <c r="A549" s="249" t="n"/>
      <c r="B549" s="249" t="n"/>
      <c r="C549" s="249" t="n"/>
      <c r="D549" s="249" t="n"/>
      <c r="E549" s="249" t="n"/>
      <c r="F549" s="249" t="n"/>
      <c r="G549" s="249" t="n"/>
      <c r="H549" s="249" t="n"/>
    </row>
    <row r="550" ht="13" customHeight="1" s="250">
      <c r="A550" s="249" t="n"/>
      <c r="B550" s="249" t="n"/>
      <c r="C550" s="249" t="n"/>
      <c r="D550" s="249" t="n"/>
      <c r="E550" s="249" t="n"/>
      <c r="F550" s="249" t="n"/>
      <c r="G550" s="249" t="n"/>
      <c r="H550" s="249" t="n"/>
    </row>
    <row r="551" ht="13" customHeight="1" s="250">
      <c r="A551" s="249" t="n"/>
      <c r="B551" s="249" t="n"/>
      <c r="C551" s="249" t="n"/>
      <c r="D551" s="249" t="n"/>
      <c r="E551" s="249" t="n"/>
      <c r="F551" s="249" t="n"/>
      <c r="G551" s="249" t="n"/>
      <c r="H551" s="249" t="n"/>
    </row>
    <row r="552" ht="13" customHeight="1" s="250">
      <c r="A552" s="249" t="n"/>
      <c r="B552" s="249" t="n"/>
      <c r="C552" s="249" t="n"/>
      <c r="D552" s="249" t="n"/>
      <c r="E552" s="249" t="n"/>
      <c r="F552" s="249" t="n"/>
      <c r="G552" s="249" t="n"/>
      <c r="H552" s="249" t="n"/>
    </row>
    <row r="553" ht="13" customHeight="1" s="250">
      <c r="A553" s="249" t="n"/>
      <c r="B553" s="249" t="n"/>
      <c r="C553" s="249" t="n"/>
      <c r="D553" s="249" t="n"/>
      <c r="E553" s="249" t="n"/>
      <c r="F553" s="249" t="n"/>
      <c r="G553" s="249" t="n"/>
      <c r="H553" s="249" t="n"/>
    </row>
    <row r="554" ht="13" customHeight="1" s="250">
      <c r="A554" s="249" t="n"/>
      <c r="B554" s="249" t="n"/>
      <c r="C554" s="249" t="n"/>
      <c r="D554" s="249" t="n"/>
      <c r="E554" s="249" t="n"/>
      <c r="F554" s="249" t="n"/>
      <c r="G554" s="249" t="n"/>
      <c r="H554" s="249" t="n"/>
    </row>
    <row r="555" ht="13" customHeight="1" s="250">
      <c r="A555" s="249" t="n"/>
      <c r="B555" s="249" t="n"/>
      <c r="C555" s="249" t="n"/>
      <c r="D555" s="249" t="n"/>
      <c r="E555" s="249" t="n"/>
      <c r="F555" s="249" t="n"/>
      <c r="G555" s="249" t="n"/>
      <c r="H555" s="249" t="n"/>
    </row>
    <row r="556" ht="13" customHeight="1" s="250">
      <c r="A556" s="249" t="n"/>
      <c r="B556" s="249" t="n"/>
      <c r="C556" s="249" t="n"/>
      <c r="D556" s="249" t="n"/>
      <c r="E556" s="249" t="n"/>
      <c r="F556" s="249" t="n"/>
      <c r="G556" s="249" t="n"/>
      <c r="H556" s="249" t="n"/>
    </row>
    <row r="557" ht="13" customHeight="1" s="250">
      <c r="A557" s="249" t="n"/>
      <c r="B557" s="249" t="n"/>
      <c r="C557" s="249" t="n"/>
      <c r="D557" s="249" t="n"/>
      <c r="E557" s="249" t="n"/>
      <c r="F557" s="249" t="n"/>
      <c r="G557" s="249" t="n"/>
      <c r="H557" s="249" t="n"/>
    </row>
    <row r="558" ht="13" customHeight="1" s="250">
      <c r="A558" s="249" t="n"/>
      <c r="B558" s="249" t="n"/>
      <c r="C558" s="249" t="n"/>
      <c r="D558" s="249" t="n"/>
      <c r="E558" s="249" t="n"/>
      <c r="F558" s="249" t="n"/>
      <c r="G558" s="249" t="n"/>
      <c r="H558" s="249" t="n"/>
    </row>
    <row r="559" ht="13" customHeight="1" s="250">
      <c r="A559" s="249" t="n"/>
      <c r="B559" s="249" t="n"/>
      <c r="C559" s="249" t="n"/>
      <c r="D559" s="249" t="n"/>
      <c r="E559" s="249" t="n"/>
      <c r="F559" s="249" t="n"/>
      <c r="G559" s="249" t="n"/>
      <c r="H559" s="249" t="n"/>
    </row>
    <row r="560" ht="13" customHeight="1" s="250">
      <c r="A560" s="249" t="n"/>
      <c r="B560" s="249" t="n"/>
      <c r="C560" s="249" t="n"/>
      <c r="D560" s="249" t="n"/>
      <c r="E560" s="249" t="n"/>
      <c r="F560" s="249" t="n"/>
      <c r="G560" s="249" t="n"/>
      <c r="H560" s="249" t="n"/>
    </row>
    <row r="561" ht="13" customHeight="1" s="250">
      <c r="A561" s="249" t="n"/>
      <c r="B561" s="249" t="n"/>
      <c r="C561" s="249" t="n"/>
      <c r="D561" s="249" t="n"/>
      <c r="E561" s="249" t="n"/>
      <c r="F561" s="249" t="n"/>
      <c r="G561" s="249" t="n"/>
      <c r="H561" s="249" t="n"/>
    </row>
    <row r="562" ht="13" customHeight="1" s="250">
      <c r="A562" s="249" t="n"/>
      <c r="B562" s="249" t="n"/>
      <c r="C562" s="249" t="n"/>
      <c r="D562" s="249" t="n"/>
      <c r="E562" s="249" t="n"/>
      <c r="F562" s="249" t="n"/>
      <c r="G562" s="249" t="n"/>
      <c r="H562" s="249" t="n"/>
    </row>
    <row r="563" ht="13" customHeight="1" s="250">
      <c r="A563" s="249" t="n"/>
      <c r="B563" s="249" t="n"/>
      <c r="C563" s="249" t="n"/>
      <c r="D563" s="249" t="n"/>
      <c r="E563" s="249" t="n"/>
      <c r="F563" s="249" t="n"/>
      <c r="G563" s="249" t="n"/>
      <c r="H563" s="249" t="n"/>
    </row>
    <row r="564" ht="13" customHeight="1" s="250">
      <c r="A564" s="249" t="n"/>
      <c r="B564" s="249" t="n"/>
      <c r="C564" s="249" t="n"/>
      <c r="D564" s="249" t="n"/>
      <c r="E564" s="249" t="n"/>
      <c r="F564" s="249" t="n"/>
      <c r="G564" s="249" t="n"/>
      <c r="H564" s="249" t="n"/>
    </row>
    <row r="565" ht="13" customHeight="1" s="250">
      <c r="A565" s="249" t="n"/>
      <c r="B565" s="249" t="n"/>
      <c r="C565" s="249" t="n"/>
      <c r="D565" s="249" t="n"/>
      <c r="E565" s="249" t="n"/>
      <c r="F565" s="249" t="n"/>
      <c r="G565" s="249" t="n"/>
      <c r="H565" s="249" t="n"/>
    </row>
    <row r="566" ht="13" customHeight="1" s="250">
      <c r="A566" s="249" t="n"/>
      <c r="B566" s="249" t="n"/>
      <c r="C566" s="249" t="n"/>
      <c r="D566" s="249" t="n"/>
      <c r="E566" s="249" t="n"/>
      <c r="F566" s="249" t="n"/>
      <c r="G566" s="249" t="n"/>
      <c r="H566" s="249" t="n"/>
    </row>
    <row r="567" ht="13" customHeight="1" s="250">
      <c r="A567" s="249" t="n"/>
      <c r="B567" s="249" t="n"/>
      <c r="C567" s="249" t="n"/>
      <c r="D567" s="249" t="n"/>
      <c r="E567" s="249" t="n"/>
      <c r="F567" s="249" t="n"/>
      <c r="G567" s="249" t="n"/>
      <c r="H567" s="249" t="n"/>
    </row>
    <row r="568" ht="13" customHeight="1" s="250">
      <c r="A568" s="249" t="n"/>
      <c r="B568" s="249" t="n"/>
      <c r="C568" s="249" t="n"/>
      <c r="D568" s="249" t="n"/>
      <c r="E568" s="249" t="n"/>
      <c r="F568" s="249" t="n"/>
      <c r="G568" s="249" t="n"/>
      <c r="H568" s="249" t="n"/>
    </row>
    <row r="569" ht="13" customHeight="1" s="250">
      <c r="A569" s="249" t="n"/>
      <c r="B569" s="249" t="n"/>
      <c r="C569" s="249" t="n"/>
      <c r="D569" s="249" t="n"/>
      <c r="E569" s="249" t="n"/>
      <c r="F569" s="249" t="n"/>
      <c r="G569" s="249" t="n"/>
      <c r="H569" s="249" t="n"/>
    </row>
    <row r="570" ht="13" customHeight="1" s="250">
      <c r="A570" s="249" t="n"/>
      <c r="B570" s="249" t="n"/>
      <c r="C570" s="249" t="n"/>
      <c r="D570" s="249" t="n"/>
      <c r="E570" s="249" t="n"/>
      <c r="F570" s="249" t="n"/>
      <c r="G570" s="249" t="n"/>
      <c r="H570" s="249" t="n"/>
    </row>
    <row r="571" ht="13" customHeight="1" s="250">
      <c r="A571" s="249" t="n"/>
      <c r="B571" s="249" t="n"/>
      <c r="C571" s="249" t="n"/>
      <c r="D571" s="249" t="n"/>
      <c r="E571" s="249" t="n"/>
      <c r="F571" s="249" t="n"/>
      <c r="G571" s="249" t="n"/>
      <c r="H571" s="249" t="n"/>
    </row>
    <row r="572" ht="13" customHeight="1" s="250">
      <c r="A572" s="249" t="n"/>
      <c r="B572" s="249" t="n"/>
      <c r="C572" s="249" t="n"/>
      <c r="D572" s="249" t="n"/>
      <c r="E572" s="249" t="n"/>
      <c r="F572" s="249" t="n"/>
      <c r="G572" s="249" t="n"/>
      <c r="H572" s="249" t="n"/>
    </row>
    <row r="573" ht="13" customHeight="1" s="250">
      <c r="A573" s="249" t="n"/>
      <c r="B573" s="249" t="n"/>
      <c r="C573" s="249" t="n"/>
      <c r="D573" s="249" t="n"/>
      <c r="E573" s="249" t="n"/>
      <c r="F573" s="249" t="n"/>
      <c r="G573" s="249" t="n"/>
      <c r="H573" s="249" t="n"/>
    </row>
    <row r="574" ht="13" customHeight="1" s="250">
      <c r="A574" s="249" t="n"/>
      <c r="B574" s="249" t="n"/>
      <c r="C574" s="249" t="n"/>
      <c r="D574" s="249" t="n"/>
      <c r="E574" s="249" t="n"/>
      <c r="F574" s="249" t="n"/>
      <c r="G574" s="249" t="n"/>
      <c r="H574" s="249" t="n"/>
    </row>
    <row r="575" ht="13" customHeight="1" s="250">
      <c r="A575" s="249" t="n"/>
      <c r="B575" s="249" t="n"/>
      <c r="C575" s="249" t="n"/>
      <c r="D575" s="249" t="n"/>
      <c r="E575" s="249" t="n"/>
      <c r="F575" s="249" t="n"/>
      <c r="G575" s="249" t="n"/>
      <c r="H575" s="249" t="n"/>
    </row>
    <row r="576" ht="13" customHeight="1" s="250">
      <c r="A576" s="249" t="n"/>
      <c r="B576" s="249" t="n"/>
      <c r="C576" s="249" t="n"/>
      <c r="D576" s="249" t="n"/>
      <c r="E576" s="249" t="n"/>
      <c r="F576" s="249" t="n"/>
      <c r="G576" s="249" t="n"/>
      <c r="H576" s="249" t="n"/>
    </row>
    <row r="577" ht="13" customHeight="1" s="250">
      <c r="A577" s="249" t="n"/>
      <c r="B577" s="249" t="n"/>
      <c r="C577" s="249" t="n"/>
      <c r="D577" s="249" t="n"/>
      <c r="E577" s="249" t="n"/>
      <c r="F577" s="249" t="n"/>
      <c r="G577" s="249" t="n"/>
      <c r="H577" s="249" t="n"/>
    </row>
    <row r="578" ht="13" customHeight="1" s="250">
      <c r="A578" s="249" t="n"/>
      <c r="B578" s="249" t="n"/>
      <c r="C578" s="249" t="n"/>
      <c r="D578" s="249" t="n"/>
      <c r="E578" s="249" t="n"/>
      <c r="F578" s="249" t="n"/>
      <c r="G578" s="249" t="n"/>
      <c r="H578" s="249" t="n"/>
    </row>
    <row r="579" ht="13" customHeight="1" s="250">
      <c r="A579" s="249" t="n"/>
      <c r="B579" s="249" t="n"/>
      <c r="C579" s="249" t="n"/>
      <c r="D579" s="249" t="n"/>
      <c r="E579" s="249" t="n"/>
      <c r="F579" s="249" t="n"/>
      <c r="G579" s="249" t="n"/>
      <c r="H579" s="249" t="n"/>
    </row>
    <row r="580" ht="13" customHeight="1" s="250">
      <c r="A580" s="249" t="n"/>
      <c r="B580" s="249" t="n"/>
      <c r="C580" s="249" t="n"/>
      <c r="D580" s="249" t="n"/>
      <c r="E580" s="249" t="n"/>
      <c r="F580" s="249" t="n"/>
      <c r="G580" s="249" t="n"/>
      <c r="H580" s="249" t="n"/>
    </row>
    <row r="581" ht="13" customHeight="1" s="250">
      <c r="A581" s="249" t="n"/>
      <c r="B581" s="249" t="n"/>
      <c r="C581" s="249" t="n"/>
      <c r="D581" s="249" t="n"/>
      <c r="E581" s="249" t="n"/>
      <c r="F581" s="249" t="n"/>
      <c r="G581" s="249" t="n"/>
      <c r="H581" s="249" t="n"/>
    </row>
    <row r="582" ht="13" customHeight="1" s="250">
      <c r="A582" s="249" t="n"/>
      <c r="B582" s="249" t="n"/>
      <c r="C582" s="249" t="n"/>
      <c r="D582" s="249" t="n"/>
      <c r="E582" s="249" t="n"/>
      <c r="F582" s="249" t="n"/>
      <c r="G582" s="249" t="n"/>
      <c r="H582" s="249" t="n"/>
    </row>
    <row r="583" ht="13" customHeight="1" s="250">
      <c r="A583" s="249" t="n"/>
      <c r="B583" s="249" t="n"/>
      <c r="C583" s="249" t="n"/>
      <c r="D583" s="249" t="n"/>
      <c r="E583" s="249" t="n"/>
      <c r="F583" s="249" t="n"/>
      <c r="G583" s="249" t="n"/>
      <c r="H583" s="249" t="n"/>
    </row>
    <row r="584" ht="13" customHeight="1" s="250">
      <c r="A584" s="249" t="n"/>
      <c r="B584" s="249" t="n"/>
      <c r="C584" s="249" t="n"/>
      <c r="D584" s="249" t="n"/>
      <c r="E584" s="249" t="n"/>
      <c r="F584" s="249" t="n"/>
      <c r="G584" s="249" t="n"/>
      <c r="H584" s="249" t="n"/>
    </row>
    <row r="585" ht="13" customHeight="1" s="250">
      <c r="A585" s="249" t="n"/>
      <c r="B585" s="249" t="n"/>
      <c r="C585" s="249" t="n"/>
      <c r="D585" s="249" t="n"/>
      <c r="E585" s="249" t="n"/>
      <c r="F585" s="249" t="n"/>
      <c r="G585" s="249" t="n"/>
      <c r="H585" s="249" t="n"/>
    </row>
    <row r="586" ht="13" customHeight="1" s="250">
      <c r="A586" s="249" t="n"/>
      <c r="B586" s="249" t="n"/>
      <c r="C586" s="249" t="n"/>
      <c r="D586" s="249" t="n"/>
      <c r="E586" s="249" t="n"/>
      <c r="F586" s="249" t="n"/>
      <c r="G586" s="249" t="n"/>
      <c r="H586" s="249" t="n"/>
    </row>
    <row r="587" ht="13" customHeight="1" s="250">
      <c r="A587" s="249" t="n"/>
      <c r="B587" s="249" t="n"/>
      <c r="C587" s="249" t="n"/>
      <c r="D587" s="249" t="n"/>
      <c r="E587" s="249" t="n"/>
      <c r="F587" s="249" t="n"/>
      <c r="G587" s="249" t="n"/>
      <c r="H587" s="249" t="n"/>
    </row>
    <row r="588" ht="13" customHeight="1" s="250">
      <c r="A588" s="249" t="n"/>
      <c r="B588" s="249" t="n"/>
      <c r="C588" s="249" t="n"/>
      <c r="D588" s="249" t="n"/>
      <c r="E588" s="249" t="n"/>
      <c r="F588" s="249" t="n"/>
      <c r="G588" s="249" t="n"/>
      <c r="H588" s="249" t="n"/>
    </row>
    <row r="589" ht="13" customHeight="1" s="250">
      <c r="A589" s="249" t="n"/>
      <c r="B589" s="249" t="n"/>
      <c r="C589" s="249" t="n"/>
      <c r="D589" s="249" t="n"/>
      <c r="E589" s="249" t="n"/>
      <c r="F589" s="249" t="n"/>
      <c r="G589" s="249" t="n"/>
      <c r="H589" s="249" t="n"/>
    </row>
    <row r="590" ht="13" customHeight="1" s="250">
      <c r="A590" s="249" t="n"/>
      <c r="B590" s="249" t="n"/>
      <c r="C590" s="249" t="n"/>
      <c r="D590" s="249" t="n"/>
      <c r="E590" s="249" t="n"/>
      <c r="F590" s="249" t="n"/>
      <c r="G590" s="249" t="n"/>
      <c r="H590" s="249" t="n"/>
    </row>
    <row r="591" ht="13" customHeight="1" s="250">
      <c r="A591" s="249" t="n"/>
      <c r="B591" s="249" t="n"/>
      <c r="C591" s="249" t="n"/>
      <c r="D591" s="249" t="n"/>
      <c r="E591" s="249" t="n"/>
      <c r="F591" s="249" t="n"/>
      <c r="G591" s="249" t="n"/>
      <c r="H591" s="249" t="n"/>
    </row>
    <row r="592" ht="13" customHeight="1" s="250">
      <c r="A592" s="249" t="n"/>
      <c r="B592" s="249" t="n"/>
      <c r="C592" s="249" t="n"/>
      <c r="D592" s="249" t="n"/>
      <c r="E592" s="249" t="n"/>
      <c r="F592" s="249" t="n"/>
      <c r="G592" s="249" t="n"/>
      <c r="H592" s="249" t="n"/>
    </row>
    <row r="593" ht="13" customHeight="1" s="250">
      <c r="A593" s="249" t="n"/>
      <c r="B593" s="249" t="n"/>
      <c r="C593" s="249" t="n"/>
      <c r="D593" s="249" t="n"/>
      <c r="E593" s="249" t="n"/>
      <c r="F593" s="249" t="n"/>
      <c r="G593" s="249" t="n"/>
      <c r="H593" s="249" t="n"/>
    </row>
    <row r="594" ht="13" customHeight="1" s="250">
      <c r="A594" s="249" t="n"/>
      <c r="B594" s="249" t="n"/>
      <c r="C594" s="249" t="n"/>
      <c r="D594" s="249" t="n"/>
      <c r="E594" s="249" t="n"/>
      <c r="F594" s="249" t="n"/>
      <c r="G594" s="249" t="n"/>
      <c r="H594" s="249" t="n"/>
    </row>
    <row r="595" ht="13" customHeight="1" s="250">
      <c r="A595" s="249" t="n"/>
      <c r="B595" s="249" t="n"/>
      <c r="C595" s="249" t="n"/>
      <c r="D595" s="249" t="n"/>
      <c r="E595" s="249" t="n"/>
      <c r="F595" s="249" t="n"/>
      <c r="G595" s="249" t="n"/>
      <c r="H595" s="249" t="n"/>
    </row>
    <row r="596" ht="13" customHeight="1" s="250">
      <c r="A596" s="249" t="n"/>
      <c r="B596" s="249" t="n"/>
      <c r="C596" s="249" t="n"/>
      <c r="D596" s="249" t="n"/>
      <c r="E596" s="249" t="n"/>
      <c r="F596" s="249" t="n"/>
      <c r="G596" s="249" t="n"/>
      <c r="H596" s="249" t="n"/>
    </row>
    <row r="597" ht="13" customHeight="1" s="250">
      <c r="A597" s="249" t="n"/>
      <c r="B597" s="249" t="n"/>
      <c r="C597" s="249" t="n"/>
      <c r="D597" s="249" t="n"/>
      <c r="E597" s="249" t="n"/>
      <c r="F597" s="249" t="n"/>
      <c r="G597" s="249" t="n"/>
      <c r="H597" s="249" t="n"/>
    </row>
    <row r="598" ht="13" customHeight="1" s="250">
      <c r="A598" s="249" t="n"/>
      <c r="B598" s="249" t="n"/>
      <c r="C598" s="249" t="n"/>
      <c r="D598" s="249" t="n"/>
      <c r="E598" s="249" t="n"/>
      <c r="F598" s="249" t="n"/>
      <c r="G598" s="249" t="n"/>
      <c r="H598" s="249" t="n"/>
    </row>
    <row r="599" ht="13" customHeight="1" s="250">
      <c r="A599" s="249" t="n"/>
      <c r="B599" s="249" t="n"/>
      <c r="C599" s="249" t="n"/>
      <c r="D599" s="249" t="n"/>
      <c r="E599" s="249" t="n"/>
      <c r="F599" s="249" t="n"/>
      <c r="G599" s="249" t="n"/>
      <c r="H599" s="249" t="n"/>
    </row>
    <row r="600" ht="13" customHeight="1" s="250">
      <c r="A600" s="249" t="n"/>
      <c r="B600" s="249" t="n"/>
      <c r="C600" s="249" t="n"/>
      <c r="D600" s="249" t="n"/>
      <c r="E600" s="249" t="n"/>
      <c r="F600" s="249" t="n"/>
      <c r="G600" s="249" t="n"/>
      <c r="H600" s="249" t="n"/>
    </row>
    <row r="601" ht="13" customHeight="1" s="250">
      <c r="A601" s="249" t="n"/>
      <c r="B601" s="249" t="n"/>
      <c r="C601" s="249" t="n"/>
      <c r="D601" s="249" t="n"/>
      <c r="E601" s="249" t="n"/>
      <c r="F601" s="249" t="n"/>
      <c r="G601" s="249" t="n"/>
      <c r="H601" s="249" t="n"/>
    </row>
    <row r="602" ht="13" customHeight="1" s="250">
      <c r="A602" s="249" t="n"/>
      <c r="B602" s="249" t="n"/>
      <c r="C602" s="249" t="n"/>
      <c r="D602" s="249" t="n"/>
      <c r="E602" s="249" t="n"/>
      <c r="F602" s="249" t="n"/>
      <c r="G602" s="249" t="n"/>
      <c r="H602" s="249" t="n"/>
    </row>
    <row r="603" ht="13" customHeight="1" s="250">
      <c r="A603" s="249" t="n"/>
      <c r="B603" s="249" t="n"/>
      <c r="C603" s="249" t="n"/>
      <c r="D603" s="249" t="n"/>
      <c r="E603" s="249" t="n"/>
      <c r="F603" s="249" t="n"/>
      <c r="G603" s="249" t="n"/>
      <c r="H603" s="249" t="n"/>
    </row>
    <row r="604" ht="13" customHeight="1" s="250">
      <c r="A604" s="249" t="n"/>
      <c r="B604" s="249" t="n"/>
      <c r="C604" s="249" t="n"/>
      <c r="D604" s="249" t="n"/>
      <c r="E604" s="249" t="n"/>
      <c r="F604" s="249" t="n"/>
      <c r="G604" s="249" t="n"/>
      <c r="H604" s="249" t="n"/>
    </row>
    <row r="605" ht="13" customHeight="1" s="250">
      <c r="A605" s="249" t="n"/>
      <c r="B605" s="249" t="n"/>
      <c r="C605" s="249" t="n"/>
      <c r="D605" s="249" t="n"/>
      <c r="E605" s="249" t="n"/>
      <c r="F605" s="249" t="n"/>
      <c r="G605" s="249" t="n"/>
      <c r="H605" s="249" t="n"/>
    </row>
    <row r="606" ht="13" customHeight="1" s="250">
      <c r="A606" s="249" t="n"/>
      <c r="B606" s="249" t="n"/>
      <c r="C606" s="249" t="n"/>
      <c r="D606" s="249" t="n"/>
      <c r="E606" s="249" t="n"/>
      <c r="F606" s="249" t="n"/>
      <c r="G606" s="249" t="n"/>
      <c r="H606" s="249" t="n"/>
    </row>
    <row r="607" ht="13" customHeight="1" s="250">
      <c r="A607" s="249" t="n"/>
      <c r="B607" s="249" t="n"/>
      <c r="C607" s="249" t="n"/>
      <c r="D607" s="249" t="n"/>
      <c r="E607" s="249" t="n"/>
      <c r="F607" s="249" t="n"/>
      <c r="G607" s="249" t="n"/>
      <c r="H607" s="249" t="n"/>
    </row>
    <row r="608" ht="13" customHeight="1" s="250">
      <c r="A608" s="249" t="n"/>
      <c r="B608" s="249" t="n"/>
      <c r="C608" s="249" t="n"/>
      <c r="D608" s="249" t="n"/>
      <c r="E608" s="249" t="n"/>
      <c r="F608" s="249" t="n"/>
      <c r="G608" s="249" t="n"/>
      <c r="H608" s="249" t="n"/>
    </row>
    <row r="609" ht="13" customHeight="1" s="250">
      <c r="A609" s="249" t="n"/>
      <c r="B609" s="249" t="n"/>
      <c r="C609" s="249" t="n"/>
      <c r="D609" s="249" t="n"/>
      <c r="E609" s="249" t="n"/>
      <c r="F609" s="249" t="n"/>
      <c r="G609" s="249" t="n"/>
      <c r="H609" s="249" t="n"/>
    </row>
    <row r="610" ht="13" customHeight="1" s="250">
      <c r="A610" s="249" t="n"/>
      <c r="B610" s="249" t="n"/>
      <c r="C610" s="249" t="n"/>
      <c r="D610" s="249" t="n"/>
      <c r="E610" s="249" t="n"/>
      <c r="F610" s="249" t="n"/>
      <c r="G610" s="249" t="n"/>
      <c r="H610" s="249" t="n"/>
    </row>
    <row r="611" ht="13" customHeight="1" s="250">
      <c r="A611" s="249" t="n"/>
      <c r="B611" s="249" t="n"/>
      <c r="C611" s="249" t="n"/>
      <c r="D611" s="249" t="n"/>
      <c r="E611" s="249" t="n"/>
      <c r="F611" s="249" t="n"/>
      <c r="G611" s="249" t="n"/>
      <c r="H611" s="249" t="n"/>
    </row>
    <row r="612" ht="13" customHeight="1" s="250">
      <c r="A612" s="249" t="n"/>
      <c r="B612" s="249" t="n"/>
      <c r="C612" s="249" t="n"/>
      <c r="D612" s="249" t="n"/>
      <c r="E612" s="249" t="n"/>
      <c r="F612" s="249" t="n"/>
      <c r="G612" s="249" t="n"/>
      <c r="H612" s="249" t="n"/>
    </row>
    <row r="613" ht="13" customHeight="1" s="250">
      <c r="A613" s="249" t="n"/>
      <c r="B613" s="249" t="n"/>
      <c r="C613" s="249" t="n"/>
      <c r="D613" s="249" t="n"/>
      <c r="E613" s="249" t="n"/>
      <c r="F613" s="249" t="n"/>
      <c r="G613" s="249" t="n"/>
      <c r="H613" s="249" t="n"/>
    </row>
    <row r="614" ht="13" customHeight="1" s="250">
      <c r="A614" s="249" t="n"/>
      <c r="B614" s="249" t="n"/>
      <c r="C614" s="249" t="n"/>
      <c r="D614" s="249" t="n"/>
      <c r="E614" s="249" t="n"/>
      <c r="F614" s="249" t="n"/>
      <c r="G614" s="249" t="n"/>
      <c r="H614" s="249" t="n"/>
    </row>
    <row r="615" ht="13" customHeight="1" s="250">
      <c r="A615" s="249" t="n"/>
      <c r="B615" s="249" t="n"/>
      <c r="C615" s="249" t="n"/>
      <c r="D615" s="249" t="n"/>
      <c r="E615" s="249" t="n"/>
      <c r="F615" s="249" t="n"/>
      <c r="G615" s="249" t="n"/>
      <c r="H615" s="249" t="n"/>
    </row>
    <row r="616" ht="13" customHeight="1" s="250">
      <c r="A616" s="249" t="n"/>
      <c r="B616" s="249" t="n"/>
      <c r="C616" s="249" t="n"/>
      <c r="D616" s="249" t="n"/>
      <c r="E616" s="249" t="n"/>
      <c r="F616" s="249" t="n"/>
      <c r="G616" s="249" t="n"/>
      <c r="H616" s="249" t="n"/>
    </row>
    <row r="617" ht="13" customHeight="1" s="250">
      <c r="A617" s="249" t="n"/>
      <c r="B617" s="249" t="n"/>
      <c r="C617" s="249" t="n"/>
      <c r="D617" s="249" t="n"/>
      <c r="E617" s="249" t="n"/>
      <c r="F617" s="249" t="n"/>
      <c r="G617" s="249" t="n"/>
      <c r="H617" s="249" t="n"/>
    </row>
    <row r="618" ht="13" customHeight="1" s="250">
      <c r="A618" s="249" t="n"/>
      <c r="B618" s="249" t="n"/>
      <c r="C618" s="249" t="n"/>
      <c r="D618" s="249" t="n"/>
      <c r="E618" s="249" t="n"/>
      <c r="F618" s="249" t="n"/>
      <c r="G618" s="249" t="n"/>
      <c r="H618" s="249" t="n"/>
    </row>
    <row r="619" ht="13" customHeight="1" s="250">
      <c r="A619" s="249" t="n"/>
      <c r="B619" s="249" t="n"/>
      <c r="C619" s="249" t="n"/>
      <c r="D619" s="249" t="n"/>
      <c r="E619" s="249" t="n"/>
      <c r="F619" s="249" t="n"/>
      <c r="G619" s="249" t="n"/>
      <c r="H619" s="249" t="n"/>
    </row>
    <row r="620" ht="13" customHeight="1" s="250">
      <c r="A620" s="249" t="n"/>
      <c r="B620" s="249" t="n"/>
      <c r="C620" s="249" t="n"/>
      <c r="D620" s="249" t="n"/>
      <c r="E620" s="249" t="n"/>
      <c r="F620" s="249" t="n"/>
      <c r="G620" s="249" t="n"/>
      <c r="H620" s="249" t="n"/>
    </row>
    <row r="621" ht="13" customHeight="1" s="250">
      <c r="A621" s="249" t="n"/>
      <c r="B621" s="249" t="n"/>
      <c r="C621" s="249" t="n"/>
      <c r="D621" s="249" t="n"/>
      <c r="E621" s="249" t="n"/>
      <c r="F621" s="249" t="n"/>
      <c r="G621" s="249" t="n"/>
      <c r="H621" s="249" t="n"/>
    </row>
    <row r="622" ht="13" customHeight="1" s="250">
      <c r="A622" s="249" t="n"/>
      <c r="B622" s="249" t="n"/>
      <c r="C622" s="249" t="n"/>
      <c r="D622" s="249" t="n"/>
      <c r="E622" s="249" t="n"/>
      <c r="F622" s="249" t="n"/>
      <c r="G622" s="249" t="n"/>
      <c r="H622" s="249" t="n"/>
    </row>
    <row r="623" ht="13" customHeight="1" s="250">
      <c r="A623" s="249" t="n"/>
      <c r="B623" s="249" t="n"/>
      <c r="C623" s="249" t="n"/>
      <c r="D623" s="249" t="n"/>
      <c r="E623" s="249" t="n"/>
      <c r="F623" s="249" t="n"/>
      <c r="G623" s="249" t="n"/>
      <c r="H623" s="249" t="n"/>
    </row>
    <row r="624" ht="13" customHeight="1" s="250">
      <c r="A624" s="249" t="n"/>
      <c r="B624" s="249" t="n"/>
      <c r="C624" s="249" t="n"/>
      <c r="D624" s="249" t="n"/>
      <c r="E624" s="249" t="n"/>
      <c r="F624" s="249" t="n"/>
      <c r="G624" s="249" t="n"/>
      <c r="H624" s="249" t="n"/>
    </row>
    <row r="625" ht="13" customHeight="1" s="250">
      <c r="A625" s="249" t="n"/>
      <c r="B625" s="249" t="n"/>
      <c r="C625" s="249" t="n"/>
      <c r="D625" s="249" t="n"/>
      <c r="E625" s="249" t="n"/>
      <c r="F625" s="249" t="n"/>
      <c r="G625" s="249" t="n"/>
      <c r="H625" s="249" t="n"/>
    </row>
    <row r="626" ht="13" customHeight="1" s="250">
      <c r="A626" s="249" t="n"/>
      <c r="B626" s="249" t="n"/>
      <c r="C626" s="249" t="n"/>
      <c r="D626" s="249" t="n"/>
      <c r="E626" s="249" t="n"/>
      <c r="F626" s="249" t="n"/>
      <c r="G626" s="249" t="n"/>
      <c r="H626" s="249" t="n"/>
    </row>
    <row r="627" ht="13" customHeight="1" s="250">
      <c r="A627" s="249" t="n"/>
      <c r="B627" s="249" t="n"/>
      <c r="C627" s="249" t="n"/>
      <c r="D627" s="249" t="n"/>
      <c r="E627" s="249" t="n"/>
      <c r="F627" s="249" t="n"/>
      <c r="G627" s="249" t="n"/>
      <c r="H627" s="249" t="n"/>
    </row>
    <row r="628" ht="13" customHeight="1" s="250">
      <c r="A628" s="249" t="n"/>
      <c r="B628" s="249" t="n"/>
      <c r="C628" s="249" t="n"/>
      <c r="D628" s="249" t="n"/>
      <c r="E628" s="249" t="n"/>
      <c r="F628" s="249" t="n"/>
      <c r="G628" s="249" t="n"/>
      <c r="H628" s="249" t="n"/>
    </row>
    <row r="629" ht="13" customHeight="1" s="250">
      <c r="A629" s="249" t="n"/>
      <c r="B629" s="249" t="n"/>
      <c r="C629" s="249" t="n"/>
      <c r="D629" s="249" t="n"/>
      <c r="E629" s="249" t="n"/>
      <c r="F629" s="249" t="n"/>
      <c r="G629" s="249" t="n"/>
      <c r="H629" s="249" t="n"/>
    </row>
    <row r="630" ht="13" customHeight="1" s="250">
      <c r="A630" s="249" t="n"/>
      <c r="B630" s="249" t="n"/>
      <c r="C630" s="249" t="n"/>
      <c r="D630" s="249" t="n"/>
      <c r="E630" s="249" t="n"/>
      <c r="F630" s="249" t="n"/>
      <c r="G630" s="249" t="n"/>
      <c r="H630" s="249" t="n"/>
    </row>
    <row r="631" ht="13" customHeight="1" s="250">
      <c r="A631" s="249" t="n"/>
      <c r="B631" s="249" t="n"/>
      <c r="C631" s="249" t="n"/>
      <c r="D631" s="249" t="n"/>
      <c r="E631" s="249" t="n"/>
      <c r="F631" s="249" t="n"/>
      <c r="G631" s="249" t="n"/>
      <c r="H631" s="249" t="n"/>
    </row>
    <row r="632" ht="13" customHeight="1" s="250">
      <c r="A632" s="249" t="n"/>
      <c r="B632" s="249" t="n"/>
      <c r="C632" s="249" t="n"/>
      <c r="D632" s="249" t="n"/>
      <c r="E632" s="249" t="n"/>
      <c r="F632" s="249" t="n"/>
      <c r="G632" s="249" t="n"/>
      <c r="H632" s="249" t="n"/>
    </row>
    <row r="633" ht="13" customHeight="1" s="250">
      <c r="A633" s="249" t="n"/>
      <c r="B633" s="249" t="n"/>
      <c r="C633" s="249" t="n"/>
      <c r="D633" s="249" t="n"/>
      <c r="E633" s="249" t="n"/>
      <c r="F633" s="249" t="n"/>
      <c r="G633" s="249" t="n"/>
      <c r="H633" s="249" t="n"/>
    </row>
    <row r="634" ht="13" customHeight="1" s="250">
      <c r="A634" s="249" t="n"/>
      <c r="B634" s="249" t="n"/>
      <c r="C634" s="249" t="n"/>
      <c r="D634" s="249" t="n"/>
      <c r="E634" s="249" t="n"/>
      <c r="F634" s="249" t="n"/>
      <c r="G634" s="249" t="n"/>
      <c r="H634" s="249" t="n"/>
    </row>
    <row r="635" ht="13" customHeight="1" s="250">
      <c r="A635" s="249" t="n"/>
      <c r="B635" s="249" t="n"/>
      <c r="C635" s="249" t="n"/>
      <c r="D635" s="249" t="n"/>
      <c r="E635" s="249" t="n"/>
      <c r="F635" s="249" t="n"/>
      <c r="G635" s="249" t="n"/>
      <c r="H635" s="249" t="n"/>
    </row>
    <row r="636" ht="13" customHeight="1" s="250">
      <c r="A636" s="249" t="n"/>
      <c r="B636" s="249" t="n"/>
      <c r="C636" s="249" t="n"/>
      <c r="D636" s="249" t="n"/>
      <c r="E636" s="249" t="n"/>
      <c r="F636" s="249" t="n"/>
      <c r="G636" s="249" t="n"/>
      <c r="H636" s="249" t="n"/>
    </row>
    <row r="637" ht="13" customHeight="1" s="250">
      <c r="A637" s="249" t="n"/>
      <c r="B637" s="249" t="n"/>
      <c r="C637" s="249" t="n"/>
      <c r="D637" s="249" t="n"/>
      <c r="E637" s="249" t="n"/>
      <c r="F637" s="249" t="n"/>
      <c r="G637" s="249" t="n"/>
      <c r="H637" s="249" t="n"/>
    </row>
    <row r="638" ht="13" customHeight="1" s="250">
      <c r="A638" s="249" t="n"/>
      <c r="B638" s="249" t="n"/>
      <c r="C638" s="249" t="n"/>
      <c r="D638" s="249" t="n"/>
      <c r="E638" s="249" t="n"/>
      <c r="F638" s="249" t="n"/>
      <c r="G638" s="249" t="n"/>
      <c r="H638" s="249" t="n"/>
    </row>
    <row r="639" ht="13" customHeight="1" s="250">
      <c r="A639" s="249" t="n"/>
      <c r="B639" s="249" t="n"/>
      <c r="C639" s="249" t="n"/>
      <c r="D639" s="249" t="n"/>
      <c r="E639" s="249" t="n"/>
      <c r="F639" s="249" t="n"/>
      <c r="G639" s="249" t="n"/>
      <c r="H639" s="249" t="n"/>
    </row>
    <row r="640" ht="13" customHeight="1" s="250">
      <c r="A640" s="249" t="n"/>
      <c r="B640" s="249" t="n"/>
      <c r="C640" s="249" t="n"/>
      <c r="D640" s="249" t="n"/>
      <c r="E640" s="249" t="n"/>
      <c r="F640" s="249" t="n"/>
      <c r="G640" s="249" t="n"/>
      <c r="H640" s="249" t="n"/>
    </row>
    <row r="641" ht="13" customHeight="1" s="250">
      <c r="A641" s="249" t="n"/>
      <c r="B641" s="249" t="n"/>
      <c r="C641" s="249" t="n"/>
      <c r="D641" s="249" t="n"/>
      <c r="E641" s="249" t="n"/>
      <c r="F641" s="249" t="n"/>
      <c r="G641" s="249" t="n"/>
      <c r="H641" s="249" t="n"/>
    </row>
    <row r="642" ht="13" customHeight="1" s="250">
      <c r="A642" s="249" t="n"/>
      <c r="B642" s="249" t="n"/>
      <c r="C642" s="249" t="n"/>
      <c r="D642" s="249" t="n"/>
      <c r="E642" s="249" t="n"/>
      <c r="F642" s="249" t="n"/>
      <c r="G642" s="249" t="n"/>
      <c r="H642" s="249" t="n"/>
    </row>
    <row r="643" ht="13" customHeight="1" s="250">
      <c r="A643" s="249" t="n"/>
      <c r="B643" s="249" t="n"/>
      <c r="C643" s="249" t="n"/>
      <c r="D643" s="249" t="n"/>
      <c r="E643" s="249" t="n"/>
      <c r="F643" s="249" t="n"/>
      <c r="G643" s="249" t="n"/>
      <c r="H643" s="249" t="n"/>
    </row>
    <row r="644" ht="13" customHeight="1" s="250">
      <c r="A644" s="249" t="n"/>
      <c r="B644" s="249" t="n"/>
      <c r="C644" s="249" t="n"/>
      <c r="D644" s="249" t="n"/>
      <c r="E644" s="249" t="n"/>
      <c r="F644" s="249" t="n"/>
      <c r="G644" s="249" t="n"/>
      <c r="H644" s="249" t="n"/>
    </row>
    <row r="645" ht="13" customHeight="1" s="250">
      <c r="A645" s="249" t="n"/>
      <c r="B645" s="249" t="n"/>
      <c r="C645" s="249" t="n"/>
      <c r="D645" s="249" t="n"/>
      <c r="E645" s="249" t="n"/>
      <c r="F645" s="249" t="n"/>
      <c r="G645" s="249" t="n"/>
      <c r="H645" s="249" t="n"/>
    </row>
    <row r="646" ht="13" customHeight="1" s="250">
      <c r="A646" s="249" t="n"/>
      <c r="B646" s="249" t="n"/>
      <c r="C646" s="249" t="n"/>
      <c r="D646" s="249" t="n"/>
      <c r="E646" s="249" t="n"/>
      <c r="F646" s="249" t="n"/>
      <c r="G646" s="249" t="n"/>
      <c r="H646" s="249" t="n"/>
    </row>
    <row r="647" ht="13" customHeight="1" s="250">
      <c r="A647" s="249" t="n"/>
      <c r="B647" s="249" t="n"/>
      <c r="C647" s="249" t="n"/>
      <c r="D647" s="249" t="n"/>
      <c r="E647" s="249" t="n"/>
      <c r="F647" s="249" t="n"/>
      <c r="G647" s="249" t="n"/>
      <c r="H647" s="249" t="n"/>
    </row>
    <row r="648" ht="13" customHeight="1" s="250">
      <c r="A648" s="249" t="n"/>
      <c r="B648" s="249" t="n"/>
      <c r="C648" s="249" t="n"/>
      <c r="D648" s="249" t="n"/>
      <c r="E648" s="249" t="n"/>
      <c r="F648" s="249" t="n"/>
      <c r="G648" s="249" t="n"/>
      <c r="H648" s="249" t="n"/>
    </row>
    <row r="649" ht="13" customHeight="1" s="250">
      <c r="A649" s="249" t="n"/>
      <c r="B649" s="249" t="n"/>
      <c r="C649" s="249" t="n"/>
      <c r="D649" s="249" t="n"/>
      <c r="E649" s="249" t="n"/>
      <c r="F649" s="249" t="n"/>
      <c r="G649" s="249" t="n"/>
      <c r="H649" s="249" t="n"/>
    </row>
    <row r="650" ht="13" customHeight="1" s="250">
      <c r="A650" s="249" t="n"/>
      <c r="B650" s="249" t="n"/>
      <c r="C650" s="249" t="n"/>
      <c r="D650" s="249" t="n"/>
      <c r="E650" s="249" t="n"/>
      <c r="F650" s="249" t="n"/>
      <c r="G650" s="249" t="n"/>
      <c r="H650" s="249" t="n"/>
    </row>
    <row r="651" ht="13" customHeight="1" s="250">
      <c r="A651" s="249" t="n"/>
      <c r="B651" s="249" t="n"/>
      <c r="C651" s="249" t="n"/>
      <c r="D651" s="249" t="n"/>
      <c r="E651" s="249" t="n"/>
      <c r="F651" s="249" t="n"/>
      <c r="G651" s="249" t="n"/>
      <c r="H651" s="249" t="n"/>
    </row>
    <row r="652" ht="13" customHeight="1" s="250">
      <c r="A652" s="249" t="n"/>
      <c r="B652" s="249" t="n"/>
      <c r="C652" s="249" t="n"/>
      <c r="D652" s="249" t="n"/>
      <c r="E652" s="249" t="n"/>
      <c r="F652" s="249" t="n"/>
      <c r="G652" s="249" t="n"/>
      <c r="H652" s="249" t="n"/>
    </row>
    <row r="653" ht="13" customHeight="1" s="250">
      <c r="A653" s="249" t="n"/>
      <c r="B653" s="249" t="n"/>
      <c r="C653" s="249" t="n"/>
      <c r="D653" s="249" t="n"/>
      <c r="E653" s="249" t="n"/>
      <c r="F653" s="249" t="n"/>
      <c r="G653" s="249" t="n"/>
      <c r="H653" s="249" t="n"/>
    </row>
    <row r="654" ht="13" customHeight="1" s="250">
      <c r="A654" s="249" t="n"/>
      <c r="B654" s="249" t="n"/>
      <c r="C654" s="249" t="n"/>
      <c r="D654" s="249" t="n"/>
      <c r="E654" s="249" t="n"/>
      <c r="F654" s="249" t="n"/>
      <c r="G654" s="249" t="n"/>
      <c r="H654" s="249" t="n"/>
    </row>
    <row r="655" ht="13" customHeight="1" s="250">
      <c r="A655" s="249" t="n"/>
      <c r="B655" s="249" t="n"/>
      <c r="C655" s="249" t="n"/>
      <c r="D655" s="249" t="n"/>
      <c r="E655" s="249" t="n"/>
      <c r="F655" s="249" t="n"/>
      <c r="G655" s="249" t="n"/>
      <c r="H655" s="249" t="n"/>
    </row>
    <row r="656" ht="13" customHeight="1" s="250">
      <c r="A656" s="249" t="n"/>
      <c r="B656" s="249" t="n"/>
      <c r="C656" s="249" t="n"/>
      <c r="D656" s="249" t="n"/>
      <c r="E656" s="249" t="n"/>
      <c r="F656" s="249" t="n"/>
      <c r="G656" s="249" t="n"/>
      <c r="H656" s="249" t="n"/>
    </row>
    <row r="657" ht="13" customHeight="1" s="250">
      <c r="A657" s="249" t="n"/>
      <c r="B657" s="249" t="n"/>
      <c r="C657" s="249" t="n"/>
      <c r="D657" s="249" t="n"/>
      <c r="E657" s="249" t="n"/>
      <c r="F657" s="249" t="n"/>
      <c r="G657" s="249" t="n"/>
      <c r="H657" s="249" t="n"/>
    </row>
    <row r="658" ht="13" customHeight="1" s="250">
      <c r="A658" s="249" t="n"/>
      <c r="B658" s="249" t="n"/>
      <c r="C658" s="249" t="n"/>
      <c r="D658" s="249" t="n"/>
      <c r="E658" s="249" t="n"/>
      <c r="F658" s="249" t="n"/>
      <c r="G658" s="249" t="n"/>
      <c r="H658" s="249" t="n"/>
    </row>
    <row r="659" ht="13" customHeight="1" s="250">
      <c r="A659" s="249" t="n"/>
      <c r="B659" s="249" t="n"/>
      <c r="C659" s="249" t="n"/>
      <c r="D659" s="249" t="n"/>
      <c r="E659" s="249" t="n"/>
      <c r="F659" s="249" t="n"/>
      <c r="G659" s="249" t="n"/>
      <c r="H659" s="249" t="n"/>
    </row>
    <row r="660" ht="13" customHeight="1" s="250">
      <c r="A660" s="249" t="n"/>
      <c r="B660" s="249" t="n"/>
      <c r="C660" s="249" t="n"/>
      <c r="D660" s="249" t="n"/>
      <c r="E660" s="249" t="n"/>
      <c r="F660" s="249" t="n"/>
      <c r="G660" s="249" t="n"/>
      <c r="H660" s="249" t="n"/>
    </row>
    <row r="661" ht="13" customHeight="1" s="250">
      <c r="A661" s="249" t="n"/>
      <c r="B661" s="249" t="n"/>
      <c r="C661" s="249" t="n"/>
      <c r="D661" s="249" t="n"/>
      <c r="E661" s="249" t="n"/>
      <c r="F661" s="249" t="n"/>
      <c r="G661" s="249" t="n"/>
      <c r="H661" s="249" t="n"/>
    </row>
    <row r="662" ht="13" customHeight="1" s="250">
      <c r="A662" s="249" t="n"/>
      <c r="B662" s="249" t="n"/>
      <c r="C662" s="249" t="n"/>
      <c r="D662" s="249" t="n"/>
      <c r="E662" s="249" t="n"/>
      <c r="F662" s="249" t="n"/>
      <c r="G662" s="249" t="n"/>
      <c r="H662" s="249" t="n"/>
    </row>
    <row r="663" ht="13" customHeight="1" s="250">
      <c r="A663" s="249" t="n"/>
      <c r="B663" s="249" t="n"/>
      <c r="C663" s="249" t="n"/>
      <c r="D663" s="249" t="n"/>
      <c r="E663" s="249" t="n"/>
      <c r="F663" s="249" t="n"/>
      <c r="G663" s="249" t="n"/>
      <c r="H663" s="249" t="n"/>
    </row>
    <row r="664" ht="13" customHeight="1" s="250">
      <c r="A664" s="249" t="n"/>
      <c r="B664" s="249" t="n"/>
      <c r="C664" s="249" t="n"/>
      <c r="D664" s="249" t="n"/>
      <c r="E664" s="249" t="n"/>
      <c r="F664" s="249" t="n"/>
      <c r="G664" s="249" t="n"/>
      <c r="H664" s="249" t="n"/>
    </row>
    <row r="665" ht="13" customHeight="1" s="250">
      <c r="A665" s="249" t="n"/>
      <c r="B665" s="249" t="n"/>
      <c r="C665" s="249" t="n"/>
      <c r="D665" s="249" t="n"/>
      <c r="E665" s="249" t="n"/>
      <c r="F665" s="249" t="n"/>
      <c r="G665" s="249" t="n"/>
      <c r="H665" s="249" t="n"/>
    </row>
    <row r="666" ht="13" customHeight="1" s="250">
      <c r="A666" s="249" t="n"/>
      <c r="B666" s="249" t="n"/>
      <c r="C666" s="249" t="n"/>
      <c r="D666" s="249" t="n"/>
      <c r="E666" s="249" t="n"/>
      <c r="F666" s="249" t="n"/>
      <c r="G666" s="249" t="n"/>
      <c r="H666" s="249" t="n"/>
    </row>
    <row r="667" ht="13" customHeight="1" s="250">
      <c r="A667" s="249" t="n"/>
      <c r="B667" s="249" t="n"/>
      <c r="C667" s="249" t="n"/>
      <c r="D667" s="249" t="n"/>
      <c r="E667" s="249" t="n"/>
      <c r="F667" s="249" t="n"/>
      <c r="G667" s="249" t="n"/>
      <c r="H667" s="249" t="n"/>
    </row>
    <row r="668" ht="13" customHeight="1" s="250">
      <c r="A668" s="249" t="n"/>
      <c r="B668" s="249" t="n"/>
      <c r="C668" s="249" t="n"/>
      <c r="D668" s="249" t="n"/>
      <c r="E668" s="249" t="n"/>
      <c r="F668" s="249" t="n"/>
      <c r="G668" s="249" t="n"/>
      <c r="H668" s="249" t="n"/>
    </row>
    <row r="669" ht="13" customHeight="1" s="250">
      <c r="A669" s="249" t="n"/>
      <c r="B669" s="249" t="n"/>
      <c r="C669" s="249" t="n"/>
      <c r="D669" s="249" t="n"/>
      <c r="E669" s="249" t="n"/>
      <c r="F669" s="249" t="n"/>
      <c r="G669" s="249" t="n"/>
      <c r="H669" s="249" t="n"/>
    </row>
    <row r="670" ht="13" customHeight="1" s="250">
      <c r="A670" s="249" t="n"/>
      <c r="B670" s="249" t="n"/>
      <c r="C670" s="249" t="n"/>
      <c r="D670" s="249" t="n"/>
      <c r="E670" s="249" t="n"/>
      <c r="F670" s="249" t="n"/>
      <c r="G670" s="249" t="n"/>
      <c r="H670" s="249" t="n"/>
    </row>
    <row r="671" ht="13" customHeight="1" s="250">
      <c r="A671" s="249" t="n"/>
      <c r="B671" s="249" t="n"/>
      <c r="C671" s="249" t="n"/>
      <c r="D671" s="249" t="n"/>
      <c r="E671" s="249" t="n"/>
      <c r="F671" s="249" t="n"/>
      <c r="G671" s="249" t="n"/>
      <c r="H671" s="249" t="n"/>
    </row>
    <row r="672" ht="13" customHeight="1" s="250">
      <c r="A672" s="249" t="n"/>
      <c r="B672" s="249" t="n"/>
      <c r="C672" s="249" t="n"/>
      <c r="D672" s="249" t="n"/>
      <c r="E672" s="249" t="n"/>
      <c r="F672" s="249" t="n"/>
      <c r="G672" s="249" t="n"/>
      <c r="H672" s="249" t="n"/>
    </row>
    <row r="673" ht="13" customHeight="1" s="250">
      <c r="A673" s="249" t="n"/>
      <c r="B673" s="249" t="n"/>
      <c r="C673" s="249" t="n"/>
      <c r="D673" s="249" t="n"/>
      <c r="E673" s="249" t="n"/>
      <c r="F673" s="249" t="n"/>
      <c r="G673" s="249" t="n"/>
      <c r="H673" s="249" t="n"/>
    </row>
    <row r="674" ht="13" customHeight="1" s="250">
      <c r="A674" s="249" t="n"/>
      <c r="B674" s="249" t="n"/>
      <c r="C674" s="249" t="n"/>
      <c r="D674" s="249" t="n"/>
      <c r="E674" s="249" t="n"/>
      <c r="F674" s="249" t="n"/>
      <c r="G674" s="249" t="n"/>
      <c r="H674" s="249" t="n"/>
    </row>
    <row r="675" ht="13" customHeight="1" s="250">
      <c r="A675" s="249" t="n"/>
      <c r="B675" s="249" t="n"/>
      <c r="C675" s="249" t="n"/>
      <c r="D675" s="249" t="n"/>
      <c r="E675" s="249" t="n"/>
      <c r="F675" s="249" t="n"/>
      <c r="G675" s="249" t="n"/>
      <c r="H675" s="249" t="n"/>
    </row>
    <row r="676" ht="13" customHeight="1" s="250">
      <c r="A676" s="249" t="n"/>
      <c r="B676" s="249" t="n"/>
      <c r="C676" s="249" t="n"/>
      <c r="D676" s="249" t="n"/>
      <c r="E676" s="249" t="n"/>
      <c r="F676" s="249" t="n"/>
      <c r="G676" s="249" t="n"/>
      <c r="H676" s="249" t="n"/>
    </row>
    <row r="677" ht="13" customHeight="1" s="250">
      <c r="A677" s="249" t="n"/>
      <c r="B677" s="249" t="n"/>
      <c r="C677" s="249" t="n"/>
      <c r="D677" s="249" t="n"/>
      <c r="E677" s="249" t="n"/>
      <c r="F677" s="249" t="n"/>
      <c r="G677" s="249" t="n"/>
      <c r="H677" s="249" t="n"/>
    </row>
    <row r="678" ht="13" customHeight="1" s="250">
      <c r="A678" s="249" t="n"/>
      <c r="B678" s="249" t="n"/>
      <c r="C678" s="249" t="n"/>
      <c r="D678" s="249" t="n"/>
      <c r="E678" s="249" t="n"/>
      <c r="F678" s="249" t="n"/>
      <c r="G678" s="249" t="n"/>
      <c r="H678" s="249" t="n"/>
    </row>
    <row r="679" ht="13" customHeight="1" s="250">
      <c r="A679" s="249" t="n"/>
      <c r="B679" s="249" t="n"/>
      <c r="C679" s="249" t="n"/>
      <c r="D679" s="249" t="n"/>
      <c r="E679" s="249" t="n"/>
      <c r="F679" s="249" t="n"/>
      <c r="G679" s="249" t="n"/>
      <c r="H679" s="249" t="n"/>
    </row>
    <row r="680" ht="13" customHeight="1" s="250">
      <c r="A680" s="249" t="n"/>
      <c r="B680" s="249" t="n"/>
      <c r="C680" s="249" t="n"/>
      <c r="D680" s="249" t="n"/>
      <c r="E680" s="249" t="n"/>
      <c r="F680" s="249" t="n"/>
      <c r="G680" s="249" t="n"/>
      <c r="H680" s="249" t="n"/>
    </row>
    <row r="681" ht="13" customHeight="1" s="250">
      <c r="A681" s="249" t="n"/>
      <c r="B681" s="249" t="n"/>
      <c r="C681" s="249" t="n"/>
      <c r="D681" s="249" t="n"/>
      <c r="E681" s="249" t="n"/>
      <c r="F681" s="249" t="n"/>
      <c r="G681" s="249" t="n"/>
      <c r="H681" s="249" t="n"/>
    </row>
    <row r="682" ht="13" customHeight="1" s="250">
      <c r="A682" s="249" t="n"/>
      <c r="B682" s="249" t="n"/>
      <c r="C682" s="249" t="n"/>
      <c r="D682" s="249" t="n"/>
      <c r="E682" s="249" t="n"/>
      <c r="F682" s="249" t="n"/>
      <c r="G682" s="249" t="n"/>
      <c r="H682" s="249" t="n"/>
    </row>
    <row r="683" ht="13" customHeight="1" s="250">
      <c r="A683" s="249" t="n"/>
      <c r="B683" s="249" t="n"/>
      <c r="C683" s="249" t="n"/>
      <c r="D683" s="249" t="n"/>
      <c r="E683" s="249" t="n"/>
      <c r="F683" s="249" t="n"/>
      <c r="G683" s="249" t="n"/>
      <c r="H683" s="249" t="n"/>
    </row>
    <row r="684" ht="13" customHeight="1" s="250">
      <c r="A684" s="249" t="n"/>
      <c r="B684" s="249" t="n"/>
      <c r="C684" s="249" t="n"/>
      <c r="D684" s="249" t="n"/>
      <c r="E684" s="249" t="n"/>
      <c r="F684" s="249" t="n"/>
      <c r="G684" s="249" t="n"/>
      <c r="H684" s="249" t="n"/>
    </row>
    <row r="685" ht="13" customHeight="1" s="250">
      <c r="A685" s="249" t="n"/>
      <c r="B685" s="249" t="n"/>
      <c r="C685" s="249" t="n"/>
      <c r="D685" s="249" t="n"/>
      <c r="E685" s="249" t="n"/>
      <c r="F685" s="249" t="n"/>
      <c r="G685" s="249" t="n"/>
      <c r="H685" s="249" t="n"/>
    </row>
    <row r="686" ht="13" customHeight="1" s="250">
      <c r="A686" s="249" t="n"/>
      <c r="B686" s="249" t="n"/>
      <c r="C686" s="249" t="n"/>
      <c r="D686" s="249" t="n"/>
      <c r="E686" s="249" t="n"/>
      <c r="F686" s="249" t="n"/>
      <c r="G686" s="249" t="n"/>
      <c r="H686" s="249" t="n"/>
    </row>
    <row r="687" ht="13" customHeight="1" s="250">
      <c r="A687" s="249" t="n"/>
      <c r="B687" s="249" t="n"/>
      <c r="C687" s="249" t="n"/>
      <c r="D687" s="249" t="n"/>
      <c r="E687" s="249" t="n"/>
      <c r="F687" s="249" t="n"/>
      <c r="G687" s="249" t="n"/>
      <c r="H687" s="249" t="n"/>
    </row>
    <row r="688" ht="13" customHeight="1" s="250">
      <c r="A688" s="249" t="n"/>
      <c r="B688" s="249" t="n"/>
      <c r="C688" s="249" t="n"/>
      <c r="D688" s="249" t="n"/>
      <c r="E688" s="249" t="n"/>
      <c r="F688" s="249" t="n"/>
      <c r="G688" s="249" t="n"/>
      <c r="H688" s="249" t="n"/>
    </row>
    <row r="689" ht="13" customHeight="1" s="250">
      <c r="A689" s="249" t="n"/>
      <c r="B689" s="249" t="n"/>
      <c r="C689" s="249" t="n"/>
      <c r="D689" s="249" t="n"/>
      <c r="E689" s="249" t="n"/>
      <c r="F689" s="249" t="n"/>
      <c r="G689" s="249" t="n"/>
      <c r="H689" s="249" t="n"/>
    </row>
    <row r="690" ht="13" customHeight="1" s="250">
      <c r="A690" s="249" t="n"/>
      <c r="B690" s="249" t="n"/>
      <c r="C690" s="249" t="n"/>
      <c r="D690" s="249" t="n"/>
      <c r="E690" s="249" t="n"/>
      <c r="F690" s="249" t="n"/>
      <c r="G690" s="249" t="n"/>
      <c r="H690" s="249" t="n"/>
    </row>
    <row r="691" ht="13" customHeight="1" s="250">
      <c r="A691" s="249" t="n"/>
      <c r="B691" s="249" t="n"/>
      <c r="C691" s="249" t="n"/>
      <c r="D691" s="249" t="n"/>
      <c r="E691" s="249" t="n"/>
      <c r="F691" s="249" t="n"/>
      <c r="G691" s="249" t="n"/>
      <c r="H691" s="249" t="n"/>
    </row>
    <row r="692" ht="13" customHeight="1" s="250">
      <c r="A692" s="249" t="n"/>
      <c r="B692" s="249" t="n"/>
      <c r="C692" s="249" t="n"/>
      <c r="D692" s="249" t="n"/>
      <c r="E692" s="249" t="n"/>
      <c r="F692" s="249" t="n"/>
      <c r="G692" s="249" t="n"/>
      <c r="H692" s="249" t="n"/>
    </row>
    <row r="693" ht="13" customHeight="1" s="250">
      <c r="A693" s="249" t="n"/>
      <c r="B693" s="249" t="n"/>
      <c r="C693" s="249" t="n"/>
      <c r="D693" s="249" t="n"/>
      <c r="E693" s="249" t="n"/>
      <c r="F693" s="249" t="n"/>
      <c r="G693" s="249" t="n"/>
      <c r="H693" s="249" t="n"/>
    </row>
    <row r="694" ht="13" customHeight="1" s="250">
      <c r="A694" s="249" t="n"/>
      <c r="B694" s="249" t="n"/>
      <c r="C694" s="249" t="n"/>
      <c r="D694" s="249" t="n"/>
      <c r="E694" s="249" t="n"/>
      <c r="F694" s="249" t="n"/>
      <c r="G694" s="249" t="n"/>
      <c r="H694" s="249" t="n"/>
    </row>
    <row r="695" ht="13" customHeight="1" s="250">
      <c r="A695" s="249" t="n"/>
      <c r="B695" s="249" t="n"/>
      <c r="C695" s="249" t="n"/>
      <c r="D695" s="249" t="n"/>
      <c r="E695" s="249" t="n"/>
      <c r="F695" s="249" t="n"/>
      <c r="G695" s="249" t="n"/>
      <c r="H695" s="249" t="n"/>
    </row>
    <row r="696" ht="13" customHeight="1" s="250">
      <c r="A696" s="249" t="n"/>
      <c r="B696" s="249" t="n"/>
      <c r="C696" s="249" t="n"/>
      <c r="D696" s="249" t="n"/>
      <c r="E696" s="249" t="n"/>
      <c r="F696" s="249" t="n"/>
      <c r="G696" s="249" t="n"/>
      <c r="H696" s="249" t="n"/>
    </row>
    <row r="697" ht="13" customHeight="1" s="250">
      <c r="A697" s="249" t="n"/>
      <c r="B697" s="249" t="n"/>
      <c r="C697" s="249" t="n"/>
      <c r="D697" s="249" t="n"/>
      <c r="E697" s="249" t="n"/>
      <c r="F697" s="249" t="n"/>
      <c r="G697" s="249" t="n"/>
      <c r="H697" s="249" t="n"/>
    </row>
    <row r="698" ht="13" customHeight="1" s="250">
      <c r="A698" s="249" t="n"/>
      <c r="B698" s="249" t="n"/>
      <c r="C698" s="249" t="n"/>
      <c r="D698" s="249" t="n"/>
      <c r="E698" s="249" t="n"/>
      <c r="F698" s="249" t="n"/>
      <c r="G698" s="249" t="n"/>
      <c r="H698" s="249" t="n"/>
    </row>
    <row r="699" ht="13" customHeight="1" s="250">
      <c r="A699" s="249" t="n"/>
      <c r="B699" s="249" t="n"/>
      <c r="C699" s="249" t="n"/>
      <c r="D699" s="249" t="n"/>
      <c r="E699" s="249" t="n"/>
      <c r="F699" s="249" t="n"/>
      <c r="G699" s="249" t="n"/>
      <c r="H699" s="249" t="n"/>
    </row>
    <row r="700" ht="13" customHeight="1" s="250">
      <c r="A700" s="249" t="n"/>
      <c r="B700" s="249" t="n"/>
      <c r="C700" s="249" t="n"/>
      <c r="D700" s="249" t="n"/>
      <c r="E700" s="249" t="n"/>
      <c r="F700" s="249" t="n"/>
      <c r="G700" s="249" t="n"/>
      <c r="H700" s="249" t="n"/>
    </row>
    <row r="701" ht="13" customHeight="1" s="250">
      <c r="A701" s="249" t="n"/>
      <c r="B701" s="249" t="n"/>
      <c r="C701" s="249" t="n"/>
      <c r="D701" s="249" t="n"/>
      <c r="E701" s="249" t="n"/>
      <c r="F701" s="249" t="n"/>
      <c r="G701" s="249" t="n"/>
      <c r="H701" s="249" t="n"/>
    </row>
    <row r="702" ht="13" customHeight="1" s="250">
      <c r="A702" s="249" t="n"/>
      <c r="B702" s="249" t="n"/>
      <c r="C702" s="249" t="n"/>
      <c r="D702" s="249" t="n"/>
      <c r="E702" s="249" t="n"/>
      <c r="F702" s="249" t="n"/>
      <c r="G702" s="249" t="n"/>
      <c r="H702" s="249" t="n"/>
    </row>
    <row r="703" ht="13" customHeight="1" s="250">
      <c r="A703" s="249" t="n"/>
      <c r="B703" s="249" t="n"/>
      <c r="C703" s="249" t="n"/>
      <c r="D703" s="249" t="n"/>
      <c r="E703" s="249" t="n"/>
      <c r="F703" s="249" t="n"/>
      <c r="G703" s="249" t="n"/>
      <c r="H703" s="249" t="n"/>
    </row>
    <row r="704" ht="13" customHeight="1" s="250">
      <c r="A704" s="249" t="n"/>
      <c r="B704" s="249" t="n"/>
      <c r="C704" s="249" t="n"/>
      <c r="D704" s="249" t="n"/>
      <c r="E704" s="249" t="n"/>
      <c r="F704" s="249" t="n"/>
      <c r="G704" s="249" t="n"/>
      <c r="H704" s="249" t="n"/>
    </row>
    <row r="705" ht="13" customHeight="1" s="250">
      <c r="A705" s="249" t="n"/>
      <c r="B705" s="249" t="n"/>
      <c r="C705" s="249" t="n"/>
      <c r="D705" s="249" t="n"/>
      <c r="E705" s="249" t="n"/>
      <c r="F705" s="249" t="n"/>
      <c r="G705" s="249" t="n"/>
      <c r="H705" s="249" t="n"/>
    </row>
    <row r="706" ht="13" customHeight="1" s="250">
      <c r="A706" s="249" t="n"/>
      <c r="B706" s="249" t="n"/>
      <c r="C706" s="249" t="n"/>
      <c r="D706" s="249" t="n"/>
      <c r="E706" s="249" t="n"/>
      <c r="F706" s="249" t="n"/>
      <c r="G706" s="249" t="n"/>
      <c r="H706" s="249" t="n"/>
    </row>
    <row r="707" ht="13" customHeight="1" s="250">
      <c r="A707" s="249" t="n"/>
      <c r="B707" s="249" t="n"/>
      <c r="C707" s="249" t="n"/>
      <c r="D707" s="249" t="n"/>
      <c r="E707" s="249" t="n"/>
      <c r="F707" s="249" t="n"/>
      <c r="G707" s="249" t="n"/>
      <c r="H707" s="249" t="n"/>
    </row>
    <row r="708" ht="13" customHeight="1" s="250">
      <c r="A708" s="249" t="n"/>
      <c r="B708" s="249" t="n"/>
      <c r="C708" s="249" t="n"/>
      <c r="D708" s="249" t="n"/>
      <c r="E708" s="249" t="n"/>
      <c r="F708" s="249" t="n"/>
      <c r="G708" s="249" t="n"/>
      <c r="H708" s="249" t="n"/>
    </row>
    <row r="709" ht="13" customHeight="1" s="250">
      <c r="A709" s="249" t="n"/>
      <c r="B709" s="249" t="n"/>
      <c r="C709" s="249" t="n"/>
      <c r="D709" s="249" t="n"/>
      <c r="E709" s="249" t="n"/>
      <c r="F709" s="249" t="n"/>
      <c r="G709" s="249" t="n"/>
      <c r="H709" s="249" t="n"/>
    </row>
    <row r="710" ht="13" customHeight="1" s="250">
      <c r="A710" s="249" t="n"/>
      <c r="B710" s="249" t="n"/>
      <c r="C710" s="249" t="n"/>
      <c r="D710" s="249" t="n"/>
      <c r="E710" s="249" t="n"/>
      <c r="F710" s="249" t="n"/>
      <c r="G710" s="249" t="n"/>
      <c r="H710" s="249" t="n"/>
    </row>
    <row r="711" ht="13" customHeight="1" s="250">
      <c r="A711" s="249" t="n"/>
      <c r="B711" s="249" t="n"/>
      <c r="C711" s="249" t="n"/>
      <c r="D711" s="249" t="n"/>
      <c r="E711" s="249" t="n"/>
      <c r="F711" s="249" t="n"/>
      <c r="G711" s="249" t="n"/>
      <c r="H711" s="249" t="n"/>
    </row>
    <row r="712" ht="13" customHeight="1" s="250">
      <c r="A712" s="249" t="n"/>
      <c r="B712" s="249" t="n"/>
      <c r="C712" s="249" t="n"/>
      <c r="D712" s="249" t="n"/>
      <c r="E712" s="249" t="n"/>
      <c r="F712" s="249" t="n"/>
      <c r="G712" s="249" t="n"/>
      <c r="H712" s="249" t="n"/>
    </row>
    <row r="713" ht="13" customHeight="1" s="250">
      <c r="A713" s="249" t="n"/>
      <c r="B713" s="249" t="n"/>
      <c r="C713" s="249" t="n"/>
      <c r="D713" s="249" t="n"/>
      <c r="E713" s="249" t="n"/>
      <c r="F713" s="249" t="n"/>
      <c r="G713" s="249" t="n"/>
      <c r="H713" s="249" t="n"/>
    </row>
    <row r="714" ht="13" customHeight="1" s="250">
      <c r="A714" s="249" t="n"/>
      <c r="B714" s="249" t="n"/>
      <c r="C714" s="249" t="n"/>
      <c r="D714" s="249" t="n"/>
      <c r="E714" s="249" t="n"/>
      <c r="F714" s="249" t="n"/>
      <c r="G714" s="249" t="n"/>
      <c r="H714" s="249" t="n"/>
    </row>
    <row r="715" ht="13" customHeight="1" s="250">
      <c r="A715" s="249" t="n"/>
      <c r="B715" s="249" t="n"/>
      <c r="C715" s="249" t="n"/>
      <c r="D715" s="249" t="n"/>
      <c r="E715" s="249" t="n"/>
      <c r="F715" s="249" t="n"/>
      <c r="G715" s="249" t="n"/>
      <c r="H715" s="249" t="n"/>
    </row>
    <row r="716" ht="13" customHeight="1" s="250">
      <c r="A716" s="249" t="n"/>
      <c r="B716" s="249" t="n"/>
      <c r="C716" s="249" t="n"/>
      <c r="D716" s="249" t="n"/>
      <c r="E716" s="249" t="n"/>
      <c r="F716" s="249" t="n"/>
      <c r="G716" s="249" t="n"/>
      <c r="H716" s="249" t="n"/>
    </row>
    <row r="717" ht="13" customHeight="1" s="250">
      <c r="A717" s="249" t="n"/>
      <c r="B717" s="249" t="n"/>
      <c r="C717" s="249" t="n"/>
      <c r="D717" s="249" t="n"/>
      <c r="E717" s="249" t="n"/>
      <c r="F717" s="249" t="n"/>
      <c r="G717" s="249" t="n"/>
      <c r="H717" s="249" t="n"/>
    </row>
    <row r="718" ht="13" customHeight="1" s="250">
      <c r="A718" s="249" t="n"/>
      <c r="B718" s="249" t="n"/>
      <c r="C718" s="249" t="n"/>
      <c r="D718" s="249" t="n"/>
      <c r="E718" s="249" t="n"/>
      <c r="F718" s="249" t="n"/>
      <c r="G718" s="249" t="n"/>
      <c r="H718" s="249" t="n"/>
    </row>
    <row r="719" ht="13" customHeight="1" s="250">
      <c r="A719" s="249" t="n"/>
      <c r="B719" s="249" t="n"/>
      <c r="C719" s="249" t="n"/>
      <c r="D719" s="249" t="n"/>
      <c r="E719" s="249" t="n"/>
      <c r="F719" s="249" t="n"/>
      <c r="G719" s="249" t="n"/>
      <c r="H719" s="249" t="n"/>
    </row>
    <row r="720" ht="13" customHeight="1" s="250">
      <c r="A720" s="249" t="n"/>
      <c r="B720" s="249" t="n"/>
      <c r="C720" s="249" t="n"/>
      <c r="D720" s="249" t="n"/>
      <c r="E720" s="249" t="n"/>
      <c r="F720" s="249" t="n"/>
      <c r="G720" s="249" t="n"/>
      <c r="H720" s="249" t="n"/>
    </row>
    <row r="721" ht="13" customHeight="1" s="250">
      <c r="A721" s="249" t="n"/>
      <c r="B721" s="249" t="n"/>
      <c r="C721" s="249" t="n"/>
      <c r="D721" s="249" t="n"/>
      <c r="E721" s="249" t="n"/>
      <c r="F721" s="249" t="n"/>
      <c r="G721" s="249" t="n"/>
      <c r="H721" s="249" t="n"/>
    </row>
    <row r="722" ht="13" customHeight="1" s="250">
      <c r="A722" s="249" t="n"/>
      <c r="B722" s="249" t="n"/>
      <c r="C722" s="249" t="n"/>
      <c r="D722" s="249" t="n"/>
      <c r="E722" s="249" t="n"/>
      <c r="F722" s="249" t="n"/>
      <c r="G722" s="249" t="n"/>
      <c r="H722" s="249" t="n"/>
    </row>
    <row r="723" ht="13" customHeight="1" s="250">
      <c r="A723" s="249" t="n"/>
      <c r="B723" s="249" t="n"/>
      <c r="C723" s="249" t="n"/>
      <c r="D723" s="249" t="n"/>
      <c r="E723" s="249" t="n"/>
      <c r="F723" s="249" t="n"/>
      <c r="G723" s="249" t="n"/>
      <c r="H723" s="249" t="n"/>
    </row>
    <row r="724" ht="13" customHeight="1" s="250">
      <c r="A724" s="249" t="n"/>
      <c r="B724" s="249" t="n"/>
      <c r="C724" s="249" t="n"/>
      <c r="D724" s="249" t="n"/>
      <c r="E724" s="249" t="n"/>
      <c r="F724" s="249" t="n"/>
      <c r="G724" s="249" t="n"/>
      <c r="H724" s="249" t="n"/>
    </row>
    <row r="725" ht="13" customHeight="1" s="250">
      <c r="A725" s="249" t="n"/>
      <c r="B725" s="249" t="n"/>
      <c r="C725" s="249" t="n"/>
      <c r="D725" s="249" t="n"/>
      <c r="E725" s="249" t="n"/>
      <c r="F725" s="249" t="n"/>
      <c r="G725" s="249" t="n"/>
      <c r="H725" s="249" t="n"/>
    </row>
    <row r="726" ht="13" customHeight="1" s="250">
      <c r="A726" s="249" t="n"/>
      <c r="B726" s="249" t="n"/>
      <c r="C726" s="249" t="n"/>
      <c r="D726" s="249" t="n"/>
      <c r="E726" s="249" t="n"/>
      <c r="F726" s="249" t="n"/>
      <c r="G726" s="249" t="n"/>
      <c r="H726" s="249" t="n"/>
    </row>
    <row r="727" ht="13" customHeight="1" s="250">
      <c r="A727" s="249" t="n"/>
      <c r="B727" s="249" t="n"/>
      <c r="C727" s="249" t="n"/>
      <c r="D727" s="249" t="n"/>
      <c r="E727" s="249" t="n"/>
      <c r="F727" s="249" t="n"/>
      <c r="G727" s="249" t="n"/>
      <c r="H727" s="249" t="n"/>
    </row>
    <row r="728" ht="13" customHeight="1" s="250">
      <c r="A728" s="249" t="n"/>
      <c r="B728" s="249" t="n"/>
      <c r="C728" s="249" t="n"/>
      <c r="D728" s="249" t="n"/>
      <c r="E728" s="249" t="n"/>
      <c r="F728" s="249" t="n"/>
      <c r="G728" s="249" t="n"/>
      <c r="H728" s="249" t="n"/>
    </row>
    <row r="729" ht="13" customHeight="1" s="250">
      <c r="A729" s="249" t="n"/>
      <c r="B729" s="249" t="n"/>
      <c r="C729" s="249" t="n"/>
      <c r="D729" s="249" t="n"/>
      <c r="E729" s="249" t="n"/>
      <c r="F729" s="249" t="n"/>
      <c r="G729" s="249" t="n"/>
      <c r="H729" s="249" t="n"/>
    </row>
    <row r="730" ht="13" customHeight="1" s="250">
      <c r="A730" s="249" t="n"/>
      <c r="B730" s="249" t="n"/>
      <c r="C730" s="249" t="n"/>
      <c r="D730" s="249" t="n"/>
      <c r="E730" s="249" t="n"/>
      <c r="F730" s="249" t="n"/>
      <c r="G730" s="249" t="n"/>
      <c r="H730" s="249" t="n"/>
    </row>
    <row r="731" ht="13" customHeight="1" s="250">
      <c r="A731" s="249" t="n"/>
      <c r="B731" s="249" t="n"/>
      <c r="C731" s="249" t="n"/>
      <c r="D731" s="249" t="n"/>
      <c r="E731" s="249" t="n"/>
      <c r="F731" s="249" t="n"/>
      <c r="G731" s="249" t="n"/>
      <c r="H731" s="249" t="n"/>
    </row>
    <row r="732" ht="13" customHeight="1" s="250">
      <c r="A732" s="249" t="n"/>
      <c r="B732" s="249" t="n"/>
      <c r="C732" s="249" t="n"/>
      <c r="D732" s="249" t="n"/>
      <c r="E732" s="249" t="n"/>
      <c r="F732" s="249" t="n"/>
      <c r="G732" s="249" t="n"/>
      <c r="H732" s="249" t="n"/>
    </row>
    <row r="733" ht="13" customHeight="1" s="250">
      <c r="A733" s="249" t="n"/>
      <c r="B733" s="249" t="n"/>
      <c r="C733" s="249" t="n"/>
      <c r="D733" s="249" t="n"/>
      <c r="E733" s="249" t="n"/>
      <c r="F733" s="249" t="n"/>
      <c r="G733" s="249" t="n"/>
      <c r="H733" s="249" t="n"/>
    </row>
    <row r="734" ht="13" customHeight="1" s="250">
      <c r="A734" s="249" t="n"/>
      <c r="B734" s="249" t="n"/>
      <c r="C734" s="249" t="n"/>
      <c r="D734" s="249" t="n"/>
      <c r="E734" s="249" t="n"/>
      <c r="F734" s="249" t="n"/>
      <c r="G734" s="249" t="n"/>
      <c r="H734" s="249" t="n"/>
    </row>
    <row r="735" ht="13" customHeight="1" s="250">
      <c r="A735" s="249" t="n"/>
      <c r="B735" s="249" t="n"/>
      <c r="C735" s="249" t="n"/>
      <c r="D735" s="249" t="n"/>
      <c r="E735" s="249" t="n"/>
      <c r="F735" s="249" t="n"/>
      <c r="G735" s="249" t="n"/>
      <c r="H735" s="249" t="n"/>
    </row>
    <row r="736" ht="13" customHeight="1" s="250">
      <c r="A736" s="249" t="n"/>
      <c r="B736" s="249" t="n"/>
      <c r="C736" s="249" t="n"/>
      <c r="D736" s="249" t="n"/>
      <c r="E736" s="249" t="n"/>
      <c r="F736" s="249" t="n"/>
      <c r="G736" s="249" t="n"/>
      <c r="H736" s="249" t="n"/>
    </row>
    <row r="737" ht="13" customHeight="1" s="250">
      <c r="A737" s="249" t="n"/>
      <c r="B737" s="249" t="n"/>
      <c r="C737" s="249" t="n"/>
      <c r="D737" s="249" t="n"/>
      <c r="E737" s="249" t="n"/>
      <c r="F737" s="249" t="n"/>
      <c r="G737" s="249" t="n"/>
      <c r="H737" s="249" t="n"/>
    </row>
    <row r="738" ht="13" customHeight="1" s="250">
      <c r="A738" s="249" t="n"/>
      <c r="B738" s="249" t="n"/>
      <c r="C738" s="249" t="n"/>
      <c r="D738" s="249" t="n"/>
      <c r="E738" s="249" t="n"/>
      <c r="F738" s="249" t="n"/>
      <c r="G738" s="249" t="n"/>
      <c r="H738" s="249" t="n"/>
    </row>
    <row r="739" ht="13" customHeight="1" s="250">
      <c r="A739" s="249" t="n"/>
      <c r="B739" s="249" t="n"/>
      <c r="C739" s="249" t="n"/>
      <c r="D739" s="249" t="n"/>
      <c r="E739" s="249" t="n"/>
      <c r="F739" s="249" t="n"/>
      <c r="G739" s="249" t="n"/>
      <c r="H739" s="249" t="n"/>
    </row>
    <row r="740" ht="13" customHeight="1" s="250">
      <c r="A740" s="249" t="n"/>
      <c r="B740" s="249" t="n"/>
      <c r="C740" s="249" t="n"/>
      <c r="D740" s="249" t="n"/>
      <c r="E740" s="249" t="n"/>
      <c r="F740" s="249" t="n"/>
      <c r="G740" s="249" t="n"/>
      <c r="H740" s="249" t="n"/>
    </row>
    <row r="741" ht="13" customHeight="1" s="250">
      <c r="A741" s="249" t="n"/>
      <c r="B741" s="249" t="n"/>
      <c r="C741" s="249" t="n"/>
      <c r="D741" s="249" t="n"/>
      <c r="E741" s="249" t="n"/>
      <c r="F741" s="249" t="n"/>
      <c r="G741" s="249" t="n"/>
      <c r="H741" s="249" t="n"/>
    </row>
    <row r="742" ht="13" customHeight="1" s="250">
      <c r="A742" s="249" t="n"/>
      <c r="B742" s="249" t="n"/>
      <c r="C742" s="249" t="n"/>
      <c r="D742" s="249" t="n"/>
      <c r="E742" s="249" t="n"/>
      <c r="F742" s="249" t="n"/>
      <c r="G742" s="249" t="n"/>
      <c r="H742" s="249" t="n"/>
    </row>
    <row r="743" ht="13" customHeight="1" s="250">
      <c r="A743" s="249" t="n"/>
      <c r="B743" s="249" t="n"/>
      <c r="C743" s="249" t="n"/>
      <c r="D743" s="249" t="n"/>
      <c r="E743" s="249" t="n"/>
      <c r="F743" s="249" t="n"/>
      <c r="G743" s="249" t="n"/>
      <c r="H743" s="249" t="n"/>
    </row>
    <row r="744" ht="13" customHeight="1" s="250">
      <c r="A744" s="249" t="n"/>
      <c r="B744" s="249" t="n"/>
      <c r="C744" s="249" t="n"/>
      <c r="D744" s="249" t="n"/>
      <c r="E744" s="249" t="n"/>
      <c r="F744" s="249" t="n"/>
      <c r="G744" s="249" t="n"/>
      <c r="H744" s="249" t="n"/>
    </row>
    <row r="745" ht="13" customHeight="1" s="250">
      <c r="A745" s="249" t="n"/>
      <c r="B745" s="249" t="n"/>
      <c r="C745" s="249" t="n"/>
      <c r="D745" s="249" t="n"/>
      <c r="E745" s="249" t="n"/>
      <c r="F745" s="249" t="n"/>
      <c r="G745" s="249" t="n"/>
      <c r="H745" s="249" t="n"/>
    </row>
    <row r="746" ht="13" customHeight="1" s="250">
      <c r="A746" s="249" t="n"/>
      <c r="B746" s="249" t="n"/>
      <c r="C746" s="249" t="n"/>
      <c r="D746" s="249" t="n"/>
      <c r="E746" s="249" t="n"/>
      <c r="F746" s="249" t="n"/>
      <c r="G746" s="249" t="n"/>
      <c r="H746" s="249" t="n"/>
    </row>
    <row r="747" ht="13" customHeight="1" s="250">
      <c r="A747" s="249" t="n"/>
      <c r="B747" s="249" t="n"/>
      <c r="C747" s="249" t="n"/>
      <c r="D747" s="249" t="n"/>
      <c r="E747" s="249" t="n"/>
      <c r="F747" s="249" t="n"/>
      <c r="G747" s="249" t="n"/>
      <c r="H747" s="249" t="n"/>
    </row>
    <row r="748" ht="13" customHeight="1" s="250">
      <c r="A748" s="249" t="n"/>
      <c r="B748" s="249" t="n"/>
      <c r="C748" s="249" t="n"/>
      <c r="D748" s="249" t="n"/>
      <c r="E748" s="249" t="n"/>
      <c r="F748" s="249" t="n"/>
      <c r="G748" s="249" t="n"/>
      <c r="H748" s="249" t="n"/>
    </row>
    <row r="749" ht="13" customHeight="1" s="250">
      <c r="A749" s="249" t="n"/>
      <c r="B749" s="249" t="n"/>
      <c r="C749" s="249" t="n"/>
      <c r="D749" s="249" t="n"/>
      <c r="E749" s="249" t="n"/>
      <c r="F749" s="249" t="n"/>
      <c r="G749" s="249" t="n"/>
      <c r="H749" s="249" t="n"/>
    </row>
    <row r="750" ht="13" customHeight="1" s="250">
      <c r="A750" s="249" t="n"/>
      <c r="B750" s="249" t="n"/>
      <c r="C750" s="249" t="n"/>
      <c r="D750" s="249" t="n"/>
      <c r="E750" s="249" t="n"/>
      <c r="F750" s="249" t="n"/>
      <c r="G750" s="249" t="n"/>
      <c r="H750" s="249" t="n"/>
    </row>
    <row r="751" ht="13" customHeight="1" s="250">
      <c r="A751" s="249" t="n"/>
      <c r="B751" s="249" t="n"/>
      <c r="C751" s="249" t="n"/>
      <c r="D751" s="249" t="n"/>
      <c r="E751" s="249" t="n"/>
      <c r="F751" s="249" t="n"/>
      <c r="G751" s="249" t="n"/>
      <c r="H751" s="249" t="n"/>
    </row>
    <row r="752" ht="13" customHeight="1" s="250">
      <c r="A752" s="249" t="n"/>
      <c r="B752" s="249" t="n"/>
      <c r="C752" s="249" t="n"/>
      <c r="D752" s="249" t="n"/>
      <c r="E752" s="249" t="n"/>
      <c r="F752" s="249" t="n"/>
      <c r="G752" s="249" t="n"/>
      <c r="H752" s="249" t="n"/>
    </row>
    <row r="753" ht="13" customHeight="1" s="250">
      <c r="A753" s="249" t="n"/>
      <c r="B753" s="249" t="n"/>
      <c r="C753" s="249" t="n"/>
      <c r="D753" s="249" t="n"/>
      <c r="E753" s="249" t="n"/>
      <c r="F753" s="249" t="n"/>
      <c r="G753" s="249" t="n"/>
      <c r="H753" s="249" t="n"/>
    </row>
    <row r="754" ht="13" customHeight="1" s="250">
      <c r="A754" s="249" t="n"/>
      <c r="B754" s="249" t="n"/>
      <c r="C754" s="249" t="n"/>
      <c r="D754" s="249" t="n"/>
      <c r="E754" s="249" t="n"/>
      <c r="F754" s="249" t="n"/>
      <c r="G754" s="249" t="n"/>
      <c r="H754" s="249" t="n"/>
    </row>
    <row r="755" ht="13" customHeight="1" s="250">
      <c r="A755" s="249" t="n"/>
      <c r="B755" s="249" t="n"/>
      <c r="C755" s="249" t="n"/>
      <c r="D755" s="249" t="n"/>
      <c r="E755" s="249" t="n"/>
      <c r="F755" s="249" t="n"/>
      <c r="G755" s="249" t="n"/>
      <c r="H755" s="249" t="n"/>
    </row>
    <row r="756" ht="13" customHeight="1" s="250">
      <c r="A756" s="249" t="n"/>
      <c r="B756" s="249" t="n"/>
      <c r="C756" s="249" t="n"/>
      <c r="D756" s="249" t="n"/>
      <c r="E756" s="249" t="n"/>
      <c r="F756" s="249" t="n"/>
      <c r="G756" s="249" t="n"/>
      <c r="H756" s="249" t="n"/>
    </row>
    <row r="757" ht="13" customHeight="1" s="250">
      <c r="A757" s="249" t="n"/>
      <c r="B757" s="249" t="n"/>
      <c r="C757" s="249" t="n"/>
      <c r="D757" s="249" t="n"/>
      <c r="E757" s="249" t="n"/>
      <c r="F757" s="249" t="n"/>
      <c r="G757" s="249" t="n"/>
      <c r="H757" s="249" t="n"/>
    </row>
    <row r="758" ht="13" customHeight="1" s="250">
      <c r="A758" s="249" t="n"/>
      <c r="B758" s="249" t="n"/>
      <c r="C758" s="249" t="n"/>
      <c r="D758" s="249" t="n"/>
      <c r="E758" s="249" t="n"/>
      <c r="F758" s="249" t="n"/>
      <c r="G758" s="249" t="n"/>
      <c r="H758" s="249" t="n"/>
    </row>
    <row r="759" ht="13" customHeight="1" s="250">
      <c r="A759" s="249" t="n"/>
      <c r="B759" s="249" t="n"/>
      <c r="C759" s="249" t="n"/>
      <c r="D759" s="249" t="n"/>
      <c r="E759" s="249" t="n"/>
      <c r="F759" s="249" t="n"/>
      <c r="G759" s="249" t="n"/>
      <c r="H759" s="249" t="n"/>
    </row>
    <row r="760" ht="13" customHeight="1" s="250">
      <c r="A760" s="249" t="n"/>
      <c r="B760" s="249" t="n"/>
      <c r="C760" s="249" t="n"/>
      <c r="D760" s="249" t="n"/>
      <c r="E760" s="249" t="n"/>
      <c r="F760" s="249" t="n"/>
      <c r="G760" s="249" t="n"/>
      <c r="H760" s="249" t="n"/>
    </row>
    <row r="761" ht="13" customHeight="1" s="250">
      <c r="A761" s="249" t="n"/>
      <c r="B761" s="249" t="n"/>
      <c r="C761" s="249" t="n"/>
      <c r="D761" s="249" t="n"/>
      <c r="E761" s="249" t="n"/>
      <c r="F761" s="249" t="n"/>
      <c r="G761" s="249" t="n"/>
      <c r="H761" s="249" t="n"/>
    </row>
    <row r="762" ht="13" customHeight="1" s="250">
      <c r="A762" s="249" t="n"/>
      <c r="B762" s="249" t="n"/>
      <c r="C762" s="249" t="n"/>
      <c r="D762" s="249" t="n"/>
      <c r="E762" s="249" t="n"/>
      <c r="F762" s="249" t="n"/>
      <c r="G762" s="249" t="n"/>
      <c r="H762" s="249" t="n"/>
    </row>
    <row r="763" ht="13" customHeight="1" s="250">
      <c r="A763" s="249" t="n"/>
      <c r="B763" s="249" t="n"/>
      <c r="C763" s="249" t="n"/>
      <c r="D763" s="249" t="n"/>
      <c r="E763" s="249" t="n"/>
      <c r="F763" s="249" t="n"/>
      <c r="G763" s="249" t="n"/>
      <c r="H763" s="249" t="n"/>
    </row>
    <row r="764" ht="13" customHeight="1" s="250">
      <c r="A764" s="249" t="n"/>
      <c r="B764" s="249" t="n"/>
      <c r="C764" s="249" t="n"/>
      <c r="D764" s="249" t="n"/>
      <c r="E764" s="249" t="n"/>
      <c r="F764" s="249" t="n"/>
      <c r="G764" s="249" t="n"/>
      <c r="H764" s="249" t="n"/>
    </row>
    <row r="765" ht="13" customHeight="1" s="250">
      <c r="A765" s="249" t="n"/>
      <c r="B765" s="249" t="n"/>
      <c r="C765" s="249" t="n"/>
      <c r="D765" s="249" t="n"/>
      <c r="E765" s="249" t="n"/>
      <c r="F765" s="249" t="n"/>
      <c r="G765" s="249" t="n"/>
      <c r="H765" s="249" t="n"/>
    </row>
    <row r="766" ht="13" customHeight="1" s="250">
      <c r="A766" s="249" t="n"/>
      <c r="B766" s="249" t="n"/>
      <c r="C766" s="249" t="n"/>
      <c r="D766" s="249" t="n"/>
      <c r="E766" s="249" t="n"/>
      <c r="F766" s="249" t="n"/>
      <c r="G766" s="249" t="n"/>
      <c r="H766" s="249" t="n"/>
    </row>
    <row r="767" ht="13" customHeight="1" s="250">
      <c r="A767" s="249" t="n"/>
      <c r="B767" s="249" t="n"/>
      <c r="C767" s="249" t="n"/>
      <c r="D767" s="249" t="n"/>
      <c r="E767" s="249" t="n"/>
      <c r="F767" s="249" t="n"/>
      <c r="G767" s="249" t="n"/>
      <c r="H767" s="249" t="n"/>
    </row>
    <row r="768" ht="13" customHeight="1" s="250">
      <c r="A768" s="249" t="n"/>
      <c r="B768" s="249" t="n"/>
      <c r="C768" s="249" t="n"/>
      <c r="D768" s="249" t="n"/>
      <c r="E768" s="249" t="n"/>
      <c r="F768" s="249" t="n"/>
      <c r="G768" s="249" t="n"/>
      <c r="H768" s="249" t="n"/>
    </row>
    <row r="769" ht="13" customHeight="1" s="250">
      <c r="A769" s="249" t="n"/>
      <c r="B769" s="249" t="n"/>
      <c r="C769" s="249" t="n"/>
      <c r="D769" s="249" t="n"/>
      <c r="E769" s="249" t="n"/>
      <c r="F769" s="249" t="n"/>
      <c r="G769" s="249" t="n"/>
      <c r="H769" s="249" t="n"/>
    </row>
    <row r="770" ht="13" customHeight="1" s="250">
      <c r="A770" s="249" t="n"/>
      <c r="B770" s="249" t="n"/>
      <c r="C770" s="249" t="n"/>
      <c r="D770" s="249" t="n"/>
      <c r="E770" s="249" t="n"/>
      <c r="F770" s="249" t="n"/>
      <c r="G770" s="249" t="n"/>
      <c r="H770" s="249" t="n"/>
    </row>
    <row r="771" ht="13" customHeight="1" s="250">
      <c r="A771" s="249" t="n"/>
      <c r="B771" s="249" t="n"/>
      <c r="C771" s="249" t="n"/>
      <c r="D771" s="249" t="n"/>
      <c r="E771" s="249" t="n"/>
      <c r="F771" s="249" t="n"/>
      <c r="G771" s="249" t="n"/>
      <c r="H771" s="249" t="n"/>
    </row>
    <row r="772" ht="13" customHeight="1" s="250">
      <c r="A772" s="249" t="n"/>
      <c r="B772" s="249" t="n"/>
      <c r="C772" s="249" t="n"/>
      <c r="D772" s="249" t="n"/>
      <c r="E772" s="249" t="n"/>
      <c r="F772" s="249" t="n"/>
      <c r="G772" s="249" t="n"/>
      <c r="H772" s="249" t="n"/>
    </row>
    <row r="773" ht="13" customHeight="1" s="250">
      <c r="A773" s="249" t="n"/>
      <c r="B773" s="249" t="n"/>
      <c r="C773" s="249" t="n"/>
      <c r="D773" s="249" t="n"/>
      <c r="E773" s="249" t="n"/>
      <c r="F773" s="249" t="n"/>
      <c r="G773" s="249" t="n"/>
      <c r="H773" s="249" t="n"/>
    </row>
    <row r="774" ht="13" customHeight="1" s="250">
      <c r="A774" s="249" t="n"/>
      <c r="B774" s="249" t="n"/>
      <c r="C774" s="249" t="n"/>
      <c r="D774" s="249" t="n"/>
      <c r="E774" s="249" t="n"/>
      <c r="F774" s="249" t="n"/>
      <c r="G774" s="249" t="n"/>
      <c r="H774" s="249" t="n"/>
    </row>
    <row r="775" ht="13" customHeight="1" s="250">
      <c r="A775" s="249" t="n"/>
      <c r="B775" s="249" t="n"/>
      <c r="C775" s="249" t="n"/>
      <c r="D775" s="249" t="n"/>
      <c r="E775" s="249" t="n"/>
      <c r="F775" s="249" t="n"/>
      <c r="G775" s="249" t="n"/>
      <c r="H775" s="249" t="n"/>
    </row>
    <row r="776" ht="13" customHeight="1" s="250">
      <c r="A776" s="249" t="n"/>
      <c r="B776" s="249" t="n"/>
      <c r="C776" s="249" t="n"/>
      <c r="D776" s="249" t="n"/>
      <c r="E776" s="249" t="n"/>
      <c r="F776" s="249" t="n"/>
      <c r="G776" s="249" t="n"/>
      <c r="H776" s="249" t="n"/>
    </row>
    <row r="777" ht="13" customHeight="1" s="250">
      <c r="A777" s="249" t="n"/>
      <c r="B777" s="249" t="n"/>
      <c r="C777" s="249" t="n"/>
      <c r="D777" s="249" t="n"/>
      <c r="E777" s="249" t="n"/>
      <c r="F777" s="249" t="n"/>
      <c r="G777" s="249" t="n"/>
      <c r="H777" s="249" t="n"/>
    </row>
    <row r="778" ht="13" customHeight="1" s="250">
      <c r="A778" s="249" t="n"/>
      <c r="B778" s="249" t="n"/>
      <c r="C778" s="249" t="n"/>
      <c r="D778" s="249" t="n"/>
      <c r="E778" s="249" t="n"/>
      <c r="F778" s="249" t="n"/>
      <c r="G778" s="249" t="n"/>
      <c r="H778" s="249" t="n"/>
    </row>
    <row r="779" ht="13" customHeight="1" s="250">
      <c r="A779" s="249" t="n"/>
      <c r="B779" s="249" t="n"/>
      <c r="C779" s="249" t="n"/>
      <c r="D779" s="249" t="n"/>
      <c r="E779" s="249" t="n"/>
      <c r="F779" s="249" t="n"/>
      <c r="G779" s="249" t="n"/>
      <c r="H779" s="249" t="n"/>
    </row>
    <row r="780" ht="13" customHeight="1" s="250">
      <c r="A780" s="249" t="n"/>
      <c r="B780" s="249" t="n"/>
      <c r="C780" s="249" t="n"/>
      <c r="D780" s="249" t="n"/>
      <c r="E780" s="249" t="n"/>
      <c r="F780" s="249" t="n"/>
      <c r="G780" s="249" t="n"/>
      <c r="H780" s="249" t="n"/>
    </row>
    <row r="781" ht="13" customHeight="1" s="250">
      <c r="A781" s="249" t="n"/>
      <c r="B781" s="249" t="n"/>
      <c r="C781" s="249" t="n"/>
      <c r="D781" s="249" t="n"/>
      <c r="E781" s="249" t="n"/>
      <c r="F781" s="249" t="n"/>
      <c r="G781" s="249" t="n"/>
      <c r="H781" s="249" t="n"/>
    </row>
    <row r="782" ht="13" customHeight="1" s="250">
      <c r="A782" s="249" t="n"/>
      <c r="B782" s="249" t="n"/>
      <c r="C782" s="249" t="n"/>
      <c r="D782" s="249" t="n"/>
      <c r="E782" s="249" t="n"/>
      <c r="F782" s="249" t="n"/>
      <c r="G782" s="249" t="n"/>
      <c r="H782" s="249" t="n"/>
    </row>
    <row r="783" ht="13" customHeight="1" s="250">
      <c r="A783" s="249" t="n"/>
      <c r="B783" s="249" t="n"/>
      <c r="C783" s="249" t="n"/>
      <c r="D783" s="249" t="n"/>
      <c r="E783" s="249" t="n"/>
      <c r="F783" s="249" t="n"/>
      <c r="G783" s="249" t="n"/>
      <c r="H783" s="249" t="n"/>
    </row>
    <row r="784" ht="13" customHeight="1" s="250">
      <c r="A784" s="249" t="n"/>
      <c r="B784" s="249" t="n"/>
      <c r="C784" s="249" t="n"/>
      <c r="D784" s="249" t="n"/>
      <c r="E784" s="249" t="n"/>
      <c r="F784" s="249" t="n"/>
      <c r="G784" s="249" t="n"/>
      <c r="H784" s="249" t="n"/>
    </row>
    <row r="785" ht="13" customHeight="1" s="250">
      <c r="A785" s="249" t="n"/>
      <c r="B785" s="249" t="n"/>
      <c r="C785" s="249" t="n"/>
      <c r="D785" s="249" t="n"/>
      <c r="E785" s="249" t="n"/>
      <c r="F785" s="249" t="n"/>
      <c r="G785" s="249" t="n"/>
      <c r="H785" s="249" t="n"/>
    </row>
    <row r="786" ht="13" customHeight="1" s="250">
      <c r="A786" s="249" t="n"/>
      <c r="B786" s="249" t="n"/>
      <c r="C786" s="249" t="n"/>
      <c r="D786" s="249" t="n"/>
      <c r="E786" s="249" t="n"/>
      <c r="F786" s="249" t="n"/>
      <c r="G786" s="249" t="n"/>
      <c r="H786" s="249" t="n"/>
    </row>
    <row r="787" ht="13" customHeight="1" s="250">
      <c r="A787" s="249" t="n"/>
      <c r="B787" s="249" t="n"/>
      <c r="C787" s="249" t="n"/>
      <c r="D787" s="249" t="n"/>
      <c r="E787" s="249" t="n"/>
      <c r="F787" s="249" t="n"/>
      <c r="G787" s="249" t="n"/>
      <c r="H787" s="249" t="n"/>
    </row>
    <row r="788" ht="13" customHeight="1" s="250">
      <c r="A788" s="249" t="n"/>
      <c r="B788" s="249" t="n"/>
      <c r="C788" s="249" t="n"/>
      <c r="D788" s="249" t="n"/>
      <c r="E788" s="249" t="n"/>
      <c r="F788" s="249" t="n"/>
      <c r="G788" s="249" t="n"/>
      <c r="H788" s="249" t="n"/>
    </row>
    <row r="789" ht="13" customHeight="1" s="250">
      <c r="A789" s="249" t="n"/>
      <c r="B789" s="249" t="n"/>
      <c r="C789" s="249" t="n"/>
      <c r="D789" s="249" t="n"/>
      <c r="E789" s="249" t="n"/>
      <c r="F789" s="249" t="n"/>
      <c r="G789" s="249" t="n"/>
      <c r="H789" s="249" t="n"/>
    </row>
    <row r="790" ht="13" customHeight="1" s="250">
      <c r="A790" s="249" t="n"/>
      <c r="B790" s="249" t="n"/>
      <c r="C790" s="249" t="n"/>
      <c r="D790" s="249" t="n"/>
      <c r="E790" s="249" t="n"/>
      <c r="F790" s="249" t="n"/>
      <c r="G790" s="249" t="n"/>
      <c r="H790" s="249" t="n"/>
    </row>
    <row r="791" ht="13" customHeight="1" s="250">
      <c r="A791" s="249" t="n"/>
      <c r="B791" s="249" t="n"/>
      <c r="C791" s="249" t="n"/>
      <c r="D791" s="249" t="n"/>
      <c r="E791" s="249" t="n"/>
      <c r="F791" s="249" t="n"/>
      <c r="G791" s="249" t="n"/>
      <c r="H791" s="249" t="n"/>
    </row>
    <row r="792" ht="13" customHeight="1" s="250">
      <c r="A792" s="249" t="n"/>
      <c r="B792" s="249" t="n"/>
      <c r="C792" s="249" t="n"/>
      <c r="D792" s="249" t="n"/>
      <c r="E792" s="249" t="n"/>
      <c r="F792" s="249" t="n"/>
      <c r="G792" s="249" t="n"/>
      <c r="H792" s="249" t="n"/>
    </row>
    <row r="793" ht="13" customHeight="1" s="250">
      <c r="A793" s="249" t="n"/>
      <c r="B793" s="249" t="n"/>
      <c r="C793" s="249" t="n"/>
      <c r="D793" s="249" t="n"/>
      <c r="E793" s="249" t="n"/>
      <c r="F793" s="249" t="n"/>
      <c r="G793" s="249" t="n"/>
      <c r="H793" s="249" t="n"/>
    </row>
    <row r="794" ht="13" customHeight="1" s="250">
      <c r="A794" s="249" t="n"/>
      <c r="B794" s="249" t="n"/>
      <c r="C794" s="249" t="n"/>
      <c r="D794" s="249" t="n"/>
      <c r="E794" s="249" t="n"/>
      <c r="F794" s="249" t="n"/>
      <c r="G794" s="249" t="n"/>
      <c r="H794" s="249" t="n"/>
    </row>
    <row r="795" ht="13" customHeight="1" s="250">
      <c r="A795" s="249" t="n"/>
      <c r="B795" s="249" t="n"/>
      <c r="C795" s="249" t="n"/>
      <c r="D795" s="249" t="n"/>
      <c r="E795" s="249" t="n"/>
      <c r="F795" s="249" t="n"/>
      <c r="G795" s="249" t="n"/>
      <c r="H795" s="249" t="n"/>
    </row>
    <row r="796" ht="13" customHeight="1" s="250">
      <c r="A796" s="249" t="n"/>
      <c r="B796" s="249" t="n"/>
      <c r="C796" s="249" t="n"/>
      <c r="D796" s="249" t="n"/>
      <c r="E796" s="249" t="n"/>
      <c r="F796" s="249" t="n"/>
      <c r="G796" s="249" t="n"/>
      <c r="H796" s="249" t="n"/>
    </row>
    <row r="797" ht="13" customHeight="1" s="250">
      <c r="A797" s="249" t="n"/>
      <c r="B797" s="249" t="n"/>
      <c r="C797" s="249" t="n"/>
      <c r="D797" s="249" t="n"/>
      <c r="E797" s="249" t="n"/>
      <c r="F797" s="249" t="n"/>
      <c r="G797" s="249" t="n"/>
      <c r="H797" s="249" t="n"/>
    </row>
    <row r="798" ht="13" customHeight="1" s="250">
      <c r="A798" s="249" t="n"/>
      <c r="B798" s="249" t="n"/>
      <c r="C798" s="249" t="n"/>
      <c r="D798" s="249" t="n"/>
      <c r="E798" s="249" t="n"/>
      <c r="F798" s="249" t="n"/>
      <c r="G798" s="249" t="n"/>
      <c r="H798" s="249" t="n"/>
    </row>
    <row r="799" ht="13" customHeight="1" s="250">
      <c r="A799" s="249" t="n"/>
      <c r="B799" s="249" t="n"/>
      <c r="C799" s="249" t="n"/>
      <c r="D799" s="249" t="n"/>
      <c r="E799" s="249" t="n"/>
      <c r="F799" s="249" t="n"/>
      <c r="G799" s="249" t="n"/>
      <c r="H799" s="249" t="n"/>
    </row>
    <row r="800" ht="13" customHeight="1" s="250">
      <c r="A800" s="249" t="n"/>
      <c r="B800" s="249" t="n"/>
      <c r="C800" s="249" t="n"/>
      <c r="D800" s="249" t="n"/>
      <c r="E800" s="249" t="n"/>
      <c r="F800" s="249" t="n"/>
      <c r="G800" s="249" t="n"/>
      <c r="H800" s="249" t="n"/>
    </row>
    <row r="801" ht="13" customHeight="1" s="250">
      <c r="A801" s="249" t="n"/>
      <c r="B801" s="249" t="n"/>
      <c r="C801" s="249" t="n"/>
      <c r="D801" s="249" t="n"/>
      <c r="E801" s="249" t="n"/>
      <c r="F801" s="249" t="n"/>
      <c r="G801" s="249" t="n"/>
      <c r="H801" s="249" t="n"/>
    </row>
    <row r="802" ht="13" customHeight="1" s="250">
      <c r="A802" s="249" t="n"/>
      <c r="B802" s="249" t="n"/>
      <c r="C802" s="249" t="n"/>
      <c r="D802" s="249" t="n"/>
      <c r="E802" s="249" t="n"/>
      <c r="F802" s="249" t="n"/>
      <c r="G802" s="249" t="n"/>
      <c r="H802" s="249" t="n"/>
    </row>
    <row r="803" ht="13" customHeight="1" s="250">
      <c r="A803" s="249" t="n"/>
      <c r="B803" s="249" t="n"/>
      <c r="C803" s="249" t="n"/>
      <c r="D803" s="249" t="n"/>
      <c r="E803" s="249" t="n"/>
      <c r="F803" s="249" t="n"/>
      <c r="G803" s="249" t="n"/>
      <c r="H803" s="249" t="n"/>
    </row>
    <row r="804" ht="13" customHeight="1" s="250">
      <c r="A804" s="249" t="n"/>
      <c r="B804" s="249" t="n"/>
      <c r="C804" s="249" t="n"/>
      <c r="D804" s="249" t="n"/>
      <c r="E804" s="249" t="n"/>
      <c r="F804" s="249" t="n"/>
      <c r="G804" s="249" t="n"/>
      <c r="H804" s="249" t="n"/>
    </row>
    <row r="805" ht="13" customHeight="1" s="250">
      <c r="A805" s="249" t="n"/>
      <c r="B805" s="249" t="n"/>
      <c r="C805" s="249" t="n"/>
      <c r="D805" s="249" t="n"/>
      <c r="E805" s="249" t="n"/>
      <c r="F805" s="249" t="n"/>
      <c r="G805" s="249" t="n"/>
      <c r="H805" s="249" t="n"/>
    </row>
    <row r="806" ht="13" customHeight="1" s="250">
      <c r="A806" s="249" t="n"/>
      <c r="B806" s="249" t="n"/>
      <c r="C806" s="249" t="n"/>
      <c r="D806" s="249" t="n"/>
      <c r="E806" s="249" t="n"/>
      <c r="F806" s="249" t="n"/>
      <c r="G806" s="249" t="n"/>
      <c r="H806" s="249" t="n"/>
    </row>
    <row r="807" ht="13" customHeight="1" s="250">
      <c r="A807" s="249" t="n"/>
      <c r="B807" s="249" t="n"/>
      <c r="C807" s="249" t="n"/>
      <c r="D807" s="249" t="n"/>
      <c r="E807" s="249" t="n"/>
      <c r="F807" s="249" t="n"/>
      <c r="G807" s="249" t="n"/>
      <c r="H807" s="249" t="n"/>
    </row>
    <row r="808" ht="13" customHeight="1" s="250">
      <c r="A808" s="249" t="n"/>
      <c r="B808" s="249" t="n"/>
      <c r="C808" s="249" t="n"/>
      <c r="D808" s="249" t="n"/>
      <c r="E808" s="249" t="n"/>
      <c r="F808" s="249" t="n"/>
      <c r="G808" s="249" t="n"/>
      <c r="H808" s="249" t="n"/>
    </row>
    <row r="809" ht="13" customHeight="1" s="250">
      <c r="A809" s="249" t="n"/>
      <c r="B809" s="249" t="n"/>
      <c r="C809" s="249" t="n"/>
      <c r="D809" s="249" t="n"/>
      <c r="E809" s="249" t="n"/>
      <c r="F809" s="249" t="n"/>
      <c r="G809" s="249" t="n"/>
      <c r="H809" s="249" t="n"/>
    </row>
    <row r="810" ht="13" customHeight="1" s="250">
      <c r="A810" s="249" t="n"/>
      <c r="B810" s="249" t="n"/>
      <c r="C810" s="249" t="n"/>
      <c r="D810" s="249" t="n"/>
      <c r="E810" s="249" t="n"/>
      <c r="F810" s="249" t="n"/>
      <c r="G810" s="249" t="n"/>
      <c r="H810" s="249" t="n"/>
    </row>
    <row r="811" ht="13" customHeight="1" s="250">
      <c r="A811" s="249" t="n"/>
      <c r="B811" s="249" t="n"/>
      <c r="C811" s="249" t="n"/>
      <c r="D811" s="249" t="n"/>
      <c r="E811" s="249" t="n"/>
      <c r="F811" s="249" t="n"/>
      <c r="G811" s="249" t="n"/>
      <c r="H811" s="249" t="n"/>
    </row>
    <row r="812" ht="13" customHeight="1" s="250">
      <c r="A812" s="249" t="n"/>
      <c r="B812" s="249" t="n"/>
      <c r="C812" s="249" t="n"/>
      <c r="D812" s="249" t="n"/>
      <c r="E812" s="249" t="n"/>
      <c r="F812" s="249" t="n"/>
      <c r="G812" s="249" t="n"/>
      <c r="H812" s="249" t="n"/>
    </row>
    <row r="813" ht="13" customHeight="1" s="250">
      <c r="A813" s="249" t="n"/>
      <c r="B813" s="249" t="n"/>
      <c r="C813" s="249" t="n"/>
      <c r="D813" s="249" t="n"/>
      <c r="E813" s="249" t="n"/>
      <c r="F813" s="249" t="n"/>
      <c r="G813" s="249" t="n"/>
      <c r="H813" s="249" t="n"/>
    </row>
    <row r="814" ht="13" customHeight="1" s="250">
      <c r="A814" s="249" t="n"/>
      <c r="B814" s="249" t="n"/>
      <c r="C814" s="249" t="n"/>
      <c r="D814" s="249" t="n"/>
      <c r="E814" s="249" t="n"/>
      <c r="F814" s="249" t="n"/>
      <c r="G814" s="249" t="n"/>
      <c r="H814" s="249" t="n"/>
    </row>
    <row r="815" ht="13" customHeight="1" s="250">
      <c r="A815" s="249" t="n"/>
      <c r="B815" s="249" t="n"/>
      <c r="C815" s="249" t="n"/>
      <c r="D815" s="249" t="n"/>
      <c r="E815" s="249" t="n"/>
      <c r="F815" s="249" t="n"/>
      <c r="G815" s="249" t="n"/>
      <c r="H815" s="249" t="n"/>
    </row>
    <row r="816" ht="13" customHeight="1" s="250">
      <c r="A816" s="249" t="n"/>
      <c r="B816" s="249" t="n"/>
      <c r="C816" s="249" t="n"/>
      <c r="D816" s="249" t="n"/>
      <c r="E816" s="249" t="n"/>
      <c r="F816" s="249" t="n"/>
      <c r="G816" s="249" t="n"/>
      <c r="H816" s="249" t="n"/>
    </row>
    <row r="817" ht="13" customHeight="1" s="250">
      <c r="A817" s="249" t="n"/>
      <c r="B817" s="249" t="n"/>
      <c r="C817" s="249" t="n"/>
      <c r="D817" s="249" t="n"/>
      <c r="E817" s="249" t="n"/>
      <c r="F817" s="249" t="n"/>
      <c r="G817" s="249" t="n"/>
      <c r="H817" s="249" t="n"/>
    </row>
    <row r="818" ht="13" customHeight="1" s="250">
      <c r="A818" s="249" t="n"/>
      <c r="B818" s="249" t="n"/>
      <c r="C818" s="249" t="n"/>
      <c r="D818" s="249" t="n"/>
      <c r="E818" s="249" t="n"/>
      <c r="F818" s="249" t="n"/>
      <c r="G818" s="249" t="n"/>
      <c r="H818" s="249" t="n"/>
    </row>
    <row r="819" ht="13" customHeight="1" s="250">
      <c r="A819" s="249" t="n"/>
      <c r="B819" s="249" t="n"/>
      <c r="C819" s="249" t="n"/>
      <c r="D819" s="249" t="n"/>
      <c r="E819" s="249" t="n"/>
      <c r="F819" s="249" t="n"/>
      <c r="G819" s="249" t="n"/>
      <c r="H819" s="249" t="n"/>
    </row>
    <row r="820" ht="13" customHeight="1" s="250">
      <c r="A820" s="249" t="n"/>
      <c r="B820" s="249" t="n"/>
      <c r="C820" s="249" t="n"/>
      <c r="D820" s="249" t="n"/>
      <c r="E820" s="249" t="n"/>
      <c r="F820" s="249" t="n"/>
      <c r="G820" s="249" t="n"/>
      <c r="H820" s="249" t="n"/>
    </row>
    <row r="821" ht="13" customHeight="1" s="250">
      <c r="A821" s="249" t="n"/>
      <c r="B821" s="249" t="n"/>
      <c r="C821" s="249" t="n"/>
      <c r="D821" s="249" t="n"/>
      <c r="E821" s="249" t="n"/>
      <c r="F821" s="249" t="n"/>
      <c r="G821" s="249" t="n"/>
      <c r="H821" s="249" t="n"/>
    </row>
    <row r="822" ht="13" customHeight="1" s="250">
      <c r="A822" s="249" t="n"/>
      <c r="B822" s="249" t="n"/>
      <c r="C822" s="249" t="n"/>
      <c r="D822" s="249" t="n"/>
      <c r="E822" s="249" t="n"/>
      <c r="F822" s="249" t="n"/>
      <c r="G822" s="249" t="n"/>
      <c r="H822" s="249" t="n"/>
    </row>
    <row r="823" ht="13" customHeight="1" s="250">
      <c r="A823" s="249" t="n"/>
      <c r="B823" s="249" t="n"/>
      <c r="C823" s="249" t="n"/>
      <c r="D823" s="249" t="n"/>
      <c r="E823" s="249" t="n"/>
      <c r="F823" s="249" t="n"/>
      <c r="G823" s="249" t="n"/>
      <c r="H823" s="249" t="n"/>
    </row>
    <row r="824" ht="13" customHeight="1" s="250">
      <c r="A824" s="249" t="n"/>
      <c r="B824" s="249" t="n"/>
      <c r="C824" s="249" t="n"/>
      <c r="D824" s="249" t="n"/>
      <c r="E824" s="249" t="n"/>
      <c r="F824" s="249" t="n"/>
      <c r="G824" s="249" t="n"/>
      <c r="H824" s="249" t="n"/>
    </row>
    <row r="825" ht="13" customHeight="1" s="250">
      <c r="A825" s="249" t="n"/>
      <c r="B825" s="249" t="n"/>
      <c r="C825" s="249" t="n"/>
      <c r="D825" s="249" t="n"/>
      <c r="E825" s="249" t="n"/>
      <c r="F825" s="249" t="n"/>
      <c r="G825" s="249" t="n"/>
      <c r="H825" s="249" t="n"/>
    </row>
    <row r="826" ht="13" customHeight="1" s="250">
      <c r="A826" s="249" t="n"/>
      <c r="B826" s="249" t="n"/>
      <c r="C826" s="249" t="n"/>
      <c r="D826" s="249" t="n"/>
      <c r="E826" s="249" t="n"/>
      <c r="F826" s="249" t="n"/>
      <c r="G826" s="249" t="n"/>
      <c r="H826" s="249" t="n"/>
    </row>
    <row r="827" ht="13" customHeight="1" s="250">
      <c r="A827" s="249" t="n"/>
      <c r="B827" s="249" t="n"/>
      <c r="C827" s="249" t="n"/>
      <c r="D827" s="249" t="n"/>
      <c r="E827" s="249" t="n"/>
      <c r="F827" s="249" t="n"/>
      <c r="G827" s="249" t="n"/>
      <c r="H827" s="249" t="n"/>
    </row>
    <row r="828" ht="13" customHeight="1" s="250">
      <c r="A828" s="249" t="n"/>
      <c r="B828" s="249" t="n"/>
      <c r="C828" s="249" t="n"/>
      <c r="D828" s="249" t="n"/>
      <c r="E828" s="249" t="n"/>
      <c r="F828" s="249" t="n"/>
      <c r="G828" s="249" t="n"/>
      <c r="H828" s="249" t="n"/>
    </row>
    <row r="829" ht="13" customHeight="1" s="250">
      <c r="A829" s="249" t="n"/>
      <c r="B829" s="249" t="n"/>
      <c r="C829" s="249" t="n"/>
      <c r="D829" s="249" t="n"/>
      <c r="E829" s="249" t="n"/>
      <c r="F829" s="249" t="n"/>
      <c r="G829" s="249" t="n"/>
      <c r="H829" s="249" t="n"/>
    </row>
    <row r="830" ht="13" customHeight="1" s="250">
      <c r="A830" s="249" t="n"/>
      <c r="B830" s="249" t="n"/>
      <c r="C830" s="249" t="n"/>
      <c r="D830" s="249" t="n"/>
      <c r="E830" s="249" t="n"/>
      <c r="F830" s="249" t="n"/>
      <c r="G830" s="249" t="n"/>
      <c r="H830" s="249" t="n"/>
    </row>
    <row r="831" ht="13" customHeight="1" s="250">
      <c r="A831" s="249" t="n"/>
      <c r="B831" s="249" t="n"/>
      <c r="C831" s="249" t="n"/>
      <c r="D831" s="249" t="n"/>
      <c r="E831" s="249" t="n"/>
      <c r="F831" s="249" t="n"/>
      <c r="G831" s="249" t="n"/>
      <c r="H831" s="249" t="n"/>
    </row>
    <row r="832" ht="13" customHeight="1" s="250">
      <c r="A832" s="249" t="n"/>
      <c r="B832" s="249" t="n"/>
      <c r="C832" s="249" t="n"/>
      <c r="D832" s="249" t="n"/>
      <c r="E832" s="249" t="n"/>
      <c r="F832" s="249" t="n"/>
      <c r="G832" s="249" t="n"/>
      <c r="H832" s="249" t="n"/>
    </row>
    <row r="833" ht="13" customHeight="1" s="250">
      <c r="A833" s="249" t="n"/>
      <c r="B833" s="249" t="n"/>
      <c r="C833" s="249" t="n"/>
      <c r="D833" s="249" t="n"/>
      <c r="E833" s="249" t="n"/>
      <c r="F833" s="249" t="n"/>
      <c r="G833" s="249" t="n"/>
      <c r="H833" s="249" t="n"/>
    </row>
    <row r="834" ht="13" customHeight="1" s="250">
      <c r="A834" s="249" t="n"/>
      <c r="B834" s="249" t="n"/>
      <c r="C834" s="249" t="n"/>
      <c r="D834" s="249" t="n"/>
      <c r="E834" s="249" t="n"/>
      <c r="F834" s="249" t="n"/>
      <c r="G834" s="249" t="n"/>
      <c r="H834" s="249" t="n"/>
    </row>
    <row r="835" ht="13" customHeight="1" s="250">
      <c r="A835" s="249" t="n"/>
      <c r="B835" s="249" t="n"/>
      <c r="C835" s="249" t="n"/>
      <c r="D835" s="249" t="n"/>
      <c r="E835" s="249" t="n"/>
      <c r="F835" s="249" t="n"/>
      <c r="G835" s="249" t="n"/>
      <c r="H835" s="249" t="n"/>
    </row>
    <row r="836" ht="13" customHeight="1" s="250">
      <c r="A836" s="249" t="n"/>
      <c r="B836" s="249" t="n"/>
      <c r="C836" s="249" t="n"/>
      <c r="D836" s="249" t="n"/>
      <c r="E836" s="249" t="n"/>
      <c r="F836" s="249" t="n"/>
      <c r="G836" s="249" t="n"/>
      <c r="H836" s="249" t="n"/>
    </row>
    <row r="837" ht="13" customHeight="1" s="250">
      <c r="A837" s="249" t="n"/>
      <c r="B837" s="249" t="n"/>
      <c r="C837" s="249" t="n"/>
      <c r="D837" s="249" t="n"/>
      <c r="E837" s="249" t="n"/>
      <c r="F837" s="249" t="n"/>
      <c r="G837" s="249" t="n"/>
      <c r="H837" s="249" t="n"/>
    </row>
    <row r="838" ht="13" customHeight="1" s="250">
      <c r="A838" s="249" t="n"/>
      <c r="B838" s="249" t="n"/>
      <c r="C838" s="249" t="n"/>
      <c r="D838" s="249" t="n"/>
      <c r="E838" s="249" t="n"/>
      <c r="F838" s="249" t="n"/>
      <c r="G838" s="249" t="n"/>
      <c r="H838" s="249" t="n"/>
    </row>
    <row r="839" ht="13" customHeight="1" s="250">
      <c r="A839" s="249" t="n"/>
      <c r="B839" s="249" t="n"/>
      <c r="C839" s="249" t="n"/>
      <c r="D839" s="249" t="n"/>
      <c r="E839" s="249" t="n"/>
      <c r="F839" s="249" t="n"/>
      <c r="G839" s="249" t="n"/>
      <c r="H839" s="249" t="n"/>
    </row>
    <row r="840" ht="13" customHeight="1" s="250">
      <c r="A840" s="249" t="n"/>
      <c r="B840" s="249" t="n"/>
      <c r="C840" s="249" t="n"/>
      <c r="D840" s="249" t="n"/>
      <c r="E840" s="249" t="n"/>
      <c r="F840" s="249" t="n"/>
      <c r="G840" s="249" t="n"/>
      <c r="H840" s="249" t="n"/>
    </row>
    <row r="841" ht="13" customHeight="1" s="250">
      <c r="A841" s="249" t="n"/>
      <c r="B841" s="249" t="n"/>
      <c r="C841" s="249" t="n"/>
      <c r="D841" s="249" t="n"/>
      <c r="E841" s="249" t="n"/>
      <c r="F841" s="249" t="n"/>
      <c r="G841" s="249" t="n"/>
      <c r="H841" s="249" t="n"/>
    </row>
    <row r="842" ht="13" customHeight="1" s="250">
      <c r="A842" s="249" t="n"/>
      <c r="B842" s="249" t="n"/>
      <c r="C842" s="249" t="n"/>
      <c r="D842" s="249" t="n"/>
      <c r="E842" s="249" t="n"/>
      <c r="F842" s="249" t="n"/>
      <c r="G842" s="249" t="n"/>
      <c r="H842" s="249" t="n"/>
    </row>
    <row r="843" ht="13" customHeight="1" s="250">
      <c r="A843" s="249" t="n"/>
      <c r="B843" s="249" t="n"/>
      <c r="C843" s="249" t="n"/>
      <c r="D843" s="249" t="n"/>
      <c r="E843" s="249" t="n"/>
      <c r="F843" s="249" t="n"/>
      <c r="G843" s="249" t="n"/>
      <c r="H843" s="249" t="n"/>
    </row>
    <row r="844" ht="13" customHeight="1" s="250">
      <c r="A844" s="249" t="n"/>
      <c r="B844" s="249" t="n"/>
      <c r="C844" s="249" t="n"/>
      <c r="D844" s="249" t="n"/>
      <c r="E844" s="249" t="n"/>
      <c r="F844" s="249" t="n"/>
      <c r="G844" s="249" t="n"/>
      <c r="H844" s="249" t="n"/>
    </row>
    <row r="845" ht="13" customHeight="1" s="250">
      <c r="A845" s="249" t="n"/>
      <c r="B845" s="249" t="n"/>
      <c r="C845" s="249" t="n"/>
      <c r="D845" s="249" t="n"/>
      <c r="E845" s="249" t="n"/>
      <c r="F845" s="249" t="n"/>
      <c r="G845" s="249" t="n"/>
      <c r="H845" s="249" t="n"/>
    </row>
    <row r="846" ht="13" customHeight="1" s="250">
      <c r="A846" s="249" t="n"/>
      <c r="B846" s="249" t="n"/>
      <c r="C846" s="249" t="n"/>
      <c r="D846" s="249" t="n"/>
      <c r="E846" s="249" t="n"/>
      <c r="F846" s="249" t="n"/>
      <c r="G846" s="249" t="n"/>
      <c r="H846" s="249" t="n"/>
    </row>
    <row r="847" ht="13" customHeight="1" s="250">
      <c r="A847" s="249" t="n"/>
      <c r="B847" s="249" t="n"/>
      <c r="C847" s="249" t="n"/>
      <c r="D847" s="249" t="n"/>
      <c r="E847" s="249" t="n"/>
      <c r="F847" s="249" t="n"/>
      <c r="G847" s="249" t="n"/>
      <c r="H847" s="249" t="n"/>
    </row>
    <row r="848" ht="13" customHeight="1" s="250">
      <c r="A848" s="249" t="n"/>
      <c r="B848" s="249" t="n"/>
      <c r="C848" s="249" t="n"/>
      <c r="D848" s="249" t="n"/>
      <c r="E848" s="249" t="n"/>
      <c r="F848" s="249" t="n"/>
      <c r="G848" s="249" t="n"/>
      <c r="H848" s="249" t="n"/>
    </row>
    <row r="849" ht="13" customHeight="1" s="250">
      <c r="A849" s="249" t="n"/>
      <c r="B849" s="249" t="n"/>
      <c r="C849" s="249" t="n"/>
      <c r="D849" s="249" t="n"/>
      <c r="E849" s="249" t="n"/>
      <c r="F849" s="249" t="n"/>
      <c r="G849" s="249" t="n"/>
      <c r="H849" s="249" t="n"/>
    </row>
    <row r="850" ht="13" customHeight="1" s="250">
      <c r="A850" s="249" t="n"/>
      <c r="B850" s="249" t="n"/>
      <c r="C850" s="249" t="n"/>
      <c r="D850" s="249" t="n"/>
      <c r="E850" s="249" t="n"/>
      <c r="F850" s="249" t="n"/>
      <c r="G850" s="249" t="n"/>
      <c r="H850" s="249" t="n"/>
    </row>
    <row r="851" ht="13" customHeight="1" s="250">
      <c r="A851" s="249" t="n"/>
      <c r="B851" s="249" t="n"/>
      <c r="C851" s="249" t="n"/>
      <c r="D851" s="249" t="n"/>
      <c r="E851" s="249" t="n"/>
      <c r="F851" s="249" t="n"/>
      <c r="G851" s="249" t="n"/>
      <c r="H851" s="249" t="n"/>
    </row>
    <row r="852" ht="13" customHeight="1" s="250">
      <c r="A852" s="249" t="n"/>
      <c r="B852" s="249" t="n"/>
      <c r="C852" s="249" t="n"/>
      <c r="D852" s="249" t="n"/>
      <c r="E852" s="249" t="n"/>
      <c r="F852" s="249" t="n"/>
      <c r="G852" s="249" t="n"/>
      <c r="H852" s="249" t="n"/>
    </row>
    <row r="853" ht="13" customHeight="1" s="250">
      <c r="A853" s="249" t="n"/>
      <c r="B853" s="249" t="n"/>
      <c r="C853" s="249" t="n"/>
      <c r="D853" s="249" t="n"/>
      <c r="E853" s="249" t="n"/>
      <c r="F853" s="249" t="n"/>
      <c r="G853" s="249" t="n"/>
      <c r="H853" s="249" t="n"/>
    </row>
    <row r="854" ht="13" customHeight="1" s="250">
      <c r="A854" s="249" t="n"/>
      <c r="B854" s="249" t="n"/>
      <c r="C854" s="249" t="n"/>
      <c r="D854" s="249" t="n"/>
      <c r="E854" s="249" t="n"/>
      <c r="F854" s="249" t="n"/>
      <c r="G854" s="249" t="n"/>
      <c r="H854" s="249" t="n"/>
    </row>
    <row r="855" ht="13" customHeight="1" s="250">
      <c r="A855" s="249" t="n"/>
      <c r="B855" s="249" t="n"/>
      <c r="C855" s="249" t="n"/>
      <c r="D855" s="249" t="n"/>
      <c r="E855" s="249" t="n"/>
      <c r="F855" s="249" t="n"/>
      <c r="G855" s="249" t="n"/>
      <c r="H855" s="249" t="n"/>
    </row>
    <row r="856" ht="13" customHeight="1" s="250">
      <c r="A856" s="249" t="n"/>
      <c r="B856" s="249" t="n"/>
      <c r="C856" s="249" t="n"/>
      <c r="D856" s="249" t="n"/>
      <c r="E856" s="249" t="n"/>
      <c r="F856" s="249" t="n"/>
      <c r="G856" s="249" t="n"/>
      <c r="H856" s="249" t="n"/>
    </row>
    <row r="857" ht="13" customHeight="1" s="250">
      <c r="A857" s="249" t="n"/>
      <c r="B857" s="249" t="n"/>
      <c r="C857" s="249" t="n"/>
      <c r="D857" s="249" t="n"/>
      <c r="E857" s="249" t="n"/>
      <c r="F857" s="249" t="n"/>
      <c r="G857" s="249" t="n"/>
      <c r="H857" s="249" t="n"/>
    </row>
    <row r="858" ht="13" customHeight="1" s="250">
      <c r="A858" s="249" t="n"/>
      <c r="B858" s="249" t="n"/>
      <c r="C858" s="249" t="n"/>
      <c r="D858" s="249" t="n"/>
      <c r="E858" s="249" t="n"/>
      <c r="F858" s="249" t="n"/>
      <c r="G858" s="249" t="n"/>
      <c r="H858" s="249" t="n"/>
    </row>
    <row r="859" ht="13" customHeight="1" s="250">
      <c r="A859" s="249" t="n"/>
      <c r="B859" s="249" t="n"/>
      <c r="C859" s="249" t="n"/>
      <c r="D859" s="249" t="n"/>
      <c r="E859" s="249" t="n"/>
      <c r="F859" s="249" t="n"/>
      <c r="G859" s="249" t="n"/>
      <c r="H859" s="249" t="n"/>
    </row>
    <row r="860" ht="13" customHeight="1" s="250">
      <c r="A860" s="249" t="n"/>
      <c r="B860" s="249" t="n"/>
      <c r="C860" s="249" t="n"/>
      <c r="D860" s="249" t="n"/>
      <c r="E860" s="249" t="n"/>
      <c r="F860" s="249" t="n"/>
      <c r="G860" s="249" t="n"/>
      <c r="H860" s="249" t="n"/>
    </row>
    <row r="861" ht="13" customHeight="1" s="250">
      <c r="A861" s="249" t="n"/>
      <c r="B861" s="249" t="n"/>
      <c r="C861" s="249" t="n"/>
      <c r="D861" s="249" t="n"/>
      <c r="E861" s="249" t="n"/>
      <c r="F861" s="249" t="n"/>
      <c r="G861" s="249" t="n"/>
      <c r="H861" s="249" t="n"/>
    </row>
    <row r="862" ht="13" customHeight="1" s="250">
      <c r="A862" s="249" t="n"/>
      <c r="B862" s="249" t="n"/>
      <c r="C862" s="249" t="n"/>
      <c r="D862" s="249" t="n"/>
      <c r="E862" s="249" t="n"/>
      <c r="F862" s="249" t="n"/>
      <c r="G862" s="249" t="n"/>
      <c r="H862" s="249" t="n"/>
    </row>
    <row r="863" ht="13" customHeight="1" s="250">
      <c r="A863" s="249" t="n"/>
      <c r="B863" s="249" t="n"/>
      <c r="C863" s="249" t="n"/>
      <c r="D863" s="249" t="n"/>
      <c r="E863" s="249" t="n"/>
      <c r="F863" s="249" t="n"/>
      <c r="G863" s="249" t="n"/>
      <c r="H863" s="249" t="n"/>
    </row>
    <row r="864" ht="13" customHeight="1" s="250">
      <c r="A864" s="249" t="n"/>
      <c r="B864" s="249" t="n"/>
      <c r="C864" s="249" t="n"/>
      <c r="D864" s="249" t="n"/>
      <c r="E864" s="249" t="n"/>
      <c r="F864" s="249" t="n"/>
      <c r="G864" s="249" t="n"/>
      <c r="H864" s="249" t="n"/>
    </row>
    <row r="865" ht="13" customHeight="1" s="250">
      <c r="A865" s="249" t="n"/>
      <c r="B865" s="249" t="n"/>
      <c r="C865" s="249" t="n"/>
      <c r="D865" s="249" t="n"/>
      <c r="E865" s="249" t="n"/>
      <c r="F865" s="249" t="n"/>
      <c r="G865" s="249" t="n"/>
      <c r="H865" s="249" t="n"/>
    </row>
    <row r="866" ht="13" customHeight="1" s="250">
      <c r="A866" s="249" t="n"/>
      <c r="B866" s="249" t="n"/>
      <c r="C866" s="249" t="n"/>
      <c r="D866" s="249" t="n"/>
      <c r="E866" s="249" t="n"/>
      <c r="F866" s="249" t="n"/>
      <c r="G866" s="249" t="n"/>
      <c r="H866" s="249" t="n"/>
    </row>
    <row r="867" ht="13" customHeight="1" s="250">
      <c r="A867" s="249" t="n"/>
      <c r="B867" s="249" t="n"/>
      <c r="C867" s="249" t="n"/>
      <c r="D867" s="249" t="n"/>
      <c r="E867" s="249" t="n"/>
      <c r="F867" s="249" t="n"/>
      <c r="G867" s="249" t="n"/>
      <c r="H867" s="249" t="n"/>
    </row>
    <row r="868" ht="13" customHeight="1" s="250">
      <c r="A868" s="249" t="n"/>
      <c r="B868" s="249" t="n"/>
      <c r="C868" s="249" t="n"/>
      <c r="D868" s="249" t="n"/>
      <c r="E868" s="249" t="n"/>
      <c r="F868" s="249" t="n"/>
      <c r="G868" s="249" t="n"/>
      <c r="H868" s="249" t="n"/>
    </row>
    <row r="869" ht="13" customHeight="1" s="250">
      <c r="A869" s="249" t="n"/>
      <c r="B869" s="249" t="n"/>
      <c r="C869" s="249" t="n"/>
      <c r="D869" s="249" t="n"/>
      <c r="E869" s="249" t="n"/>
      <c r="F869" s="249" t="n"/>
      <c r="G869" s="249" t="n"/>
      <c r="H869" s="249" t="n"/>
    </row>
    <row r="870" ht="13" customHeight="1" s="250">
      <c r="A870" s="249" t="n"/>
      <c r="B870" s="249" t="n"/>
      <c r="C870" s="249" t="n"/>
      <c r="D870" s="249" t="n"/>
      <c r="E870" s="249" t="n"/>
      <c r="F870" s="249" t="n"/>
      <c r="G870" s="249" t="n"/>
      <c r="H870" s="249" t="n"/>
    </row>
    <row r="871" ht="13" customHeight="1" s="250">
      <c r="A871" s="249" t="n"/>
      <c r="B871" s="249" t="n"/>
      <c r="C871" s="249" t="n"/>
      <c r="D871" s="249" t="n"/>
      <c r="E871" s="249" t="n"/>
      <c r="F871" s="249" t="n"/>
      <c r="G871" s="249" t="n"/>
      <c r="H871" s="249" t="n"/>
    </row>
    <row r="872" ht="13" customHeight="1" s="250">
      <c r="A872" s="249" t="n"/>
      <c r="B872" s="249" t="n"/>
      <c r="C872" s="249" t="n"/>
      <c r="D872" s="249" t="n"/>
      <c r="E872" s="249" t="n"/>
      <c r="F872" s="249" t="n"/>
      <c r="G872" s="249" t="n"/>
      <c r="H872" s="249" t="n"/>
    </row>
    <row r="873" ht="13" customHeight="1" s="250">
      <c r="A873" s="249" t="n"/>
      <c r="B873" s="249" t="n"/>
      <c r="C873" s="249" t="n"/>
      <c r="D873" s="249" t="n"/>
      <c r="E873" s="249" t="n"/>
      <c r="F873" s="249" t="n"/>
      <c r="G873" s="249" t="n"/>
      <c r="H873" s="249" t="n"/>
    </row>
    <row r="874" ht="13" customHeight="1" s="250">
      <c r="A874" s="249" t="n"/>
      <c r="B874" s="249" t="n"/>
      <c r="C874" s="249" t="n"/>
      <c r="D874" s="249" t="n"/>
      <c r="E874" s="249" t="n"/>
      <c r="F874" s="249" t="n"/>
      <c r="G874" s="249" t="n"/>
      <c r="H874" s="249" t="n"/>
    </row>
    <row r="875" ht="13" customHeight="1" s="250">
      <c r="A875" s="249" t="n"/>
      <c r="B875" s="249" t="n"/>
      <c r="C875" s="249" t="n"/>
      <c r="D875" s="249" t="n"/>
      <c r="E875" s="249" t="n"/>
      <c r="F875" s="249" t="n"/>
      <c r="G875" s="249" t="n"/>
      <c r="H875" s="249" t="n"/>
    </row>
    <row r="876" ht="13" customHeight="1" s="250">
      <c r="A876" s="249" t="n"/>
      <c r="B876" s="249" t="n"/>
      <c r="C876" s="249" t="n"/>
      <c r="D876" s="249" t="n"/>
      <c r="E876" s="249" t="n"/>
      <c r="F876" s="249" t="n"/>
      <c r="G876" s="249" t="n"/>
      <c r="H876" s="249" t="n"/>
    </row>
    <row r="877" ht="13" customHeight="1" s="250">
      <c r="A877" s="249" t="n"/>
      <c r="B877" s="249" t="n"/>
      <c r="C877" s="249" t="n"/>
      <c r="D877" s="249" t="n"/>
      <c r="E877" s="249" t="n"/>
      <c r="F877" s="249" t="n"/>
      <c r="G877" s="249" t="n"/>
      <c r="H877" s="249" t="n"/>
    </row>
    <row r="878" ht="13" customHeight="1" s="250">
      <c r="A878" s="249" t="n"/>
      <c r="B878" s="249" t="n"/>
      <c r="C878" s="249" t="n"/>
      <c r="D878" s="249" t="n"/>
      <c r="E878" s="249" t="n"/>
      <c r="F878" s="249" t="n"/>
      <c r="G878" s="249" t="n"/>
      <c r="H878" s="249" t="n"/>
    </row>
    <row r="879" ht="13" customHeight="1" s="250">
      <c r="A879" s="249" t="n"/>
      <c r="B879" s="249" t="n"/>
      <c r="C879" s="249" t="n"/>
      <c r="D879" s="249" t="n"/>
      <c r="E879" s="249" t="n"/>
      <c r="F879" s="249" t="n"/>
      <c r="G879" s="249" t="n"/>
      <c r="H879" s="249" t="n"/>
    </row>
    <row r="880" ht="13" customHeight="1" s="250">
      <c r="A880" s="249" t="n"/>
      <c r="B880" s="249" t="n"/>
      <c r="C880" s="249" t="n"/>
      <c r="D880" s="249" t="n"/>
      <c r="E880" s="249" t="n"/>
      <c r="F880" s="249" t="n"/>
      <c r="G880" s="249" t="n"/>
      <c r="H880" s="249" t="n"/>
    </row>
    <row r="881" ht="13" customHeight="1" s="250">
      <c r="A881" s="249" t="n"/>
      <c r="B881" s="249" t="n"/>
      <c r="C881" s="249" t="n"/>
      <c r="D881" s="249" t="n"/>
      <c r="E881" s="249" t="n"/>
      <c r="F881" s="249" t="n"/>
      <c r="G881" s="249" t="n"/>
      <c r="H881" s="249" t="n"/>
    </row>
    <row r="882" ht="13" customHeight="1" s="250">
      <c r="A882" s="249" t="n"/>
      <c r="B882" s="249" t="n"/>
      <c r="C882" s="249" t="n"/>
      <c r="D882" s="249" t="n"/>
      <c r="E882" s="249" t="n"/>
      <c r="F882" s="249" t="n"/>
      <c r="G882" s="249" t="n"/>
      <c r="H882" s="249" t="n"/>
    </row>
    <row r="883" ht="13" customHeight="1" s="250">
      <c r="A883" s="249" t="n"/>
      <c r="B883" s="249" t="n"/>
      <c r="C883" s="249" t="n"/>
      <c r="D883" s="249" t="n"/>
      <c r="E883" s="249" t="n"/>
      <c r="F883" s="249" t="n"/>
      <c r="G883" s="249" t="n"/>
      <c r="H883" s="249" t="n"/>
    </row>
    <row r="884" ht="13" customHeight="1" s="250">
      <c r="A884" s="249" t="n"/>
      <c r="B884" s="249" t="n"/>
      <c r="C884" s="249" t="n"/>
      <c r="D884" s="249" t="n"/>
      <c r="E884" s="249" t="n"/>
      <c r="F884" s="249" t="n"/>
      <c r="G884" s="249" t="n"/>
      <c r="H884" s="249" t="n"/>
    </row>
    <row r="885" ht="13" customHeight="1" s="250">
      <c r="A885" s="249" t="n"/>
      <c r="B885" s="249" t="n"/>
      <c r="C885" s="249" t="n"/>
      <c r="D885" s="249" t="n"/>
      <c r="E885" s="249" t="n"/>
      <c r="F885" s="249" t="n"/>
      <c r="G885" s="249" t="n"/>
      <c r="H885" s="249" t="n"/>
    </row>
    <row r="886" ht="13" customHeight="1" s="250">
      <c r="A886" s="249" t="n"/>
      <c r="B886" s="249" t="n"/>
      <c r="C886" s="249" t="n"/>
      <c r="D886" s="249" t="n"/>
      <c r="E886" s="249" t="n"/>
      <c r="F886" s="249" t="n"/>
      <c r="G886" s="249" t="n"/>
      <c r="H886" s="249" t="n"/>
    </row>
    <row r="887" ht="13" customHeight="1" s="250">
      <c r="A887" s="249" t="n"/>
      <c r="B887" s="249" t="n"/>
      <c r="C887" s="249" t="n"/>
      <c r="D887" s="249" t="n"/>
      <c r="E887" s="249" t="n"/>
      <c r="F887" s="249" t="n"/>
      <c r="G887" s="249" t="n"/>
      <c r="H887" s="249" t="n"/>
    </row>
    <row r="888" ht="13" customHeight="1" s="250">
      <c r="A888" s="249" t="n"/>
      <c r="B888" s="249" t="n"/>
      <c r="C888" s="249" t="n"/>
      <c r="D888" s="249" t="n"/>
      <c r="E888" s="249" t="n"/>
      <c r="F888" s="249" t="n"/>
      <c r="G888" s="249" t="n"/>
      <c r="H888" s="249" t="n"/>
    </row>
    <row r="889" ht="13" customHeight="1" s="250">
      <c r="A889" s="249" t="n"/>
      <c r="B889" s="249" t="n"/>
      <c r="C889" s="249" t="n"/>
      <c r="D889" s="249" t="n"/>
      <c r="E889" s="249" t="n"/>
      <c r="F889" s="249" t="n"/>
      <c r="G889" s="249" t="n"/>
      <c r="H889" s="249" t="n"/>
    </row>
    <row r="890" ht="13" customHeight="1" s="250">
      <c r="A890" s="249" t="n"/>
      <c r="B890" s="249" t="n"/>
      <c r="C890" s="249" t="n"/>
      <c r="D890" s="249" t="n"/>
      <c r="E890" s="249" t="n"/>
      <c r="F890" s="249" t="n"/>
      <c r="G890" s="249" t="n"/>
      <c r="H890" s="249" t="n"/>
    </row>
    <row r="891" ht="13" customHeight="1" s="250">
      <c r="A891" s="249" t="n"/>
      <c r="B891" s="249" t="n"/>
      <c r="C891" s="249" t="n"/>
      <c r="D891" s="249" t="n"/>
      <c r="E891" s="249" t="n"/>
      <c r="F891" s="249" t="n"/>
      <c r="G891" s="249" t="n"/>
      <c r="H891" s="249" t="n"/>
    </row>
    <row r="892" ht="13" customHeight="1" s="250">
      <c r="A892" s="249" t="n"/>
      <c r="B892" s="249" t="n"/>
      <c r="C892" s="249" t="n"/>
      <c r="D892" s="249" t="n"/>
      <c r="E892" s="249" t="n"/>
      <c r="F892" s="249" t="n"/>
      <c r="G892" s="249" t="n"/>
      <c r="H892" s="249" t="n"/>
    </row>
    <row r="893" ht="13" customHeight="1" s="250">
      <c r="A893" s="249" t="n"/>
      <c r="B893" s="249" t="n"/>
      <c r="C893" s="249" t="n"/>
      <c r="D893" s="249" t="n"/>
      <c r="E893" s="249" t="n"/>
      <c r="F893" s="249" t="n"/>
      <c r="G893" s="249" t="n"/>
      <c r="H893" s="249" t="n"/>
    </row>
    <row r="894" ht="13" customHeight="1" s="250">
      <c r="A894" s="249" t="n"/>
      <c r="B894" s="249" t="n"/>
      <c r="C894" s="249" t="n"/>
      <c r="D894" s="249" t="n"/>
      <c r="E894" s="249" t="n"/>
      <c r="F894" s="249" t="n"/>
      <c r="G894" s="249" t="n"/>
      <c r="H894" s="249" t="n"/>
    </row>
    <row r="895" ht="13" customHeight="1" s="250">
      <c r="A895" s="249" t="n"/>
      <c r="B895" s="249" t="n"/>
      <c r="C895" s="249" t="n"/>
      <c r="D895" s="249" t="n"/>
      <c r="E895" s="249" t="n"/>
      <c r="F895" s="249" t="n"/>
      <c r="G895" s="249" t="n"/>
      <c r="H895" s="249" t="n"/>
    </row>
    <row r="896" ht="13" customHeight="1" s="250">
      <c r="A896" s="249" t="n"/>
      <c r="B896" s="249" t="n"/>
      <c r="C896" s="249" t="n"/>
      <c r="D896" s="249" t="n"/>
      <c r="E896" s="249" t="n"/>
      <c r="F896" s="249" t="n"/>
      <c r="G896" s="249" t="n"/>
      <c r="H896" s="249" t="n"/>
    </row>
    <row r="897" ht="13" customHeight="1" s="250">
      <c r="A897" s="249" t="n"/>
      <c r="B897" s="249" t="n"/>
      <c r="C897" s="249" t="n"/>
      <c r="D897" s="249" t="n"/>
      <c r="E897" s="249" t="n"/>
      <c r="F897" s="249" t="n"/>
      <c r="G897" s="249" t="n"/>
      <c r="H897" s="249" t="n"/>
    </row>
    <row r="898" ht="13" customHeight="1" s="250">
      <c r="A898" s="249" t="n"/>
      <c r="B898" s="249" t="n"/>
      <c r="C898" s="249" t="n"/>
      <c r="D898" s="249" t="n"/>
      <c r="E898" s="249" t="n"/>
      <c r="F898" s="249" t="n"/>
      <c r="G898" s="249" t="n"/>
      <c r="H898" s="249" t="n"/>
    </row>
    <row r="899" ht="13" customHeight="1" s="250">
      <c r="A899" s="249" t="n"/>
      <c r="B899" s="249" t="n"/>
      <c r="C899" s="249" t="n"/>
      <c r="D899" s="249" t="n"/>
      <c r="E899" s="249" t="n"/>
      <c r="F899" s="249" t="n"/>
      <c r="G899" s="249" t="n"/>
      <c r="H899" s="249" t="n"/>
    </row>
    <row r="900" ht="13" customHeight="1" s="250">
      <c r="A900" s="249" t="n"/>
      <c r="B900" s="249" t="n"/>
      <c r="C900" s="249" t="n"/>
      <c r="D900" s="249" t="n"/>
      <c r="E900" s="249" t="n"/>
      <c r="F900" s="249" t="n"/>
      <c r="G900" s="249" t="n"/>
      <c r="H900" s="249" t="n"/>
    </row>
    <row r="901" ht="13" customHeight="1" s="250">
      <c r="A901" s="249" t="n"/>
      <c r="B901" s="249" t="n"/>
      <c r="C901" s="249" t="n"/>
      <c r="D901" s="249" t="n"/>
      <c r="E901" s="249" t="n"/>
      <c r="F901" s="249" t="n"/>
      <c r="G901" s="249" t="n"/>
      <c r="H901" s="249" t="n"/>
    </row>
    <row r="902" ht="13" customHeight="1" s="250">
      <c r="A902" s="249" t="n"/>
      <c r="B902" s="249" t="n"/>
      <c r="C902" s="249" t="n"/>
      <c r="D902" s="249" t="n"/>
      <c r="E902" s="249" t="n"/>
      <c r="F902" s="249" t="n"/>
      <c r="G902" s="249" t="n"/>
      <c r="H902" s="249" t="n"/>
    </row>
    <row r="903" ht="13" customHeight="1" s="250">
      <c r="A903" s="249" t="n"/>
      <c r="B903" s="249" t="n"/>
      <c r="C903" s="249" t="n"/>
      <c r="D903" s="249" t="n"/>
      <c r="E903" s="249" t="n"/>
      <c r="F903" s="249" t="n"/>
      <c r="G903" s="249" t="n"/>
      <c r="H903" s="249" t="n"/>
    </row>
    <row r="904" ht="13" customHeight="1" s="250">
      <c r="A904" s="249" t="n"/>
      <c r="B904" s="249" t="n"/>
      <c r="C904" s="249" t="n"/>
      <c r="D904" s="249" t="n"/>
      <c r="E904" s="249" t="n"/>
      <c r="F904" s="249" t="n"/>
      <c r="G904" s="249" t="n"/>
      <c r="H904" s="249" t="n"/>
    </row>
    <row r="905" ht="13" customHeight="1" s="250">
      <c r="A905" s="249" t="n"/>
      <c r="B905" s="249" t="n"/>
      <c r="C905" s="249" t="n"/>
      <c r="D905" s="249" t="n"/>
      <c r="E905" s="249" t="n"/>
      <c r="F905" s="249" t="n"/>
      <c r="G905" s="249" t="n"/>
      <c r="H905" s="249" t="n"/>
    </row>
    <row r="906" ht="13" customHeight="1" s="250">
      <c r="A906" s="249" t="n"/>
      <c r="B906" s="249" t="n"/>
      <c r="C906" s="249" t="n"/>
      <c r="D906" s="249" t="n"/>
      <c r="E906" s="249" t="n"/>
      <c r="F906" s="249" t="n"/>
      <c r="G906" s="249" t="n"/>
      <c r="H906" s="249" t="n"/>
    </row>
    <row r="907" ht="13" customHeight="1" s="250">
      <c r="A907" s="249" t="n"/>
      <c r="B907" s="249" t="n"/>
      <c r="C907" s="249" t="n"/>
      <c r="D907" s="249" t="n"/>
      <c r="E907" s="249" t="n"/>
      <c r="F907" s="249" t="n"/>
      <c r="G907" s="249" t="n"/>
      <c r="H907" s="249" t="n"/>
    </row>
    <row r="908" ht="13" customHeight="1" s="250">
      <c r="A908" s="249" t="n"/>
      <c r="B908" s="249" t="n"/>
      <c r="C908" s="249" t="n"/>
      <c r="D908" s="249" t="n"/>
      <c r="E908" s="249" t="n"/>
      <c r="F908" s="249" t="n"/>
      <c r="G908" s="249" t="n"/>
      <c r="H908" s="249" t="n"/>
    </row>
    <row r="909" ht="13" customHeight="1" s="250">
      <c r="A909" s="249" t="n"/>
      <c r="B909" s="249" t="n"/>
      <c r="C909" s="249" t="n"/>
      <c r="D909" s="249" t="n"/>
      <c r="E909" s="249" t="n"/>
      <c r="F909" s="249" t="n"/>
      <c r="G909" s="249" t="n"/>
      <c r="H909" s="249" t="n"/>
    </row>
    <row r="910" ht="13" customHeight="1" s="250">
      <c r="A910" s="249" t="n"/>
      <c r="B910" s="249" t="n"/>
      <c r="C910" s="249" t="n"/>
      <c r="D910" s="249" t="n"/>
      <c r="E910" s="249" t="n"/>
      <c r="F910" s="249" t="n"/>
      <c r="G910" s="249" t="n"/>
      <c r="H910" s="249" t="n"/>
    </row>
    <row r="911" ht="13" customHeight="1" s="250">
      <c r="A911" s="249" t="n"/>
      <c r="B911" s="249" t="n"/>
      <c r="C911" s="249" t="n"/>
      <c r="D911" s="249" t="n"/>
      <c r="E911" s="249" t="n"/>
      <c r="F911" s="249" t="n"/>
      <c r="G911" s="249" t="n"/>
      <c r="H911" s="249" t="n"/>
    </row>
    <row r="912" ht="13" customHeight="1" s="250">
      <c r="A912" s="249" t="n"/>
      <c r="B912" s="249" t="n"/>
      <c r="C912" s="249" t="n"/>
      <c r="D912" s="249" t="n"/>
      <c r="E912" s="249" t="n"/>
      <c r="F912" s="249" t="n"/>
      <c r="G912" s="249" t="n"/>
      <c r="H912" s="249" t="n"/>
    </row>
    <row r="913" ht="13" customHeight="1" s="250">
      <c r="A913" s="249" t="n"/>
      <c r="B913" s="249" t="n"/>
      <c r="C913" s="249" t="n"/>
      <c r="D913" s="249" t="n"/>
      <c r="E913" s="249" t="n"/>
      <c r="F913" s="249" t="n"/>
      <c r="G913" s="249" t="n"/>
      <c r="H913" s="249" t="n"/>
    </row>
    <row r="914" ht="13" customHeight="1" s="250">
      <c r="A914" s="249" t="n"/>
      <c r="B914" s="249" t="n"/>
      <c r="C914" s="249" t="n"/>
      <c r="D914" s="249" t="n"/>
      <c r="E914" s="249" t="n"/>
      <c r="F914" s="249" t="n"/>
      <c r="G914" s="249" t="n"/>
      <c r="H914" s="249" t="n"/>
    </row>
    <row r="915" ht="13" customHeight="1" s="250">
      <c r="A915" s="249" t="n"/>
      <c r="B915" s="249" t="n"/>
      <c r="C915" s="249" t="n"/>
      <c r="D915" s="249" t="n"/>
      <c r="E915" s="249" t="n"/>
      <c r="F915" s="249" t="n"/>
      <c r="G915" s="249" t="n"/>
      <c r="H915" s="249" t="n"/>
    </row>
    <row r="916" ht="13" customHeight="1" s="250">
      <c r="A916" s="249" t="n"/>
      <c r="B916" s="249" t="n"/>
      <c r="C916" s="249" t="n"/>
      <c r="D916" s="249" t="n"/>
      <c r="E916" s="249" t="n"/>
      <c r="F916" s="249" t="n"/>
      <c r="G916" s="249" t="n"/>
      <c r="H916" s="249" t="n"/>
    </row>
    <row r="917" ht="13" customHeight="1" s="250">
      <c r="A917" s="249" t="n"/>
      <c r="B917" s="249" t="n"/>
      <c r="C917" s="249" t="n"/>
      <c r="D917" s="249" t="n"/>
      <c r="E917" s="249" t="n"/>
      <c r="F917" s="249" t="n"/>
      <c r="G917" s="249" t="n"/>
      <c r="H917" s="249" t="n"/>
    </row>
    <row r="918" ht="13" customHeight="1" s="250">
      <c r="A918" s="249" t="n"/>
      <c r="B918" s="249" t="n"/>
      <c r="C918" s="249" t="n"/>
      <c r="D918" s="249" t="n"/>
      <c r="E918" s="249" t="n"/>
      <c r="F918" s="249" t="n"/>
      <c r="G918" s="249" t="n"/>
      <c r="H918" s="249" t="n"/>
    </row>
    <row r="919" ht="13" customHeight="1" s="250">
      <c r="A919" s="249" t="n"/>
      <c r="B919" s="249" t="n"/>
      <c r="C919" s="249" t="n"/>
      <c r="D919" s="249" t="n"/>
      <c r="E919" s="249" t="n"/>
      <c r="F919" s="249" t="n"/>
      <c r="G919" s="249" t="n"/>
      <c r="H919" s="249" t="n"/>
    </row>
    <row r="920" ht="13" customHeight="1" s="250">
      <c r="A920" s="249" t="n"/>
      <c r="B920" s="249" t="n"/>
      <c r="C920" s="249" t="n"/>
      <c r="D920" s="249" t="n"/>
      <c r="E920" s="249" t="n"/>
      <c r="F920" s="249" t="n"/>
      <c r="G920" s="249" t="n"/>
      <c r="H920" s="249" t="n"/>
    </row>
    <row r="921" ht="13" customHeight="1" s="250">
      <c r="A921" s="249" t="n"/>
      <c r="B921" s="249" t="n"/>
      <c r="C921" s="249" t="n"/>
      <c r="D921" s="249" t="n"/>
      <c r="E921" s="249" t="n"/>
      <c r="F921" s="249" t="n"/>
      <c r="G921" s="249" t="n"/>
      <c r="H921" s="249" t="n"/>
    </row>
    <row r="922" ht="13" customHeight="1" s="250">
      <c r="A922" s="249" t="n"/>
      <c r="B922" s="249" t="n"/>
      <c r="C922" s="249" t="n"/>
      <c r="D922" s="249" t="n"/>
      <c r="E922" s="249" t="n"/>
      <c r="F922" s="249" t="n"/>
      <c r="G922" s="249" t="n"/>
      <c r="H922" s="249" t="n"/>
    </row>
    <row r="923" ht="13" customHeight="1" s="250">
      <c r="A923" s="249" t="n"/>
      <c r="B923" s="249" t="n"/>
      <c r="C923" s="249" t="n"/>
      <c r="D923" s="249" t="n"/>
      <c r="E923" s="249" t="n"/>
      <c r="F923" s="249" t="n"/>
      <c r="G923" s="249" t="n"/>
      <c r="H923" s="249" t="n"/>
    </row>
    <row r="924" ht="13" customHeight="1" s="250">
      <c r="A924" s="249" t="n"/>
      <c r="B924" s="249" t="n"/>
      <c r="C924" s="249" t="n"/>
      <c r="D924" s="249" t="n"/>
      <c r="E924" s="249" t="n"/>
      <c r="F924" s="249" t="n"/>
      <c r="G924" s="249" t="n"/>
      <c r="H924" s="249" t="n"/>
    </row>
    <row r="925" ht="13" customHeight="1" s="250">
      <c r="A925" s="249" t="n"/>
      <c r="B925" s="249" t="n"/>
      <c r="C925" s="249" t="n"/>
      <c r="D925" s="249" t="n"/>
      <c r="E925" s="249" t="n"/>
      <c r="F925" s="249" t="n"/>
      <c r="G925" s="249" t="n"/>
      <c r="H925" s="249" t="n"/>
    </row>
    <row r="926" ht="13" customHeight="1" s="250">
      <c r="A926" s="249" t="n"/>
      <c r="B926" s="249" t="n"/>
      <c r="C926" s="249" t="n"/>
      <c r="D926" s="249" t="n"/>
      <c r="E926" s="249" t="n"/>
      <c r="F926" s="249" t="n"/>
      <c r="G926" s="249" t="n"/>
      <c r="H926" s="249" t="n"/>
    </row>
    <row r="927" ht="13" customHeight="1" s="250">
      <c r="A927" s="249" t="n"/>
      <c r="B927" s="249" t="n"/>
      <c r="C927" s="249" t="n"/>
      <c r="D927" s="249" t="n"/>
      <c r="E927" s="249" t="n"/>
      <c r="F927" s="249" t="n"/>
      <c r="G927" s="249" t="n"/>
      <c r="H927" s="249" t="n"/>
    </row>
    <row r="928" ht="13" customHeight="1" s="250">
      <c r="A928" s="249" t="n"/>
      <c r="B928" s="249" t="n"/>
      <c r="C928" s="249" t="n"/>
      <c r="D928" s="249" t="n"/>
      <c r="E928" s="249" t="n"/>
      <c r="F928" s="249" t="n"/>
      <c r="G928" s="249" t="n"/>
      <c r="H928" s="249" t="n"/>
    </row>
    <row r="929" ht="13" customHeight="1" s="250">
      <c r="A929" s="249" t="n"/>
      <c r="B929" s="249" t="n"/>
      <c r="C929" s="249" t="n"/>
      <c r="D929" s="249" t="n"/>
      <c r="E929" s="249" t="n"/>
      <c r="F929" s="249" t="n"/>
      <c r="G929" s="249" t="n"/>
      <c r="H929" s="249" t="n"/>
    </row>
    <row r="930" ht="13" customHeight="1" s="250">
      <c r="A930" s="249" t="n"/>
      <c r="B930" s="249" t="n"/>
      <c r="C930" s="249" t="n"/>
      <c r="D930" s="249" t="n"/>
      <c r="E930" s="249" t="n"/>
      <c r="F930" s="249" t="n"/>
      <c r="G930" s="249" t="n"/>
      <c r="H930" s="249" t="n"/>
    </row>
    <row r="931" ht="13" customHeight="1" s="250">
      <c r="A931" s="249" t="n"/>
      <c r="B931" s="249" t="n"/>
      <c r="C931" s="249" t="n"/>
      <c r="D931" s="249" t="n"/>
      <c r="E931" s="249" t="n"/>
      <c r="F931" s="249" t="n"/>
      <c r="G931" s="249" t="n"/>
      <c r="H931" s="249" t="n"/>
    </row>
    <row r="932" ht="13" customHeight="1" s="250">
      <c r="A932" s="249" t="n"/>
      <c r="B932" s="249" t="n"/>
      <c r="C932" s="249" t="n"/>
      <c r="D932" s="249" t="n"/>
      <c r="E932" s="249" t="n"/>
      <c r="F932" s="249" t="n"/>
      <c r="G932" s="249" t="n"/>
      <c r="H932" s="249" t="n"/>
    </row>
    <row r="933" ht="13" customHeight="1" s="250">
      <c r="A933" s="249" t="n"/>
      <c r="B933" s="249" t="n"/>
      <c r="C933" s="249" t="n"/>
      <c r="D933" s="249" t="n"/>
      <c r="E933" s="249" t="n"/>
      <c r="F933" s="249" t="n"/>
      <c r="G933" s="249" t="n"/>
      <c r="H933" s="249" t="n"/>
    </row>
    <row r="934" ht="13" customHeight="1" s="250">
      <c r="A934" s="249" t="n"/>
      <c r="B934" s="249" t="n"/>
      <c r="C934" s="249" t="n"/>
      <c r="D934" s="249" t="n"/>
      <c r="E934" s="249" t="n"/>
      <c r="F934" s="249" t="n"/>
      <c r="G934" s="249" t="n"/>
      <c r="H934" s="249" t="n"/>
    </row>
    <row r="935" ht="13" customHeight="1" s="250">
      <c r="A935" s="249" t="n"/>
      <c r="B935" s="249" t="n"/>
      <c r="C935" s="249" t="n"/>
      <c r="D935" s="249" t="n"/>
      <c r="E935" s="249" t="n"/>
      <c r="F935" s="249" t="n"/>
      <c r="G935" s="249" t="n"/>
      <c r="H935" s="249" t="n"/>
    </row>
    <row r="936" ht="13" customHeight="1" s="250">
      <c r="A936" s="249" t="n"/>
      <c r="B936" s="249" t="n"/>
      <c r="C936" s="249" t="n"/>
      <c r="D936" s="249" t="n"/>
      <c r="E936" s="249" t="n"/>
      <c r="F936" s="249" t="n"/>
      <c r="G936" s="249" t="n"/>
      <c r="H936" s="249" t="n"/>
    </row>
    <row r="937" ht="13" customHeight="1" s="250">
      <c r="A937" s="249" t="n"/>
      <c r="B937" s="249" t="n"/>
      <c r="C937" s="249" t="n"/>
      <c r="D937" s="249" t="n"/>
      <c r="E937" s="249" t="n"/>
      <c r="F937" s="249" t="n"/>
      <c r="G937" s="249" t="n"/>
      <c r="H937" s="249" t="n"/>
    </row>
    <row r="938" ht="13" customHeight="1" s="250">
      <c r="A938" s="249" t="n"/>
      <c r="B938" s="249" t="n"/>
      <c r="C938" s="249" t="n"/>
      <c r="D938" s="249" t="n"/>
      <c r="E938" s="249" t="n"/>
      <c r="F938" s="249" t="n"/>
      <c r="G938" s="249" t="n"/>
      <c r="H938" s="249" t="n"/>
    </row>
    <row r="939" ht="13" customHeight="1" s="250">
      <c r="A939" s="249" t="n"/>
      <c r="B939" s="249" t="n"/>
      <c r="C939" s="249" t="n"/>
      <c r="D939" s="249" t="n"/>
      <c r="E939" s="249" t="n"/>
      <c r="F939" s="249" t="n"/>
      <c r="G939" s="249" t="n"/>
      <c r="H939" s="249" t="n"/>
    </row>
    <row r="940" ht="13" customHeight="1" s="250">
      <c r="A940" s="249" t="n"/>
      <c r="B940" s="249" t="n"/>
      <c r="C940" s="249" t="n"/>
      <c r="D940" s="249" t="n"/>
      <c r="E940" s="249" t="n"/>
      <c r="F940" s="249" t="n"/>
      <c r="G940" s="249" t="n"/>
      <c r="H940" s="249" t="n"/>
    </row>
    <row r="941" ht="13" customHeight="1" s="250">
      <c r="A941" s="249" t="n"/>
      <c r="B941" s="249" t="n"/>
      <c r="C941" s="249" t="n"/>
      <c r="D941" s="249" t="n"/>
      <c r="E941" s="249" t="n"/>
      <c r="F941" s="249" t="n"/>
      <c r="G941" s="249" t="n"/>
      <c r="H941" s="249" t="n"/>
    </row>
    <row r="942" ht="13" customHeight="1" s="250">
      <c r="A942" s="249" t="n"/>
      <c r="B942" s="249" t="n"/>
      <c r="C942" s="249" t="n"/>
      <c r="D942" s="249" t="n"/>
      <c r="E942" s="249" t="n"/>
      <c r="F942" s="249" t="n"/>
      <c r="G942" s="249" t="n"/>
      <c r="H942" s="249" t="n"/>
    </row>
    <row r="943" ht="13" customHeight="1" s="250">
      <c r="A943" s="249" t="n"/>
      <c r="B943" s="249" t="n"/>
      <c r="C943" s="249" t="n"/>
      <c r="D943" s="249" t="n"/>
      <c r="E943" s="249" t="n"/>
      <c r="F943" s="249" t="n"/>
      <c r="G943" s="249" t="n"/>
      <c r="H943" s="249" t="n"/>
    </row>
    <row r="944" ht="13" customHeight="1" s="250">
      <c r="A944" s="249" t="n"/>
      <c r="B944" s="249" t="n"/>
      <c r="C944" s="249" t="n"/>
      <c r="D944" s="249" t="n"/>
      <c r="E944" s="249" t="n"/>
      <c r="F944" s="249" t="n"/>
      <c r="G944" s="249" t="n"/>
      <c r="H944" s="249" t="n"/>
    </row>
    <row r="945" ht="13" customHeight="1" s="250">
      <c r="A945" s="249" t="n"/>
      <c r="B945" s="249" t="n"/>
      <c r="C945" s="249" t="n"/>
      <c r="D945" s="249" t="n"/>
      <c r="E945" s="249" t="n"/>
      <c r="F945" s="249" t="n"/>
      <c r="G945" s="249" t="n"/>
      <c r="H945" s="249" t="n"/>
    </row>
    <row r="946" ht="13" customHeight="1" s="250">
      <c r="A946" s="249" t="n"/>
      <c r="B946" s="249" t="n"/>
      <c r="C946" s="249" t="n"/>
      <c r="D946" s="249" t="n"/>
      <c r="E946" s="249" t="n"/>
      <c r="F946" s="249" t="n"/>
      <c r="G946" s="249" t="n"/>
      <c r="H946" s="249" t="n"/>
    </row>
    <row r="947" ht="13" customHeight="1" s="250">
      <c r="A947" s="249" t="n"/>
      <c r="B947" s="249" t="n"/>
      <c r="C947" s="249" t="n"/>
      <c r="D947" s="249" t="n"/>
      <c r="E947" s="249" t="n"/>
      <c r="F947" s="249" t="n"/>
      <c r="G947" s="249" t="n"/>
      <c r="H947" s="249" t="n"/>
    </row>
    <row r="948" ht="13" customHeight="1" s="250">
      <c r="A948" s="249" t="n"/>
      <c r="B948" s="249" t="n"/>
      <c r="C948" s="249" t="n"/>
      <c r="D948" s="249" t="n"/>
      <c r="E948" s="249" t="n"/>
      <c r="F948" s="249" t="n"/>
      <c r="G948" s="249" t="n"/>
      <c r="H948" s="249" t="n"/>
    </row>
    <row r="949" ht="13" customHeight="1" s="250">
      <c r="A949" s="249" t="n"/>
      <c r="B949" s="249" t="n"/>
      <c r="C949" s="249" t="n"/>
      <c r="D949" s="249" t="n"/>
      <c r="E949" s="249" t="n"/>
      <c r="F949" s="249" t="n"/>
      <c r="G949" s="249" t="n"/>
      <c r="H949" s="249" t="n"/>
    </row>
    <row r="950" ht="13" customHeight="1" s="250">
      <c r="A950" s="249" t="n"/>
      <c r="B950" s="249" t="n"/>
      <c r="C950" s="249" t="n"/>
      <c r="D950" s="249" t="n"/>
      <c r="E950" s="249" t="n"/>
      <c r="F950" s="249" t="n"/>
      <c r="G950" s="249" t="n"/>
      <c r="H950" s="249" t="n"/>
    </row>
    <row r="951" ht="13" customHeight="1" s="250">
      <c r="A951" s="249" t="n"/>
      <c r="B951" s="249" t="n"/>
      <c r="C951" s="249" t="n"/>
      <c r="D951" s="249" t="n"/>
      <c r="E951" s="249" t="n"/>
      <c r="F951" s="249" t="n"/>
      <c r="G951" s="249" t="n"/>
      <c r="H951" s="249" t="n"/>
    </row>
    <row r="952" ht="13" customHeight="1" s="250">
      <c r="A952" s="249" t="n"/>
      <c r="B952" s="249" t="n"/>
      <c r="C952" s="249" t="n"/>
      <c r="D952" s="249" t="n"/>
      <c r="E952" s="249" t="n"/>
      <c r="F952" s="249" t="n"/>
      <c r="G952" s="249" t="n"/>
      <c r="H952" s="249" t="n"/>
    </row>
    <row r="953" ht="13" customHeight="1" s="250">
      <c r="A953" s="249" t="n"/>
      <c r="B953" s="249" t="n"/>
      <c r="C953" s="249" t="n"/>
      <c r="D953" s="249" t="n"/>
      <c r="E953" s="249" t="n"/>
      <c r="F953" s="249" t="n"/>
      <c r="G953" s="249" t="n"/>
      <c r="H953" s="249" t="n"/>
    </row>
    <row r="954" ht="13" customHeight="1" s="250">
      <c r="A954" s="249" t="n"/>
      <c r="B954" s="249" t="n"/>
      <c r="C954" s="249" t="n"/>
      <c r="D954" s="249" t="n"/>
      <c r="E954" s="249" t="n"/>
      <c r="F954" s="249" t="n"/>
      <c r="G954" s="249" t="n"/>
      <c r="H954" s="249" t="n"/>
    </row>
    <row r="955" ht="13" customHeight="1" s="250">
      <c r="A955" s="249" t="n"/>
      <c r="B955" s="249" t="n"/>
      <c r="C955" s="249" t="n"/>
      <c r="D955" s="249" t="n"/>
      <c r="E955" s="249" t="n"/>
      <c r="F955" s="249" t="n"/>
      <c r="G955" s="249" t="n"/>
      <c r="H955" s="249" t="n"/>
    </row>
    <row r="956" ht="13" customHeight="1" s="250">
      <c r="A956" s="249" t="n"/>
      <c r="B956" s="249" t="n"/>
      <c r="C956" s="249" t="n"/>
      <c r="D956" s="249" t="n"/>
      <c r="E956" s="249" t="n"/>
      <c r="F956" s="249" t="n"/>
      <c r="G956" s="249" t="n"/>
      <c r="H956" s="249" t="n"/>
    </row>
    <row r="957" ht="13" customHeight="1" s="250">
      <c r="A957" s="249" t="n"/>
      <c r="B957" s="249" t="n"/>
      <c r="C957" s="249" t="n"/>
      <c r="D957" s="249" t="n"/>
      <c r="E957" s="249" t="n"/>
      <c r="F957" s="249" t="n"/>
      <c r="G957" s="249" t="n"/>
      <c r="H957" s="249" t="n"/>
    </row>
    <row r="958" ht="13" customHeight="1" s="250">
      <c r="A958" s="249" t="n"/>
      <c r="B958" s="249" t="n"/>
      <c r="C958" s="249" t="n"/>
      <c r="D958" s="249" t="n"/>
      <c r="E958" s="249" t="n"/>
      <c r="F958" s="249" t="n"/>
      <c r="G958" s="249" t="n"/>
      <c r="H958" s="249" t="n"/>
    </row>
  </sheetData>
  <mergeCells count="7">
    <mergeCell ref="B24:F24"/>
    <mergeCell ref="B25:F25"/>
    <mergeCell ref="B1:G1"/>
    <mergeCell ref="B23:F23"/>
    <mergeCell ref="B22:F22"/>
    <mergeCell ref="B26:F26"/>
    <mergeCell ref="B27:F27"/>
  </mergeCell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H30"/>
  <sheetViews>
    <sheetView zoomScale="130" zoomScaleNormal="130" workbookViewId="0">
      <selection activeCell="A1" sqref="A1"/>
    </sheetView>
  </sheetViews>
  <sheetFormatPr baseColWidth="10" defaultColWidth="12.6640625" defaultRowHeight="15.75" customHeight="1"/>
  <cols>
    <col width="2.6640625" customWidth="1" style="250" min="1" max="1"/>
    <col width="12.1640625" customWidth="1" style="250" min="2" max="2"/>
    <col width="18.83203125" customWidth="1" style="250" min="3" max="3"/>
    <col width="67.33203125" customWidth="1" style="250" min="4" max="4"/>
    <col width="18.83203125" customWidth="1" style="250" min="5" max="5"/>
    <col width="16.6640625" customWidth="1" style="250" min="6" max="6"/>
    <col width="13.33203125" customWidth="1" style="250" min="7" max="7"/>
  </cols>
  <sheetData>
    <row r="1" ht="33" customHeight="1" s="250">
      <c r="A1" s="180" t="n"/>
      <c r="B1" s="248" t="inlineStr">
        <is>
          <t>Additional columns</t>
        </is>
      </c>
      <c r="C1" s="263" t="n"/>
      <c r="D1" s="263" t="n"/>
      <c r="E1" s="263" t="n"/>
      <c r="F1" s="263" t="n"/>
      <c r="G1" s="263" t="n"/>
      <c r="H1" s="30" t="n"/>
    </row>
    <row r="2" ht="13" customHeight="1" s="250">
      <c r="A2" s="30" t="n"/>
      <c r="B2" s="30" t="n"/>
      <c r="C2" s="30" t="n"/>
      <c r="D2" s="30" t="n"/>
      <c r="E2" s="30" t="n"/>
      <c r="F2" s="30" t="n"/>
      <c r="G2" s="30" t="n"/>
      <c r="H2" s="30" t="n"/>
    </row>
    <row r="3" ht="13" customHeight="1" s="250">
      <c r="A3" s="30" t="n"/>
      <c r="B3" s="30" t="inlineStr">
        <is>
          <t>The default survey, choices, settings and entities sheets include the most common columns. You may find it useful to add some of the columns described below.</t>
        </is>
      </c>
      <c r="C3" s="30" t="n"/>
      <c r="D3" s="30" t="n"/>
      <c r="E3" s="30" t="n"/>
      <c r="F3" s="30" t="n"/>
      <c r="G3" s="30" t="n"/>
      <c r="H3" s="30" t="n"/>
    </row>
    <row r="4" ht="13" customHeight="1" s="250">
      <c r="A4" s="30" t="n"/>
      <c r="B4" s="181" t="n"/>
      <c r="C4" s="181" t="n"/>
      <c r="D4" s="181" t="n"/>
      <c r="E4" s="181" t="n"/>
      <c r="F4" s="181" t="n"/>
      <c r="G4" s="181" t="n"/>
      <c r="H4" s="30" t="n"/>
    </row>
    <row r="5" ht="21.75" customHeight="1" s="250">
      <c r="A5" s="182" t="n"/>
      <c r="B5" s="183" t="inlineStr">
        <is>
          <t>survey sheet</t>
        </is>
      </c>
      <c r="C5" s="184" t="n"/>
      <c r="D5" s="185" t="n"/>
      <c r="E5" s="81" t="inlineStr">
        <is>
          <t>Collect mobile forms</t>
        </is>
      </c>
      <c r="F5" s="81" t="inlineStr">
        <is>
          <t>Enketo web forms</t>
        </is>
      </c>
      <c r="G5" s="186" t="inlineStr">
        <is>
          <t>Translatable</t>
        </is>
      </c>
      <c r="H5" s="187" t="n"/>
    </row>
    <row r="6" ht="28" customHeight="1" s="250">
      <c r="A6" s="182" t="n"/>
      <c r="B6" s="188" t="n"/>
      <c r="C6" s="189" t="inlineStr">
        <is>
          <t>save_to</t>
        </is>
      </c>
      <c r="D6" s="190" t="inlineStr">
        <is>
          <t>When using Entities, used to specify the Entity property to save the form field's value to</t>
        </is>
      </c>
      <c r="E6" s="191" t="inlineStr">
        <is>
          <t>Yes</t>
        </is>
      </c>
      <c r="F6" s="191" t="inlineStr">
        <is>
          <t>Yes</t>
        </is>
      </c>
      <c r="G6" s="192" t="inlineStr">
        <is>
          <t>N/A</t>
        </is>
      </c>
      <c r="H6" s="187" t="n"/>
    </row>
    <row r="7" ht="28" customHeight="1" s="250">
      <c r="A7" s="182" t="n"/>
      <c r="B7" s="193" t="n"/>
      <c r="C7" s="194" t="inlineStr">
        <is>
          <t>guidance_hint</t>
        </is>
      </c>
      <c r="D7" s="195" t="inlineStr">
        <is>
          <t>Used to display additional information to data collectors in a way that is less visible than hints</t>
        </is>
      </c>
      <c r="E7" s="196" t="inlineStr">
        <is>
          <t>Yes</t>
        </is>
      </c>
      <c r="F7" s="197" t="inlineStr">
        <is>
          <t>Yes</t>
        </is>
      </c>
      <c r="G7" s="198" t="inlineStr">
        <is>
          <t>Yes</t>
        </is>
      </c>
      <c r="H7" s="187" t="n"/>
    </row>
    <row r="8" ht="13" customHeight="1" s="250">
      <c r="A8" s="182" t="n"/>
      <c r="B8" s="188" t="n"/>
      <c r="C8" s="189" t="inlineStr">
        <is>
          <t>required_message</t>
        </is>
      </c>
      <c r="D8" s="189" t="inlineStr">
        <is>
          <t>A custom message to replace the generic message when a required value is not filled in</t>
        </is>
      </c>
      <c r="E8" s="191" t="inlineStr">
        <is>
          <t>Yes</t>
        </is>
      </c>
      <c r="F8" s="191" t="inlineStr">
        <is>
          <t>Yes</t>
        </is>
      </c>
      <c r="G8" s="199" t="inlineStr">
        <is>
          <t>Yes</t>
        </is>
      </c>
      <c r="H8" s="187" t="n"/>
    </row>
    <row r="9" ht="28" customHeight="1" s="250">
      <c r="A9" s="182" t="n"/>
      <c r="B9" s="193" t="n"/>
      <c r="C9" s="194" t="inlineStr">
        <is>
          <t>read_only</t>
        </is>
      </c>
      <c r="D9" s="194" t="inlineStr">
        <is>
          <t>An expression used to determine whether the question's value can be edited or not</t>
        </is>
      </c>
      <c r="E9" s="197" t="inlineStr">
        <is>
          <t>Yes</t>
        </is>
      </c>
      <c r="F9" s="200" t="inlineStr">
        <is>
          <t>Static values only (yes/no)</t>
        </is>
      </c>
      <c r="G9" s="192" t="inlineStr">
        <is>
          <t>N/A</t>
        </is>
      </c>
      <c r="H9" s="187" t="n"/>
    </row>
    <row r="10" ht="13" customHeight="1" s="250">
      <c r="A10" s="182" t="n"/>
      <c r="B10" s="188" t="n"/>
      <c r="C10" s="189" t="inlineStr">
        <is>
          <t>big-image</t>
        </is>
      </c>
      <c r="D10" s="189" t="inlineStr">
        <is>
          <t>The filename of an image to display when the label image is tapped. Can be translated.</t>
        </is>
      </c>
      <c r="E10" s="191" t="inlineStr">
        <is>
          <t>Yes</t>
        </is>
      </c>
      <c r="F10" s="191" t="inlineStr">
        <is>
          <t>Yes</t>
        </is>
      </c>
      <c r="G10" s="199" t="inlineStr">
        <is>
          <t>Yes</t>
        </is>
      </c>
      <c r="H10" s="187" t="n"/>
    </row>
    <row r="11" ht="13" customHeight="1" s="250">
      <c r="A11" s="201" t="n"/>
      <c r="B11" s="193" t="n"/>
      <c r="C11" s="194" t="inlineStr">
        <is>
          <t>instance::my_attribute</t>
        </is>
      </c>
      <c r="D11" s="194" t="inlineStr">
        <is>
          <t>A custom instance attribute which will be included along with its value in submitted data</t>
        </is>
      </c>
      <c r="E11" s="197" t="inlineStr">
        <is>
          <t>Yes</t>
        </is>
      </c>
      <c r="F11" s="197" t="inlineStr">
        <is>
          <t>Yes</t>
        </is>
      </c>
      <c r="G11" s="192" t="inlineStr">
        <is>
          <t>N/A</t>
        </is>
      </c>
      <c r="H11" s="187" t="n"/>
    </row>
    <row r="12" ht="13" customHeight="1" s="250">
      <c r="A12" s="182" t="n"/>
      <c r="B12" s="188" t="n"/>
      <c r="C12" s="189" t="inlineStr">
        <is>
          <t>bind::my_attribute</t>
        </is>
      </c>
      <c r="D12" s="189" t="inlineStr">
        <is>
          <t>A custom bind attribute. Generally used when an application has a special custom feature</t>
        </is>
      </c>
      <c r="E12" s="191" t="inlineStr">
        <is>
          <t>Yes</t>
        </is>
      </c>
      <c r="F12" s="191" t="inlineStr">
        <is>
          <t>Yes</t>
        </is>
      </c>
      <c r="G12" s="192" t="inlineStr">
        <is>
          <t>N/A</t>
        </is>
      </c>
      <c r="H12" s="187" t="n"/>
    </row>
    <row r="13" ht="13" customHeight="1" s="250">
      <c r="A13" s="201" t="n"/>
      <c r="B13" s="202" t="n"/>
      <c r="C13" s="203" t="inlineStr">
        <is>
          <t>body::my_attribute</t>
        </is>
      </c>
      <c r="D13" s="203" t="inlineStr">
        <is>
          <t>A custom body attribute. Generally used when an application has a special custom feature</t>
        </is>
      </c>
      <c r="E13" s="204" t="inlineStr">
        <is>
          <t>Yes</t>
        </is>
      </c>
      <c r="F13" s="204" t="inlineStr">
        <is>
          <t>Yes</t>
        </is>
      </c>
      <c r="G13" s="205" t="inlineStr">
        <is>
          <t>N/A</t>
        </is>
      </c>
      <c r="H13" s="187" t="n"/>
    </row>
    <row r="14" ht="13" customHeight="1" s="250">
      <c r="A14" s="30" t="n"/>
      <c r="B14" s="206" t="n"/>
      <c r="C14" s="207" t="n"/>
      <c r="D14" s="207" t="n"/>
      <c r="E14" s="207" t="n"/>
      <c r="F14" s="207" t="n"/>
      <c r="G14" s="207" t="n"/>
      <c r="H14" s="30" t="n"/>
    </row>
    <row r="15" ht="13" customHeight="1" s="250">
      <c r="A15" s="182" t="n"/>
      <c r="B15" s="183" t="inlineStr">
        <is>
          <t>choices sheet</t>
        </is>
      </c>
      <c r="C15" s="208" t="n"/>
      <c r="D15" s="208" t="n"/>
      <c r="E15" s="208" t="n"/>
      <c r="F15" s="208" t="n"/>
      <c r="G15" s="209" t="n"/>
      <c r="H15" s="187" t="n"/>
    </row>
    <row r="16" ht="13" customHeight="1" s="250">
      <c r="A16" s="210" t="n"/>
      <c r="B16" s="211" t="n"/>
      <c r="C16" s="102" t="inlineStr">
        <is>
          <t>image</t>
        </is>
      </c>
      <c r="D16" s="102" t="inlineStr">
        <is>
          <t>An image to show with this choice</t>
        </is>
      </c>
      <c r="E16" s="212" t="inlineStr">
        <is>
          <t>Yes</t>
        </is>
      </c>
      <c r="F16" s="212" t="inlineStr">
        <is>
          <t>Yes</t>
        </is>
      </c>
      <c r="G16" s="213" t="inlineStr">
        <is>
          <t>Yes</t>
        </is>
      </c>
      <c r="H16" s="187" t="n"/>
    </row>
    <row r="17" ht="13" customHeight="1" s="250">
      <c r="A17" s="182" t="n"/>
      <c r="B17" s="211" t="n"/>
      <c r="C17" s="102" t="inlineStr">
        <is>
          <t>audio</t>
        </is>
      </c>
      <c r="D17" s="102" t="inlineStr">
        <is>
          <t>An audio file to show with this choice</t>
        </is>
      </c>
      <c r="E17" s="212" t="inlineStr">
        <is>
          <t>Yes</t>
        </is>
      </c>
      <c r="F17" s="212" t="inlineStr">
        <is>
          <t>Yes</t>
        </is>
      </c>
      <c r="G17" s="213" t="inlineStr">
        <is>
          <t>Yes</t>
        </is>
      </c>
      <c r="H17" s="187" t="n"/>
    </row>
    <row r="18" ht="13" customHeight="1" s="250">
      <c r="A18" s="210" t="n"/>
      <c r="B18" s="211" t="n"/>
      <c r="C18" s="102" t="inlineStr">
        <is>
          <t>video</t>
        </is>
      </c>
      <c r="D18" s="102" t="inlineStr">
        <is>
          <t>A video file to show with this choice</t>
        </is>
      </c>
      <c r="E18" s="212" t="inlineStr">
        <is>
          <t>Yes</t>
        </is>
      </c>
      <c r="F18" s="212" t="inlineStr">
        <is>
          <t>Yes</t>
        </is>
      </c>
      <c r="G18" s="213" t="inlineStr">
        <is>
          <t>Yes</t>
        </is>
      </c>
      <c r="H18" s="187" t="n"/>
    </row>
    <row r="19" ht="28" customHeight="1" s="250">
      <c r="A19" s="182" t="n"/>
      <c r="B19" s="214" t="n"/>
      <c r="C19" s="215" t="inlineStr">
        <is>
          <t>geometry</t>
        </is>
      </c>
      <c r="D19" s="216" t="inlineStr">
        <is>
          <t>A special column that represents a choice's point, trace or shape to be displayed on a map with the map appearance</t>
        </is>
      </c>
      <c r="E19" s="217" t="inlineStr">
        <is>
          <t>Yes</t>
        </is>
      </c>
      <c r="F19" s="217" t="inlineStr">
        <is>
          <t>No</t>
        </is>
      </c>
      <c r="G19" s="205" t="inlineStr">
        <is>
          <t>N/A</t>
        </is>
      </c>
      <c r="H19" s="187" t="n"/>
    </row>
    <row r="20" ht="13" customHeight="1" s="250">
      <c r="A20" s="30" t="n"/>
      <c r="C20" s="102" t="n"/>
      <c r="D20" s="102" t="n"/>
      <c r="E20" s="102" t="n"/>
      <c r="F20" s="102" t="n"/>
      <c r="G20" s="102" t="n"/>
      <c r="H20" s="181" t="n"/>
    </row>
    <row r="21" ht="13" customHeight="1" s="250">
      <c r="A21" s="182" t="n"/>
      <c r="B21" s="218" t="inlineStr">
        <is>
          <t>settings sheet</t>
        </is>
      </c>
      <c r="C21" s="219" t="n"/>
      <c r="D21" s="219" t="n"/>
      <c r="E21" s="219" t="n"/>
      <c r="F21" s="219" t="n"/>
      <c r="G21" s="220" t="n"/>
      <c r="H21" s="221" t="n"/>
    </row>
    <row r="22" ht="13" customHeight="1" s="250">
      <c r="A22" s="182" t="n"/>
      <c r="B22" s="222" t="n"/>
      <c r="C22" s="223" t="inlineStr">
        <is>
          <t>public_key</t>
        </is>
      </c>
      <c r="D22" s="223" t="inlineStr">
        <is>
          <t>Public key for encrypting form instances when your server is not trusted</t>
        </is>
      </c>
      <c r="E22" s="224" t="inlineStr">
        <is>
          <t>Yes</t>
        </is>
      </c>
      <c r="F22" s="224" t="inlineStr">
        <is>
          <t>Yes</t>
        </is>
      </c>
      <c r="G22" s="225" t="inlineStr">
        <is>
          <t>N/A</t>
        </is>
      </c>
      <c r="H22" s="221" t="n"/>
    </row>
    <row r="23" ht="13" customHeight="1" s="250">
      <c r="A23" s="182" t="n"/>
      <c r="B23" s="211" t="n"/>
      <c r="C23" s="102" t="inlineStr">
        <is>
          <t>submission_url</t>
        </is>
      </c>
      <c r="D23" s="102" t="inlineStr">
        <is>
          <t>Specify a URL to make submissions to regardless of how the app is configured</t>
        </is>
      </c>
      <c r="E23" s="212" t="inlineStr">
        <is>
          <t>Yes</t>
        </is>
      </c>
      <c r="F23" s="212" t="inlineStr">
        <is>
          <t>No</t>
        </is>
      </c>
      <c r="G23" s="225" t="inlineStr">
        <is>
          <t>N/A</t>
        </is>
      </c>
      <c r="H23" s="221" t="n"/>
    </row>
    <row r="24" ht="28" customHeight="1" s="250">
      <c r="A24" s="182" t="n"/>
      <c r="B24" s="214" t="n"/>
      <c r="C24" s="215" t="inlineStr">
        <is>
          <t>allow_choice_duplicates</t>
        </is>
      </c>
      <c r="D24" s="216" t="inlineStr">
        <is>
          <t>Add with 'yes' value if you want a single list on the choices sheet to have multiple choices with the same name</t>
        </is>
      </c>
      <c r="E24" s="217" t="inlineStr">
        <is>
          <t>Yes</t>
        </is>
      </c>
      <c r="F24" s="217" t="inlineStr">
        <is>
          <t>Yes</t>
        </is>
      </c>
      <c r="G24" s="226" t="inlineStr">
        <is>
          <t>N/A</t>
        </is>
      </c>
      <c r="H24" s="227" t="n"/>
    </row>
    <row r="25" ht="13" customHeight="1" s="250">
      <c r="A25" s="30" t="n"/>
      <c r="B25" s="206" t="n"/>
      <c r="C25" s="207" t="n"/>
      <c r="D25" s="207" t="n"/>
      <c r="E25" s="207" t="n"/>
      <c r="F25" s="207" t="n"/>
      <c r="G25" s="207" t="n"/>
      <c r="H25" s="228" t="n"/>
    </row>
    <row r="26" ht="13" customHeight="1" s="250">
      <c r="A26" s="182" t="n"/>
      <c r="B26" s="218" t="inlineStr">
        <is>
          <t>entities sheet</t>
        </is>
      </c>
      <c r="C26" s="219" t="n"/>
      <c r="D26" s="219" t="n"/>
      <c r="E26" s="219" t="n"/>
      <c r="F26" s="219" t="n"/>
      <c r="G26" s="229" t="n"/>
      <c r="H26" s="187" t="n"/>
    </row>
    <row r="27" ht="13" customHeight="1" s="250">
      <c r="A27" s="210" t="n"/>
      <c r="B27" s="230" t="n"/>
      <c r="C27" s="102" t="inlineStr">
        <is>
          <t>create_if</t>
        </is>
      </c>
      <c r="D27" s="102" t="inlineStr">
        <is>
          <t>A condition that a filled form must meet for an entity to be created from it</t>
        </is>
      </c>
      <c r="E27" s="212" t="inlineStr">
        <is>
          <t>Yes</t>
        </is>
      </c>
      <c r="F27" s="212" t="inlineStr">
        <is>
          <t>Yes</t>
        </is>
      </c>
      <c r="G27" s="225" t="inlineStr">
        <is>
          <t>N/A</t>
        </is>
      </c>
      <c r="H27" s="187" t="n"/>
    </row>
    <row r="28" ht="13" customHeight="1" s="250">
      <c r="A28" s="210" t="n"/>
      <c r="B28" s="230" t="n"/>
      <c r="C28" s="102" t="inlineStr">
        <is>
          <t>entity_id</t>
        </is>
      </c>
      <c r="D28" s="102" t="inlineStr">
        <is>
          <t>The id of the entity that should be updated by filling this form</t>
        </is>
      </c>
      <c r="E28" s="212" t="inlineStr">
        <is>
          <t>Yes</t>
        </is>
      </c>
      <c r="F28" s="212" t="inlineStr">
        <is>
          <t>Yes</t>
        </is>
      </c>
      <c r="G28" s="225" t="inlineStr">
        <is>
          <t>N/A</t>
        </is>
      </c>
      <c r="H28" s="187" t="n"/>
    </row>
    <row r="29" ht="13" customHeight="1" s="250">
      <c r="A29" s="210" t="n"/>
      <c r="B29" s="231" t="n"/>
      <c r="C29" s="232" t="inlineStr">
        <is>
          <t>update_if</t>
        </is>
      </c>
      <c r="D29" s="232" t="inlineStr">
        <is>
          <t>A condition that a filled form must meet for an entity to be updated from it (with entity_id)</t>
        </is>
      </c>
      <c r="E29" s="233" t="inlineStr">
        <is>
          <t>Yes</t>
        </is>
      </c>
      <c r="F29" s="233" t="inlineStr">
        <is>
          <t>Yes</t>
        </is>
      </c>
      <c r="G29" s="205" t="inlineStr">
        <is>
          <t>N/A</t>
        </is>
      </c>
      <c r="H29" s="187" t="n"/>
    </row>
    <row r="30" ht="13" customHeight="1" s="250">
      <c r="A30" s="30" t="n"/>
      <c r="B30" s="228" t="n"/>
      <c r="C30" s="228" t="n"/>
      <c r="D30" s="228" t="n"/>
      <c r="E30" s="228" t="n"/>
      <c r="F30" s="228" t="n"/>
      <c r="G30" s="228" t="n"/>
      <c r="H30" s="30" t="n"/>
    </row>
  </sheetData>
  <autoFilter ref="E5:G13"/>
  <mergeCells count="1">
    <mergeCell ref="B1:G1"/>
  </mergeCells>
  <conditionalFormatting sqref="E6:E13 E16:F19 E22:F24 E27:F29 F6:F8 F10:F13 G7:G8 G16:G18">
    <cfRule type="containsText" priority="5" operator="containsText" dxfId="1" text="YES">
      <formula>NOT(ISERROR(SEARCH(("YES"),(E6))))</formula>
    </cfRule>
    <cfRule type="notContainsText" priority="6" operator="notContains" dxfId="0" text="YES">
      <formula>ISERROR(SEARCH(("YES"),(E6)))</formula>
    </cfRule>
  </conditionalFormatting>
  <conditionalFormatting sqref="G10">
    <cfRule type="containsText" priority="1" operator="containsText" dxfId="1" text="YES">
      <formula>NOT(ISERROR(SEARCH(("YES"),(G10))))</formula>
    </cfRule>
    <cfRule type="notContainsText" priority="2" operator="notContains" dxfId="0" text="YES">
      <formula>ISERROR(SEARCH(("YES"),(G10)))</formula>
    </cfRule>
  </conditionalFormatting>
  <pageMargins left="0.7" right="0.7" top="0.75" bottom="0.75" header="0.3" footer="0.3"/>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2026-10-05T16:47:44Z</dcterms:created>
  <dcterms:modified xmlns:dcterms="http://purl.org/dc/terms/" xmlns:xsi="http://www.w3.org/2001/XMLSchema-instance" xsi:type="dcterms:W3CDTF">2026-10-05T16:47:44Z</dcterms:modified>
  <cp:lastModifiedBy>Helene Martin</cp:lastModifiedBy>
</cp:coreProperties>
</file>